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BT\Downloads\"/>
    </mc:Choice>
  </mc:AlternateContent>
  <bookViews>
    <workbookView xWindow="0" yWindow="0" windowWidth="20490" windowHeight="7530"/>
  </bookViews>
  <sheets>
    <sheet name="GradeSheet" sheetId="1" r:id="rId1"/>
    <sheet name="Course Report" sheetId="2" r:id="rId2"/>
    <sheet name="CO-PO Mapping" sheetId="3" r:id="rId3"/>
    <sheet name="Publish" sheetId="4" state="veryHidden" r:id="rId4"/>
  </sheets>
  <functionGroups builtInGroupCount="18"/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71" i="1" l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70" i="1"/>
  <c r="W70" i="1"/>
  <c r="W60" i="1"/>
  <c r="W68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70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70" i="1"/>
  <c r="H30" i="1"/>
  <c r="H31" i="1"/>
  <c r="H32" i="1"/>
  <c r="H33" i="1"/>
  <c r="W33" i="1" s="1"/>
  <c r="H34" i="1"/>
  <c r="W34" i="1" s="1"/>
  <c r="H35" i="1"/>
  <c r="W35" i="1" s="1"/>
  <c r="H36" i="1"/>
  <c r="W36" i="1" s="1"/>
  <c r="H37" i="1"/>
  <c r="H38" i="1"/>
  <c r="H39" i="1"/>
  <c r="H40" i="1"/>
  <c r="W40" i="1" s="1"/>
  <c r="H41" i="1"/>
  <c r="H42" i="1"/>
  <c r="H43" i="1"/>
  <c r="W43" i="1" s="1"/>
  <c r="H44" i="1"/>
  <c r="W44" i="1" s="1"/>
  <c r="H45" i="1"/>
  <c r="W45" i="1" s="1"/>
  <c r="H46" i="1"/>
  <c r="H47" i="1"/>
  <c r="H48" i="1"/>
  <c r="H49" i="1"/>
  <c r="W49" i="1" s="1"/>
  <c r="H50" i="1"/>
  <c r="W50" i="1" s="1"/>
  <c r="H51" i="1"/>
  <c r="H52" i="1"/>
  <c r="W52" i="1" s="1"/>
  <c r="H53" i="1"/>
  <c r="H54" i="1"/>
  <c r="H55" i="1"/>
  <c r="H56" i="1"/>
  <c r="H57" i="1"/>
  <c r="W57" i="1" s="1"/>
  <c r="H58" i="1"/>
  <c r="W58" i="1" s="1"/>
  <c r="H59" i="1"/>
  <c r="W59" i="1" s="1"/>
  <c r="H60" i="1"/>
  <c r="H61" i="1"/>
  <c r="W61" i="1" s="1"/>
  <c r="H62" i="1"/>
  <c r="W62" i="1" s="1"/>
  <c r="H63" i="1"/>
  <c r="W63" i="1" s="1"/>
  <c r="H64" i="1"/>
  <c r="W64" i="1" s="1"/>
  <c r="H65" i="1"/>
  <c r="W65" i="1" s="1"/>
  <c r="H66" i="1"/>
  <c r="W66" i="1" s="1"/>
  <c r="H67" i="1"/>
  <c r="W67" i="1" s="1"/>
  <c r="H68" i="1"/>
  <c r="H69" i="1"/>
  <c r="W69" i="1" s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0" i="1"/>
  <c r="W55" i="1" l="1"/>
  <c r="W54" i="1"/>
  <c r="W53" i="1"/>
  <c r="W56" i="1"/>
  <c r="W42" i="1"/>
  <c r="W38" i="1"/>
  <c r="W41" i="1"/>
  <c r="W37" i="1"/>
  <c r="W39" i="1"/>
  <c r="W51" i="1"/>
  <c r="W48" i="1"/>
  <c r="W32" i="1"/>
  <c r="W47" i="1"/>
  <c r="W31" i="1"/>
  <c r="W30" i="1"/>
  <c r="W46" i="1"/>
  <c r="AD29" i="1"/>
  <c r="AE29" i="1"/>
  <c r="AF29" i="1"/>
  <c r="AG29" i="1"/>
  <c r="AC29" i="1"/>
  <c r="AB29" i="1"/>
  <c r="AD41" i="1" l="1"/>
  <c r="AG40" i="1"/>
  <c r="AG56" i="1"/>
  <c r="AC48" i="1"/>
  <c r="AG32" i="1"/>
  <c r="AG39" i="1"/>
  <c r="AC43" i="1"/>
  <c r="AE35" i="1"/>
  <c r="X31" i="1"/>
  <c r="AE83" i="1"/>
  <c r="AG79" i="1"/>
  <c r="AG75" i="1"/>
  <c r="AG71" i="1"/>
  <c r="AE87" i="1"/>
  <c r="X44" i="1"/>
  <c r="AG84" i="1"/>
  <c r="AG92" i="1"/>
  <c r="X60" i="1"/>
  <c r="AG52" i="1"/>
  <c r="X45" i="1"/>
  <c r="AG67" i="1"/>
  <c r="AF99" i="1"/>
  <c r="AE30" i="1"/>
  <c r="X42" i="1"/>
  <c r="AF38" i="1"/>
  <c r="AF34" i="1"/>
  <c r="AD82" i="1"/>
  <c r="AC78" i="1"/>
  <c r="AE70" i="1"/>
  <c r="X66" i="1"/>
  <c r="AD94" i="1"/>
  <c r="X41" i="1"/>
  <c r="AF41" i="1"/>
  <c r="AE41" i="1"/>
  <c r="AC41" i="1"/>
  <c r="X59" i="1"/>
  <c r="AG59" i="1"/>
  <c r="AE59" i="1"/>
  <c r="AC59" i="1"/>
  <c r="AF59" i="1"/>
  <c r="AD59" i="1"/>
  <c r="AB59" i="1"/>
  <c r="X51" i="1"/>
  <c r="AG51" i="1"/>
  <c r="AE51" i="1"/>
  <c r="AC51" i="1"/>
  <c r="AF51" i="1"/>
  <c r="AD51" i="1"/>
  <c r="AB51" i="1"/>
  <c r="X69" i="1"/>
  <c r="AF69" i="1"/>
  <c r="AD69" i="1"/>
  <c r="AG69" i="1"/>
  <c r="AE69" i="1"/>
  <c r="AC69" i="1"/>
  <c r="AB69" i="1"/>
  <c r="AF97" i="1"/>
  <c r="AD97" i="1"/>
  <c r="AG97" i="1"/>
  <c r="AE97" i="1"/>
  <c r="AB97" i="1"/>
  <c r="AC97" i="1"/>
  <c r="AG96" i="1"/>
  <c r="AE96" i="1"/>
  <c r="AD96" i="1"/>
  <c r="AF96" i="1"/>
  <c r="AB96" i="1"/>
  <c r="AC96" i="1"/>
  <c r="X56" i="1"/>
  <c r="X58" i="1"/>
  <c r="AF58" i="1"/>
  <c r="AD58" i="1"/>
  <c r="AC58" i="1"/>
  <c r="AE58" i="1"/>
  <c r="AG58" i="1"/>
  <c r="AB58" i="1"/>
  <c r="X50" i="1"/>
  <c r="AF50" i="1"/>
  <c r="AD50" i="1"/>
  <c r="AG50" i="1"/>
  <c r="AC50" i="1"/>
  <c r="AE50" i="1"/>
  <c r="AB50" i="1"/>
  <c r="X57" i="1"/>
  <c r="AF57" i="1"/>
  <c r="AD57" i="1"/>
  <c r="AG57" i="1"/>
  <c r="AE57" i="1"/>
  <c r="AC57" i="1"/>
  <c r="AB57" i="1"/>
  <c r="X49" i="1"/>
  <c r="AF49" i="1"/>
  <c r="AD49" i="1"/>
  <c r="AG49" i="1"/>
  <c r="AE49" i="1"/>
  <c r="AC49" i="1"/>
  <c r="AB49" i="1"/>
  <c r="AD87" i="1"/>
  <c r="X63" i="1"/>
  <c r="AG63" i="1"/>
  <c r="AE63" i="1"/>
  <c r="AC63" i="1"/>
  <c r="AF63" i="1"/>
  <c r="AD63" i="1"/>
  <c r="AB63" i="1"/>
  <c r="X55" i="1"/>
  <c r="AG55" i="1"/>
  <c r="AE55" i="1"/>
  <c r="AC55" i="1"/>
  <c r="AF55" i="1"/>
  <c r="AD55" i="1"/>
  <c r="AB55" i="1"/>
  <c r="AF81" i="1"/>
  <c r="AD81" i="1"/>
  <c r="AG81" i="1"/>
  <c r="AE81" i="1"/>
  <c r="AC81" i="1"/>
  <c r="AB81" i="1"/>
  <c r="AF73" i="1"/>
  <c r="AD73" i="1"/>
  <c r="AG73" i="1"/>
  <c r="AE73" i="1"/>
  <c r="AC73" i="1"/>
  <c r="AB73" i="1"/>
  <c r="X65" i="1"/>
  <c r="AF65" i="1"/>
  <c r="AD65" i="1"/>
  <c r="AG65" i="1"/>
  <c r="AE65" i="1"/>
  <c r="AC65" i="1"/>
  <c r="AB65" i="1"/>
  <c r="AF89" i="1"/>
  <c r="AD89" i="1"/>
  <c r="AG89" i="1"/>
  <c r="AE89" i="1"/>
  <c r="AC89" i="1"/>
  <c r="AB89" i="1"/>
  <c r="AG88" i="1"/>
  <c r="AE88" i="1"/>
  <c r="AC88" i="1"/>
  <c r="AB88" i="1"/>
  <c r="AD88" i="1"/>
  <c r="AF88" i="1"/>
  <c r="X64" i="1"/>
  <c r="AG64" i="1"/>
  <c r="AE64" i="1"/>
  <c r="AC64" i="1"/>
  <c r="AD64" i="1"/>
  <c r="AF64" i="1"/>
  <c r="AB64" i="1"/>
  <c r="AF48" i="1"/>
  <c r="X40" i="1"/>
  <c r="AB40" i="1"/>
  <c r="X62" i="1"/>
  <c r="AF62" i="1"/>
  <c r="AD62" i="1"/>
  <c r="AC62" i="1"/>
  <c r="AE62" i="1"/>
  <c r="AG62" i="1"/>
  <c r="AB62" i="1"/>
  <c r="X54" i="1"/>
  <c r="AF54" i="1"/>
  <c r="AD54" i="1"/>
  <c r="AE54" i="1"/>
  <c r="AG54" i="1"/>
  <c r="AC54" i="1"/>
  <c r="AB54" i="1"/>
  <c r="AB92" i="1"/>
  <c r="AE66" i="1"/>
  <c r="AG83" i="1" l="1"/>
  <c r="AD56" i="1"/>
  <c r="AD60" i="1"/>
  <c r="AC56" i="1"/>
  <c r="AF56" i="1"/>
  <c r="AE56" i="1"/>
  <c r="AB56" i="1"/>
  <c r="AE43" i="1"/>
  <c r="AG41" i="1"/>
  <c r="AB41" i="1"/>
  <c r="AC40" i="1"/>
  <c r="AF40" i="1"/>
  <c r="AE40" i="1"/>
  <c r="AD40" i="1"/>
  <c r="X39" i="1"/>
  <c r="AB39" i="1"/>
  <c r="AF39" i="1"/>
  <c r="AC39" i="1"/>
  <c r="AE39" i="1"/>
  <c r="AD39" i="1"/>
  <c r="X32" i="1"/>
  <c r="AB48" i="1"/>
  <c r="AE48" i="1"/>
  <c r="AG48" i="1"/>
  <c r="AD32" i="1"/>
  <c r="AD48" i="1"/>
  <c r="X48" i="1"/>
  <c r="AB32" i="1"/>
  <c r="AE32" i="1"/>
  <c r="AC32" i="1"/>
  <c r="AF32" i="1"/>
  <c r="AB99" i="1"/>
  <c r="AF79" i="1"/>
  <c r="AD43" i="1"/>
  <c r="AD44" i="1"/>
  <c r="AC60" i="1"/>
  <c r="AC79" i="1"/>
  <c r="AG43" i="1"/>
  <c r="AC44" i="1"/>
  <c r="AE60" i="1"/>
  <c r="AB43" i="1"/>
  <c r="AE44" i="1"/>
  <c r="AB30" i="1"/>
  <c r="AB60" i="1"/>
  <c r="AG60" i="1"/>
  <c r="AB79" i="1"/>
  <c r="AE79" i="1"/>
  <c r="AF43" i="1"/>
  <c r="X43" i="1"/>
  <c r="AB44" i="1"/>
  <c r="AG44" i="1"/>
  <c r="AF60" i="1"/>
  <c r="AD79" i="1"/>
  <c r="AF44" i="1"/>
  <c r="AD52" i="1"/>
  <c r="AG35" i="1"/>
  <c r="AF75" i="1"/>
  <c r="X35" i="1"/>
  <c r="AC52" i="1"/>
  <c r="AC75" i="1"/>
  <c r="AD35" i="1"/>
  <c r="AD84" i="1"/>
  <c r="X52" i="1"/>
  <c r="AF35" i="1"/>
  <c r="AC84" i="1"/>
  <c r="AF52" i="1"/>
  <c r="AE52" i="1"/>
  <c r="AB75" i="1"/>
  <c r="AE75" i="1"/>
  <c r="AC35" i="1"/>
  <c r="AF84" i="1"/>
  <c r="AE84" i="1"/>
  <c r="AB52" i="1"/>
  <c r="AD75" i="1"/>
  <c r="AB35" i="1"/>
  <c r="AB84" i="1"/>
  <c r="AC70" i="1"/>
  <c r="AE100" i="1"/>
  <c r="AB31" i="1"/>
  <c r="AG45" i="1"/>
  <c r="AG87" i="1"/>
  <c r="AG70" i="1"/>
  <c r="AG34" i="1"/>
  <c r="AF100" i="1"/>
  <c r="AF91" i="1"/>
  <c r="AF71" i="1"/>
  <c r="AD45" i="1"/>
  <c r="AC31" i="1"/>
  <c r="AF67" i="1"/>
  <c r="AD34" i="1"/>
  <c r="AC100" i="1"/>
  <c r="AE91" i="1"/>
  <c r="AC71" i="1"/>
  <c r="AD83" i="1"/>
  <c r="AE31" i="1"/>
  <c r="AB86" i="1"/>
  <c r="AD30" i="1"/>
  <c r="AC67" i="1"/>
  <c r="AD66" i="1"/>
  <c r="AD70" i="1"/>
  <c r="AE86" i="1"/>
  <c r="AB34" i="1"/>
  <c r="X34" i="1"/>
  <c r="X30" i="1"/>
  <c r="AD92" i="1"/>
  <c r="AE92" i="1"/>
  <c r="AB100" i="1"/>
  <c r="AG100" i="1"/>
  <c r="AC87" i="1"/>
  <c r="AC91" i="1"/>
  <c r="AG91" i="1"/>
  <c r="AB71" i="1"/>
  <c r="AE71" i="1"/>
  <c r="AC83" i="1"/>
  <c r="AB45" i="1"/>
  <c r="AF45" i="1"/>
  <c r="AD31" i="1"/>
  <c r="AG31" i="1"/>
  <c r="AG66" i="1"/>
  <c r="AF92" i="1"/>
  <c r="AF87" i="1"/>
  <c r="AF83" i="1"/>
  <c r="AB70" i="1"/>
  <c r="AF70" i="1"/>
  <c r="AD86" i="1"/>
  <c r="AC34" i="1"/>
  <c r="AC30" i="1"/>
  <c r="AC92" i="1"/>
  <c r="AD100" i="1"/>
  <c r="AB87" i="1"/>
  <c r="AB91" i="1"/>
  <c r="AD71" i="1"/>
  <c r="AB83" i="1"/>
  <c r="AC45" i="1"/>
  <c r="AF31" i="1"/>
  <c r="AC82" i="1"/>
  <c r="X67" i="1"/>
  <c r="AE94" i="1"/>
  <c r="AG38" i="1"/>
  <c r="AE99" i="1"/>
  <c r="AB66" i="1"/>
  <c r="AF66" i="1"/>
  <c r="AC86" i="1"/>
  <c r="AF86" i="1"/>
  <c r="AD42" i="1"/>
  <c r="AF30" i="1"/>
  <c r="AB67" i="1"/>
  <c r="AE67" i="1"/>
  <c r="AG94" i="1"/>
  <c r="AC66" i="1"/>
  <c r="AE82" i="1"/>
  <c r="AG86" i="1"/>
  <c r="AE34" i="1"/>
  <c r="AG30" i="1"/>
  <c r="AD91" i="1"/>
  <c r="AD67" i="1"/>
  <c r="AE45" i="1"/>
  <c r="X38" i="1"/>
  <c r="AF94" i="1"/>
  <c r="AB78" i="1"/>
  <c r="AF82" i="1"/>
  <c r="AB42" i="1"/>
  <c r="AF95" i="1"/>
  <c r="AG99" i="1"/>
  <c r="AD78" i="1"/>
  <c r="AC42" i="1"/>
  <c r="AC99" i="1"/>
  <c r="AG78" i="1"/>
  <c r="AF78" i="1"/>
  <c r="AE78" i="1"/>
  <c r="AG82" i="1"/>
  <c r="AB38" i="1"/>
  <c r="AD38" i="1"/>
  <c r="AG42" i="1"/>
  <c r="AF42" i="1"/>
  <c r="AB95" i="1"/>
  <c r="AG95" i="1"/>
  <c r="AD99" i="1"/>
  <c r="AE38" i="1"/>
  <c r="AC95" i="1"/>
  <c r="AE95" i="1"/>
  <c r="AC94" i="1"/>
  <c r="AB94" i="1"/>
  <c r="AB82" i="1"/>
  <c r="AC38" i="1"/>
  <c r="AE42" i="1"/>
  <c r="AD95" i="1"/>
  <c r="AG76" i="1"/>
  <c r="AE76" i="1"/>
  <c r="AC76" i="1"/>
  <c r="AF76" i="1"/>
  <c r="AB76" i="1"/>
  <c r="AD76" i="1"/>
  <c r="AG72" i="1"/>
  <c r="AE72" i="1"/>
  <c r="AC72" i="1"/>
  <c r="AB72" i="1"/>
  <c r="AD72" i="1"/>
  <c r="AF72" i="1"/>
  <c r="AF93" i="1"/>
  <c r="AD93" i="1"/>
  <c r="AG93" i="1"/>
  <c r="AE93" i="1"/>
  <c r="AB93" i="1"/>
  <c r="AC93" i="1"/>
  <c r="X36" i="1"/>
  <c r="AG36" i="1"/>
  <c r="AE36" i="1"/>
  <c r="AC36" i="1"/>
  <c r="AD36" i="1"/>
  <c r="AB36" i="1"/>
  <c r="AF36" i="1"/>
  <c r="AG80" i="1"/>
  <c r="AE80" i="1"/>
  <c r="AC80" i="1"/>
  <c r="AD80" i="1"/>
  <c r="AF80" i="1"/>
  <c r="AB80" i="1"/>
  <c r="X61" i="1"/>
  <c r="AF61" i="1"/>
  <c r="AD61" i="1"/>
  <c r="AG61" i="1"/>
  <c r="AE61" i="1"/>
  <c r="AC61" i="1"/>
  <c r="AB61" i="1"/>
  <c r="AF46" i="1"/>
  <c r="AD46" i="1"/>
  <c r="AC46" i="1"/>
  <c r="AE46" i="1"/>
  <c r="AG46" i="1"/>
  <c r="AB46" i="1"/>
  <c r="AF85" i="1"/>
  <c r="AD85" i="1"/>
  <c r="AG85" i="1"/>
  <c r="AE85" i="1"/>
  <c r="AC85" i="1"/>
  <c r="AB85" i="1"/>
  <c r="AF90" i="1"/>
  <c r="AD90" i="1"/>
  <c r="AC90" i="1"/>
  <c r="AE90" i="1"/>
  <c r="AG90" i="1"/>
  <c r="AB90" i="1"/>
  <c r="X37" i="1"/>
  <c r="AF37" i="1"/>
  <c r="AD37" i="1"/>
  <c r="AG37" i="1"/>
  <c r="AE37" i="1"/>
  <c r="AC37" i="1"/>
  <c r="AB37" i="1"/>
  <c r="X53" i="1"/>
  <c r="AF53" i="1"/>
  <c r="AD53" i="1"/>
  <c r="AG53" i="1"/>
  <c r="AE53" i="1"/>
  <c r="AC53" i="1"/>
  <c r="AB53" i="1"/>
  <c r="AF98" i="1"/>
  <c r="AD98" i="1"/>
  <c r="AG98" i="1"/>
  <c r="AC98" i="1"/>
  <c r="AE98" i="1"/>
  <c r="AB98" i="1"/>
  <c r="X68" i="1"/>
  <c r="AG68" i="1"/>
  <c r="AE68" i="1"/>
  <c r="AC68" i="1"/>
  <c r="AD68" i="1"/>
  <c r="AB68" i="1"/>
  <c r="AF68" i="1"/>
  <c r="X33" i="1"/>
  <c r="AF33" i="1"/>
  <c r="AD33" i="1"/>
  <c r="AG33" i="1"/>
  <c r="AE33" i="1"/>
  <c r="AC33" i="1"/>
  <c r="AB33" i="1"/>
  <c r="AF77" i="1"/>
  <c r="AD77" i="1"/>
  <c r="AG77" i="1"/>
  <c r="AE77" i="1"/>
  <c r="AC77" i="1"/>
  <c r="AB77" i="1"/>
  <c r="AF74" i="1"/>
  <c r="AD74" i="1"/>
  <c r="AC74" i="1"/>
  <c r="AE74" i="1"/>
  <c r="AG74" i="1"/>
  <c r="AB74" i="1"/>
  <c r="X47" i="1"/>
  <c r="AG47" i="1"/>
  <c r="AE47" i="1"/>
  <c r="AC47" i="1"/>
  <c r="AF47" i="1"/>
  <c r="AD47" i="1"/>
  <c r="AB47" i="1"/>
  <c r="X46" i="1"/>
  <c r="B1" i="4"/>
  <c r="BE89" i="1" l="1"/>
  <c r="BE90" i="1"/>
  <c r="BE91" i="1"/>
  <c r="BE92" i="1"/>
  <c r="BE93" i="1"/>
  <c r="BE94" i="1"/>
  <c r="BE95" i="1"/>
  <c r="BE96" i="1"/>
  <c r="BE97" i="1"/>
  <c r="BE98" i="1"/>
  <c r="BE99" i="1"/>
  <c r="BE100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D97" i="1"/>
  <c r="BD98" i="1"/>
  <c r="BD99" i="1"/>
  <c r="BD100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C95" i="1"/>
  <c r="BC96" i="1"/>
  <c r="BC97" i="1"/>
  <c r="BC98" i="1"/>
  <c r="BC99" i="1"/>
  <c r="BC100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X99" i="1"/>
  <c r="AX100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BB30" i="1"/>
  <c r="BC30" i="1"/>
  <c r="BD30" i="1"/>
  <c r="BE30" i="1"/>
  <c r="AU30" i="1"/>
  <c r="AV30" i="1"/>
  <c r="AW30" i="1"/>
  <c r="AX30" i="1"/>
  <c r="AY30" i="1"/>
  <c r="AZ30" i="1"/>
  <c r="BA30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31" i="1"/>
  <c r="AT32" i="1"/>
  <c r="AT33" i="1"/>
  <c r="AT34" i="1"/>
  <c r="AT35" i="1"/>
  <c r="AT36" i="1"/>
  <c r="AT37" i="1"/>
  <c r="AT38" i="1"/>
  <c r="AT39" i="1"/>
  <c r="AT40" i="1"/>
  <c r="AT41" i="1"/>
  <c r="AT30" i="1"/>
  <c r="AM81" i="1" l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46" i="1"/>
  <c r="AM47" i="1"/>
  <c r="AM49" i="1"/>
  <c r="AM50" i="1"/>
  <c r="AM51" i="1"/>
  <c r="AM52" i="1"/>
  <c r="AM53" i="1"/>
  <c r="AM54" i="1"/>
  <c r="AM55" i="1"/>
  <c r="AM56" i="1"/>
  <c r="AM57" i="1"/>
  <c r="AM58" i="1"/>
  <c r="AM59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L99" i="1"/>
  <c r="AL100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43" i="1"/>
  <c r="AL44" i="1"/>
  <c r="AL45" i="1"/>
  <c r="AL46" i="1"/>
  <c r="AL47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30" i="1"/>
  <c r="AM30" i="1"/>
  <c r="AM48" i="1"/>
  <c r="AL48" i="1"/>
  <c r="O29" i="1"/>
  <c r="V29" i="1"/>
  <c r="AS93" i="1" l="1"/>
  <c r="AS85" i="1"/>
  <c r="AR95" i="1"/>
  <c r="AS86" i="1"/>
  <c r="AR9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Z85" i="1"/>
  <c r="AR85" i="1" s="1"/>
  <c r="Z86" i="1"/>
  <c r="AR86" i="1" s="1"/>
  <c r="Z87" i="1"/>
  <c r="AR87" i="1" s="1"/>
  <c r="Z88" i="1"/>
  <c r="AS88" i="1" s="1"/>
  <c r="Z89" i="1"/>
  <c r="AR89" i="1" s="1"/>
  <c r="Z90" i="1"/>
  <c r="AR90" i="1" s="1"/>
  <c r="Z91" i="1"/>
  <c r="AS91" i="1" s="1"/>
  <c r="Z92" i="1"/>
  <c r="AS92" i="1" s="1"/>
  <c r="Z93" i="1"/>
  <c r="AR93" i="1" s="1"/>
  <c r="Z94" i="1"/>
  <c r="AS94" i="1" s="1"/>
  <c r="Z95" i="1"/>
  <c r="AS95" i="1" s="1"/>
  <c r="Z96" i="1"/>
  <c r="AS96" i="1" s="1"/>
  <c r="Z97" i="1"/>
  <c r="AR97" i="1" s="1"/>
  <c r="Z98" i="1"/>
  <c r="AS98" i="1" s="1"/>
  <c r="Z99" i="1"/>
  <c r="AR99" i="1" s="1"/>
  <c r="Z100" i="1"/>
  <c r="AR100" i="1" s="1"/>
  <c r="AR96" i="1" l="1"/>
  <c r="AS100" i="1"/>
  <c r="AR98" i="1"/>
  <c r="AR91" i="1"/>
  <c r="AR88" i="1"/>
  <c r="AS89" i="1"/>
  <c r="AS99" i="1"/>
  <c r="AS97" i="1"/>
  <c r="AR92" i="1"/>
  <c r="AS90" i="1"/>
  <c r="AS87" i="1"/>
  <c r="BA103" i="1"/>
  <c r="BE103" i="1"/>
  <c r="BB103" i="1"/>
  <c r="AY103" i="1"/>
  <c r="BC103" i="1"/>
  <c r="AZ103" i="1"/>
  <c r="BD103" i="1"/>
  <c r="B8" i="2"/>
  <c r="B7" i="2"/>
  <c r="B6" i="2"/>
  <c r="B5" i="2"/>
  <c r="B4" i="2"/>
  <c r="B3" i="2"/>
  <c r="B2" i="2"/>
  <c r="D102" i="1" l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30" i="1"/>
  <c r="AR53" i="1" l="1"/>
  <c r="AS53" i="1"/>
  <c r="AR45" i="1"/>
  <c r="AS45" i="1"/>
  <c r="AS37" i="1"/>
  <c r="AR37" i="1"/>
  <c r="AR78" i="1"/>
  <c r="AS78" i="1"/>
  <c r="AR68" i="1"/>
  <c r="AS68" i="1"/>
  <c r="AS36" i="1"/>
  <c r="AR36" i="1"/>
  <c r="AS46" i="1"/>
  <c r="AR46" i="1"/>
  <c r="AR61" i="1"/>
  <c r="AS61" i="1"/>
  <c r="AS60" i="1"/>
  <c r="AR60" i="1"/>
  <c r="AR75" i="1"/>
  <c r="AS75" i="1"/>
  <c r="AR59" i="1"/>
  <c r="AS59" i="1"/>
  <c r="AR51" i="1"/>
  <c r="AS51" i="1"/>
  <c r="AR43" i="1"/>
  <c r="AS43" i="1"/>
  <c r="AS35" i="1"/>
  <c r="AR35" i="1"/>
  <c r="AR62" i="1"/>
  <c r="AS62" i="1"/>
  <c r="AR77" i="1"/>
  <c r="AS77" i="1"/>
  <c r="AR52" i="1"/>
  <c r="AS52" i="1"/>
  <c r="AR74" i="1"/>
  <c r="AS74" i="1"/>
  <c r="AR66" i="1"/>
  <c r="AS66" i="1"/>
  <c r="AS58" i="1"/>
  <c r="AR58" i="1"/>
  <c r="AR50" i="1"/>
  <c r="AS50" i="1"/>
  <c r="AR42" i="1"/>
  <c r="AS42" i="1"/>
  <c r="AR34" i="1"/>
  <c r="AS34" i="1"/>
  <c r="AR69" i="1"/>
  <c r="AS69" i="1"/>
  <c r="AS44" i="1"/>
  <c r="AR44" i="1"/>
  <c r="AR67" i="1"/>
  <c r="AS67" i="1"/>
  <c r="AR81" i="1"/>
  <c r="AS81" i="1"/>
  <c r="AR73" i="1"/>
  <c r="AS73" i="1"/>
  <c r="AR65" i="1"/>
  <c r="AS65" i="1"/>
  <c r="AS57" i="1"/>
  <c r="AR57" i="1"/>
  <c r="AS49" i="1"/>
  <c r="AR49" i="1"/>
  <c r="AS41" i="1"/>
  <c r="AR41" i="1"/>
  <c r="AR33" i="1"/>
  <c r="AS33" i="1"/>
  <c r="AR70" i="1"/>
  <c r="AS70" i="1"/>
  <c r="AR38" i="1"/>
  <c r="AS38" i="1"/>
  <c r="AS30" i="1"/>
  <c r="AR30" i="1"/>
  <c r="AR76" i="1"/>
  <c r="AS76" i="1"/>
  <c r="AR83" i="1"/>
  <c r="AS83" i="1"/>
  <c r="AR82" i="1"/>
  <c r="AS82" i="1"/>
  <c r="AR80" i="1"/>
  <c r="AS80" i="1"/>
  <c r="AR72" i="1"/>
  <c r="AS72" i="1"/>
  <c r="AR64" i="1"/>
  <c r="AS64" i="1"/>
  <c r="AS56" i="1"/>
  <c r="AR56" i="1"/>
  <c r="AS48" i="1"/>
  <c r="AR48" i="1"/>
  <c r="AR40" i="1"/>
  <c r="AS40" i="1"/>
  <c r="AR32" i="1"/>
  <c r="AS32" i="1"/>
  <c r="AR54" i="1"/>
  <c r="AS54" i="1"/>
  <c r="AS84" i="1"/>
  <c r="AR84" i="1"/>
  <c r="AR79" i="1"/>
  <c r="AS79" i="1"/>
  <c r="AS71" i="1"/>
  <c r="AR71" i="1"/>
  <c r="AR63" i="1"/>
  <c r="AS63" i="1"/>
  <c r="AS55" i="1"/>
  <c r="AR55" i="1"/>
  <c r="AS47" i="1"/>
  <c r="AR47" i="1"/>
  <c r="AR39" i="1"/>
  <c r="AS39" i="1"/>
  <c r="AR31" i="1"/>
  <c r="AS31" i="1"/>
  <c r="H29" i="1"/>
  <c r="AR103" i="1" l="1"/>
  <c r="G14" i="2" s="1"/>
  <c r="AS103" i="1"/>
  <c r="H14" i="2" s="1"/>
  <c r="W29" i="1"/>
  <c r="W28" i="1" s="1"/>
  <c r="AK87" i="1" l="1"/>
  <c r="AQ87" i="1" s="1"/>
  <c r="AK91" i="1"/>
  <c r="AQ91" i="1" s="1"/>
  <c r="AK95" i="1"/>
  <c r="AQ95" i="1" s="1"/>
  <c r="AK88" i="1"/>
  <c r="AQ88" i="1" s="1"/>
  <c r="AK92" i="1"/>
  <c r="AQ92" i="1" s="1"/>
  <c r="AK96" i="1"/>
  <c r="AQ96" i="1" s="1"/>
  <c r="AK85" i="1"/>
  <c r="AQ85" i="1" s="1"/>
  <c r="AK89" i="1"/>
  <c r="AQ89" i="1" s="1"/>
  <c r="AK93" i="1"/>
  <c r="AQ93" i="1" s="1"/>
  <c r="AK97" i="1"/>
  <c r="AQ97" i="1" s="1"/>
  <c r="AK86" i="1"/>
  <c r="AQ86" i="1" s="1"/>
  <c r="AK90" i="1"/>
  <c r="AQ90" i="1" s="1"/>
  <c r="AK94" i="1"/>
  <c r="AQ94" i="1" s="1"/>
  <c r="AJ90" i="1"/>
  <c r="AP90" i="1" s="1"/>
  <c r="AJ94" i="1"/>
  <c r="AP94" i="1" s="1"/>
  <c r="AJ86" i="1"/>
  <c r="AP86" i="1" s="1"/>
  <c r="AJ89" i="1"/>
  <c r="AP89" i="1" s="1"/>
  <c r="AJ96" i="1"/>
  <c r="AP96" i="1" s="1"/>
  <c r="AJ87" i="1"/>
  <c r="AP87" i="1" s="1"/>
  <c r="AJ85" i="1"/>
  <c r="AP85" i="1" s="1"/>
  <c r="AJ92" i="1"/>
  <c r="AP92" i="1" s="1"/>
  <c r="AJ97" i="1"/>
  <c r="AP97" i="1" s="1"/>
  <c r="AJ88" i="1"/>
  <c r="AP88" i="1" s="1"/>
  <c r="AJ95" i="1"/>
  <c r="AP95" i="1" s="1"/>
  <c r="AJ93" i="1"/>
  <c r="AP93" i="1" s="1"/>
  <c r="AJ91" i="1"/>
  <c r="AP91" i="1" s="1"/>
  <c r="AH96" i="1"/>
  <c r="AN96" i="1" s="1"/>
  <c r="AH88" i="1"/>
  <c r="AN88" i="1" s="1"/>
  <c r="AH92" i="1"/>
  <c r="AN92" i="1" s="1"/>
  <c r="AH95" i="1"/>
  <c r="AN95" i="1" s="1"/>
  <c r="AH86" i="1"/>
  <c r="AN86" i="1" s="1"/>
  <c r="AH93" i="1"/>
  <c r="AN93" i="1" s="1"/>
  <c r="AH91" i="1"/>
  <c r="AN91" i="1" s="1"/>
  <c r="AH89" i="1"/>
  <c r="AN89" i="1" s="1"/>
  <c r="AH87" i="1"/>
  <c r="AN87" i="1" s="1"/>
  <c r="AH94" i="1"/>
  <c r="AN94" i="1" s="1"/>
  <c r="AH85" i="1"/>
  <c r="AN85" i="1" s="1"/>
  <c r="AH90" i="1"/>
  <c r="AN90" i="1" s="1"/>
  <c r="AH97" i="1"/>
  <c r="AN97" i="1" s="1"/>
  <c r="AI93" i="1"/>
  <c r="AO93" i="1" s="1"/>
  <c r="AI97" i="1"/>
  <c r="AO97" i="1" s="1"/>
  <c r="AI85" i="1"/>
  <c r="AO85" i="1" s="1"/>
  <c r="AI89" i="1"/>
  <c r="AO89" i="1" s="1"/>
  <c r="AI92" i="1"/>
  <c r="AO92" i="1" s="1"/>
  <c r="AI90" i="1"/>
  <c r="AO90" i="1" s="1"/>
  <c r="AI88" i="1"/>
  <c r="AO88" i="1" s="1"/>
  <c r="AI95" i="1"/>
  <c r="AO95" i="1" s="1"/>
  <c r="AI86" i="1"/>
  <c r="AO86" i="1" s="1"/>
  <c r="AI91" i="1"/>
  <c r="AO91" i="1" s="1"/>
  <c r="AI96" i="1"/>
  <c r="AO96" i="1" s="1"/>
  <c r="AI87" i="1"/>
  <c r="AO87" i="1" s="1"/>
  <c r="AI94" i="1"/>
  <c r="AO94" i="1" s="1"/>
  <c r="AJ64" i="1"/>
  <c r="AP64" i="1" s="1"/>
  <c r="AJ68" i="1"/>
  <c r="AP68" i="1" s="1"/>
  <c r="AJ72" i="1"/>
  <c r="AP72" i="1" s="1"/>
  <c r="AJ76" i="1"/>
  <c r="AP76" i="1" s="1"/>
  <c r="AJ80" i="1"/>
  <c r="AP80" i="1" s="1"/>
  <c r="AJ84" i="1"/>
  <c r="AP84" i="1" s="1"/>
  <c r="AJ100" i="1"/>
  <c r="AP100" i="1" s="1"/>
  <c r="AJ61" i="1"/>
  <c r="AP61" i="1" s="1"/>
  <c r="AJ66" i="1"/>
  <c r="AP66" i="1" s="1"/>
  <c r="AJ71" i="1"/>
  <c r="AP71" i="1" s="1"/>
  <c r="AJ77" i="1"/>
  <c r="AP77" i="1" s="1"/>
  <c r="AJ82" i="1"/>
  <c r="AP82" i="1" s="1"/>
  <c r="AJ99" i="1"/>
  <c r="AP99" i="1" s="1"/>
  <c r="AJ65" i="1"/>
  <c r="AP65" i="1" s="1"/>
  <c r="AJ73" i="1"/>
  <c r="AP73" i="1" s="1"/>
  <c r="AJ79" i="1"/>
  <c r="AP79" i="1" s="1"/>
  <c r="AJ98" i="1"/>
  <c r="AP98" i="1" s="1"/>
  <c r="AJ63" i="1"/>
  <c r="AP63" i="1" s="1"/>
  <c r="AJ74" i="1"/>
  <c r="AP74" i="1" s="1"/>
  <c r="AJ83" i="1"/>
  <c r="AP83" i="1" s="1"/>
  <c r="AJ67" i="1"/>
  <c r="AP67" i="1" s="1"/>
  <c r="AJ75" i="1"/>
  <c r="AP75" i="1" s="1"/>
  <c r="AJ69" i="1"/>
  <c r="AP69" i="1" s="1"/>
  <c r="AJ78" i="1"/>
  <c r="AP78" i="1" s="1"/>
  <c r="AJ62" i="1"/>
  <c r="AP62" i="1" s="1"/>
  <c r="AJ70" i="1"/>
  <c r="AP70" i="1" s="1"/>
  <c r="AJ81" i="1"/>
  <c r="AP81" i="1" s="1"/>
  <c r="AH62" i="1"/>
  <c r="AN62" i="1" s="1"/>
  <c r="AH66" i="1"/>
  <c r="AN66" i="1" s="1"/>
  <c r="AH70" i="1"/>
  <c r="AN70" i="1" s="1"/>
  <c r="AH74" i="1"/>
  <c r="AN74" i="1" s="1"/>
  <c r="AH78" i="1"/>
  <c r="AN78" i="1" s="1"/>
  <c r="AH82" i="1"/>
  <c r="AN82" i="1" s="1"/>
  <c r="AH98" i="1"/>
  <c r="AN98" i="1" s="1"/>
  <c r="AH61" i="1"/>
  <c r="AN61" i="1" s="1"/>
  <c r="AH67" i="1"/>
  <c r="AN67" i="1" s="1"/>
  <c r="AH72" i="1"/>
  <c r="AN72" i="1" s="1"/>
  <c r="AH77" i="1"/>
  <c r="AN77" i="1" s="1"/>
  <c r="AH83" i="1"/>
  <c r="AN83" i="1" s="1"/>
  <c r="AH100" i="1"/>
  <c r="AN100" i="1" s="1"/>
  <c r="AH64" i="1"/>
  <c r="AN64" i="1" s="1"/>
  <c r="AH71" i="1"/>
  <c r="AN71" i="1" s="1"/>
  <c r="AH79" i="1"/>
  <c r="AN79" i="1" s="1"/>
  <c r="AH65" i="1"/>
  <c r="AN65" i="1" s="1"/>
  <c r="AH73" i="1"/>
  <c r="AN73" i="1" s="1"/>
  <c r="AH80" i="1"/>
  <c r="AN80" i="1" s="1"/>
  <c r="AH99" i="1"/>
  <c r="AN99" i="1" s="1"/>
  <c r="AH68" i="1"/>
  <c r="AN68" i="1" s="1"/>
  <c r="AH75" i="1"/>
  <c r="AN75" i="1" s="1"/>
  <c r="AH81" i="1"/>
  <c r="AN81" i="1" s="1"/>
  <c r="AH63" i="1"/>
  <c r="AN63" i="1" s="1"/>
  <c r="AH69" i="1"/>
  <c r="AN69" i="1" s="1"/>
  <c r="AH76" i="1"/>
  <c r="AN76" i="1" s="1"/>
  <c r="AH84" i="1"/>
  <c r="AN84" i="1" s="1"/>
  <c r="AI62" i="1"/>
  <c r="AO62" i="1" s="1"/>
  <c r="AI66" i="1"/>
  <c r="AO66" i="1" s="1"/>
  <c r="AI70" i="1"/>
  <c r="AO70" i="1" s="1"/>
  <c r="AI61" i="1"/>
  <c r="AO61" i="1" s="1"/>
  <c r="AI67" i="1"/>
  <c r="AO67" i="1" s="1"/>
  <c r="AI72" i="1"/>
  <c r="AO72" i="1" s="1"/>
  <c r="AI76" i="1"/>
  <c r="AO76" i="1" s="1"/>
  <c r="AI80" i="1"/>
  <c r="AO80" i="1" s="1"/>
  <c r="AI84" i="1"/>
  <c r="AO84" i="1" s="1"/>
  <c r="AI100" i="1"/>
  <c r="AO100" i="1" s="1"/>
  <c r="AI64" i="1"/>
  <c r="AO64" i="1" s="1"/>
  <c r="AI71" i="1"/>
  <c r="AO71" i="1" s="1"/>
  <c r="AI77" i="1"/>
  <c r="AO77" i="1" s="1"/>
  <c r="AI82" i="1"/>
  <c r="AO82" i="1" s="1"/>
  <c r="AI99" i="1"/>
  <c r="AO99" i="1" s="1"/>
  <c r="AI63" i="1"/>
  <c r="AO63" i="1" s="1"/>
  <c r="AI73" i="1"/>
  <c r="AO73" i="1" s="1"/>
  <c r="AI79" i="1"/>
  <c r="AO79" i="1" s="1"/>
  <c r="AI98" i="1"/>
  <c r="AO98" i="1" s="1"/>
  <c r="AI65" i="1"/>
  <c r="AO65" i="1" s="1"/>
  <c r="AI74" i="1"/>
  <c r="AO74" i="1" s="1"/>
  <c r="AI81" i="1"/>
  <c r="AO81" i="1" s="1"/>
  <c r="AI68" i="1"/>
  <c r="AO68" i="1" s="1"/>
  <c r="AI75" i="1"/>
  <c r="AO75" i="1" s="1"/>
  <c r="AI83" i="1"/>
  <c r="AO83" i="1" s="1"/>
  <c r="AI69" i="1"/>
  <c r="AO69" i="1" s="1"/>
  <c r="AI78" i="1"/>
  <c r="AO78" i="1" s="1"/>
  <c r="AK33" i="1"/>
  <c r="AK37" i="1"/>
  <c r="AK41" i="1"/>
  <c r="AQ41" i="1" s="1"/>
  <c r="AK45" i="1"/>
  <c r="AK49" i="1"/>
  <c r="AK53" i="1"/>
  <c r="AK57" i="1"/>
  <c r="AK61" i="1"/>
  <c r="AQ61" i="1" s="1"/>
  <c r="AK65" i="1"/>
  <c r="AK69" i="1"/>
  <c r="AK73" i="1"/>
  <c r="AK77" i="1"/>
  <c r="AK81" i="1"/>
  <c r="AQ81" i="1" s="1"/>
  <c r="AK31" i="1"/>
  <c r="AK34" i="1"/>
  <c r="AK38" i="1"/>
  <c r="AK42" i="1"/>
  <c r="AQ42" i="1" s="1"/>
  <c r="AK46" i="1"/>
  <c r="AK50" i="1"/>
  <c r="AQ50" i="1" s="1"/>
  <c r="AK54" i="1"/>
  <c r="AK58" i="1"/>
  <c r="AK62" i="1"/>
  <c r="AQ62" i="1" s="1"/>
  <c r="AK66" i="1"/>
  <c r="AK70" i="1"/>
  <c r="AQ70" i="1" s="1"/>
  <c r="AK74" i="1"/>
  <c r="AK78" i="1"/>
  <c r="AK82" i="1"/>
  <c r="AK98" i="1"/>
  <c r="AK30" i="1"/>
  <c r="AQ30" i="1" s="1"/>
  <c r="AK35" i="1"/>
  <c r="AK39" i="1"/>
  <c r="AK43" i="1"/>
  <c r="AK47" i="1"/>
  <c r="AK51" i="1"/>
  <c r="AQ51" i="1" s="1"/>
  <c r="AK55" i="1"/>
  <c r="AQ55" i="1" s="1"/>
  <c r="AK59" i="1"/>
  <c r="AK63" i="1"/>
  <c r="AQ63" i="1" s="1"/>
  <c r="AK67" i="1"/>
  <c r="AK71" i="1"/>
  <c r="AK75" i="1"/>
  <c r="AK79" i="1"/>
  <c r="AK83" i="1"/>
  <c r="AK99" i="1"/>
  <c r="AK32" i="1"/>
  <c r="AQ32" i="1" s="1"/>
  <c r="AK36" i="1"/>
  <c r="AQ36" i="1" s="1"/>
  <c r="AK40" i="1"/>
  <c r="AQ40" i="1" s="1"/>
  <c r="AK44" i="1"/>
  <c r="AQ44" i="1" s="1"/>
  <c r="AK48" i="1"/>
  <c r="AQ48" i="1" s="1"/>
  <c r="AK52" i="1"/>
  <c r="AK56" i="1"/>
  <c r="AK60" i="1"/>
  <c r="AK64" i="1"/>
  <c r="AK68" i="1"/>
  <c r="AK72" i="1"/>
  <c r="AK76" i="1"/>
  <c r="AK80" i="1"/>
  <c r="AK84" i="1"/>
  <c r="AK100" i="1"/>
  <c r="AQ80" i="1" l="1"/>
  <c r="AQ64" i="1"/>
  <c r="AQ75" i="1"/>
  <c r="AQ59" i="1"/>
  <c r="AQ43" i="1"/>
  <c r="AQ98" i="1"/>
  <c r="AQ54" i="1"/>
  <c r="AQ38" i="1"/>
  <c r="AQ65" i="1"/>
  <c r="AQ49" i="1"/>
  <c r="AQ33" i="1"/>
  <c r="AQ76" i="1"/>
  <c r="AQ60" i="1"/>
  <c r="AQ99" i="1"/>
  <c r="AQ71" i="1"/>
  <c r="AQ39" i="1"/>
  <c r="AQ82" i="1"/>
  <c r="AQ66" i="1"/>
  <c r="AQ34" i="1"/>
  <c r="AQ77" i="1"/>
  <c r="AQ45" i="1"/>
  <c r="AQ100" i="1"/>
  <c r="AQ72" i="1"/>
  <c r="AQ56" i="1"/>
  <c r="AQ83" i="1"/>
  <c r="AQ67" i="1"/>
  <c r="AQ35" i="1"/>
  <c r="AQ78" i="1"/>
  <c r="AQ46" i="1"/>
  <c r="AQ31" i="1"/>
  <c r="AQ73" i="1"/>
  <c r="AQ57" i="1"/>
  <c r="AQ84" i="1"/>
  <c r="AQ68" i="1"/>
  <c r="AQ52" i="1"/>
  <c r="AQ79" i="1"/>
  <c r="AQ47" i="1"/>
  <c r="AQ74" i="1"/>
  <c r="AQ58" i="1"/>
  <c r="AQ69" i="1"/>
  <c r="AQ53" i="1"/>
  <c r="AQ37" i="1"/>
  <c r="AQ103" i="1" l="1"/>
  <c r="BC102" i="1"/>
  <c r="H19" i="2"/>
  <c r="BB102" i="1"/>
  <c r="BD102" i="1"/>
  <c r="AZ102" i="1"/>
  <c r="AY102" i="1"/>
  <c r="G19" i="2"/>
  <c r="E19" i="2"/>
  <c r="H17" i="2"/>
  <c r="F19" i="2"/>
  <c r="BE102" i="1"/>
  <c r="C19" i="2"/>
  <c r="D19" i="2"/>
  <c r="BA102" i="1"/>
  <c r="AJ49" i="1" l="1"/>
  <c r="AP49" i="1" s="1"/>
  <c r="AJ44" i="1"/>
  <c r="AP44" i="1" s="1"/>
  <c r="AH60" i="1"/>
  <c r="AN60" i="1" s="1"/>
  <c r="AI43" i="1"/>
  <c r="AO43" i="1" s="1"/>
  <c r="AH57" i="1"/>
  <c r="AN57" i="1" s="1"/>
  <c r="AH31" i="1"/>
  <c r="AN31" i="1" s="1"/>
  <c r="AI42" i="1"/>
  <c r="AO42" i="1" s="1"/>
  <c r="AI49" i="1"/>
  <c r="AO49" i="1" s="1"/>
  <c r="AI60" i="1"/>
  <c r="AO60" i="1" s="1"/>
  <c r="AI45" i="1"/>
  <c r="AO45" i="1" s="1"/>
  <c r="AI44" i="1"/>
  <c r="AO44" i="1" s="1"/>
  <c r="AH58" i="1"/>
  <c r="AN58" i="1" s="1"/>
  <c r="AI36" i="1"/>
  <c r="AO36" i="1" s="1"/>
  <c r="AH55" i="1"/>
  <c r="AN55" i="1" s="1"/>
  <c r="AH49" i="1"/>
  <c r="AN49" i="1" s="1"/>
  <c r="AH46" i="1"/>
  <c r="AN46" i="1" s="1"/>
  <c r="AJ31" i="1"/>
  <c r="AP31" i="1" s="1"/>
  <c r="AI56" i="1"/>
  <c r="AO56" i="1" s="1"/>
  <c r="AJ54" i="1"/>
  <c r="AP54" i="1" s="1"/>
  <c r="AJ57" i="1"/>
  <c r="AP57" i="1" s="1"/>
  <c r="AI37" i="1"/>
  <c r="AO37" i="1" s="1"/>
  <c r="AI47" i="1"/>
  <c r="AO47" i="1" s="1"/>
  <c r="AJ37" i="1"/>
  <c r="AP37" i="1" s="1"/>
  <c r="AI34" i="1"/>
  <c r="AO34" i="1" s="1"/>
  <c r="AJ43" i="1"/>
  <c r="AP43" i="1" s="1"/>
  <c r="AJ58" i="1"/>
  <c r="AP58" i="1" s="1"/>
  <c r="AJ50" i="1"/>
  <c r="AP50" i="1" s="1"/>
  <c r="AH42" i="1"/>
  <c r="AN42" i="1" s="1"/>
  <c r="AJ34" i="1"/>
  <c r="AP34" i="1" s="1"/>
  <c r="AJ38" i="1"/>
  <c r="AP38" i="1" s="1"/>
  <c r="AJ46" i="1"/>
  <c r="AP46" i="1" s="1"/>
  <c r="AH59" i="1"/>
  <c r="AN59" i="1" s="1"/>
  <c r="AI39" i="1"/>
  <c r="AO39" i="1" s="1"/>
  <c r="AJ45" i="1"/>
  <c r="AP45" i="1" s="1"/>
  <c r="AI57" i="1"/>
  <c r="AO57" i="1" s="1"/>
  <c r="AI33" i="1"/>
  <c r="AO33" i="1" s="1"/>
  <c r="AI35" i="1"/>
  <c r="AO35" i="1" s="1"/>
  <c r="AI59" i="1"/>
  <c r="AO59" i="1" s="1"/>
  <c r="AI40" i="1"/>
  <c r="AO40" i="1" s="1"/>
  <c r="AJ30" i="1"/>
  <c r="AP30" i="1" s="1"/>
  <c r="AH30" i="1"/>
  <c r="AN30" i="1" s="1"/>
  <c r="AI51" i="1"/>
  <c r="AO51" i="1" s="1"/>
  <c r="AI55" i="1"/>
  <c r="AO55" i="1" s="1"/>
  <c r="AI30" i="1"/>
  <c r="AO30" i="1" s="1"/>
  <c r="AI53" i="1"/>
  <c r="AO53" i="1" s="1"/>
  <c r="AJ32" i="1"/>
  <c r="AP32" i="1" s="1"/>
  <c r="AI41" i="1"/>
  <c r="AO41" i="1" s="1"/>
  <c r="AJ55" i="1"/>
  <c r="AP55" i="1" s="1"/>
  <c r="AJ60" i="1"/>
  <c r="AP60" i="1" s="1"/>
  <c r="AJ52" i="1"/>
  <c r="AP52" i="1" s="1"/>
  <c r="AI46" i="1"/>
  <c r="AO46" i="1" s="1"/>
  <c r="AJ53" i="1"/>
  <c r="AP53" i="1" s="1"/>
  <c r="AI38" i="1"/>
  <c r="AO38" i="1" s="1"/>
  <c r="AJ42" i="1"/>
  <c r="AP42" i="1" s="1"/>
  <c r="AI54" i="1"/>
  <c r="AO54" i="1" s="1"/>
  <c r="AJ56" i="1"/>
  <c r="AP56" i="1" s="1"/>
  <c r="AJ47" i="1"/>
  <c r="AP47" i="1" s="1"/>
  <c r="AJ40" i="1"/>
  <c r="AP40" i="1" s="1"/>
  <c r="AH32" i="1"/>
  <c r="AN32" i="1" s="1"/>
  <c r="AJ41" i="1"/>
  <c r="AP41" i="1" s="1"/>
  <c r="AI58" i="1"/>
  <c r="AO58" i="1" s="1"/>
  <c r="AI32" i="1"/>
  <c r="AO32" i="1" s="1"/>
  <c r="AI31" i="1"/>
  <c r="AO31" i="1" s="1"/>
  <c r="AI50" i="1"/>
  <c r="AO50" i="1" s="1"/>
  <c r="AI48" i="1"/>
  <c r="AO48" i="1" s="1"/>
  <c r="AI52" i="1"/>
  <c r="AO52" i="1" s="1"/>
  <c r="AO103" i="1" l="1"/>
  <c r="AJ39" i="1"/>
  <c r="AP39" i="1" s="1"/>
  <c r="AJ59" i="1"/>
  <c r="AP59" i="1" s="1"/>
  <c r="AJ35" i="1"/>
  <c r="AP35" i="1" s="1"/>
  <c r="AJ51" i="1"/>
  <c r="AP51" i="1" s="1"/>
  <c r="AJ48" i="1"/>
  <c r="AP48" i="1" s="1"/>
  <c r="AJ33" i="1"/>
  <c r="AP33" i="1" s="1"/>
  <c r="AJ36" i="1"/>
  <c r="AP36" i="1" s="1"/>
  <c r="AH41" i="1"/>
  <c r="AN41" i="1" s="1"/>
  <c r="AH34" i="1"/>
  <c r="AN34" i="1" s="1"/>
  <c r="AH51" i="1"/>
  <c r="AN51" i="1" s="1"/>
  <c r="AH47" i="1"/>
  <c r="AN47" i="1" s="1"/>
  <c r="AH45" i="1"/>
  <c r="AN45" i="1" s="1"/>
  <c r="AH50" i="1"/>
  <c r="AN50" i="1" s="1"/>
  <c r="AH56" i="1"/>
  <c r="AN56" i="1" s="1"/>
  <c r="AH39" i="1"/>
  <c r="AN39" i="1" s="1"/>
  <c r="AH36" i="1"/>
  <c r="AN36" i="1" s="1"/>
  <c r="AH52" i="1"/>
  <c r="AN52" i="1" s="1"/>
  <c r="AH54" i="1"/>
  <c r="AN54" i="1" s="1"/>
  <c r="AH44" i="1"/>
  <c r="AN44" i="1" s="1"/>
  <c r="AH35" i="1"/>
  <c r="AN35" i="1" s="1"/>
  <c r="AH48" i="1"/>
  <c r="AN48" i="1" s="1"/>
  <c r="AH43" i="1"/>
  <c r="AN43" i="1" s="1"/>
  <c r="AH37" i="1"/>
  <c r="AN37" i="1" s="1"/>
  <c r="AH38" i="1"/>
  <c r="AN38" i="1" s="1"/>
  <c r="AH40" i="1"/>
  <c r="AN40" i="1" s="1"/>
  <c r="AH53" i="1"/>
  <c r="AN53" i="1" s="1"/>
  <c r="AH33" i="1"/>
  <c r="AN33" i="1" s="1"/>
  <c r="D116" i="1"/>
  <c r="H116" i="1" s="1"/>
  <c r="E105" i="1"/>
  <c r="AR102" i="1" l="1"/>
  <c r="AS102" i="1"/>
  <c r="AN103" i="1"/>
  <c r="C14" i="2" s="1"/>
  <c r="AP103" i="1"/>
  <c r="E14" i="2" s="1"/>
  <c r="D118" i="1"/>
  <c r="H118" i="1" s="1"/>
  <c r="D108" i="1"/>
  <c r="H108" i="1" s="1"/>
  <c r="D117" i="1"/>
  <c r="H117" i="1" s="1"/>
  <c r="D112" i="1"/>
  <c r="H112" i="1" s="1"/>
  <c r="D14" i="2"/>
  <c r="AO102" i="1"/>
  <c r="D114" i="1"/>
  <c r="H114" i="1" s="1"/>
  <c r="D113" i="1"/>
  <c r="H113" i="1" s="1"/>
  <c r="D110" i="1"/>
  <c r="H110" i="1" s="1"/>
  <c r="AN102" i="1"/>
  <c r="AQ102" i="1"/>
  <c r="F14" i="2"/>
  <c r="D111" i="1"/>
  <c r="H111" i="1" s="1"/>
  <c r="D115" i="1"/>
  <c r="H115" i="1" s="1"/>
  <c r="AP102" i="1"/>
  <c r="D109" i="1"/>
  <c r="H109" i="1" s="1"/>
  <c r="AV103" i="1" l="1"/>
  <c r="E17" i="2" s="1"/>
  <c r="AU102" i="1"/>
  <c r="AU103" i="1"/>
  <c r="D17" i="2" s="1"/>
  <c r="AW103" i="1"/>
  <c r="F17" i="2" s="1"/>
  <c r="AW102" i="1"/>
  <c r="AT103" i="1"/>
  <c r="C17" i="2" s="1"/>
  <c r="AX103" i="1"/>
  <c r="G17" i="2" s="1"/>
  <c r="D119" i="1"/>
  <c r="H119" i="1" s="1"/>
  <c r="AT102" i="1"/>
  <c r="AV102" i="1"/>
  <c r="AX102" i="1"/>
</calcChain>
</file>

<file path=xl/comments1.xml><?xml version="1.0" encoding="utf-8"?>
<comments xmlns="http://schemas.openxmlformats.org/spreadsheetml/2006/main">
  <authors>
    <author>Mijanur Rahman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Enter a minor version in lowercase if changes are made more than once in a day; otherwise, leave it blank.</t>
        </r>
      </text>
    </comment>
  </commentList>
</comments>
</file>

<file path=xl/sharedStrings.xml><?xml version="1.0" encoding="utf-8"?>
<sst xmlns="http://schemas.openxmlformats.org/spreadsheetml/2006/main" count="255" uniqueCount="177">
  <si>
    <t xml:space="preserve">Department of Computer Science and Engineering </t>
  </si>
  <si>
    <t>Bangladesh University of Business and Technlogy (BUBT)</t>
  </si>
  <si>
    <t>Course Grade</t>
  </si>
  <si>
    <t>Numerical Grade</t>
  </si>
  <si>
    <t>Letter Grade</t>
  </si>
  <si>
    <t>General Information</t>
  </si>
  <si>
    <t>80% and above</t>
  </si>
  <si>
    <t>A+</t>
  </si>
  <si>
    <t>(A Plus)</t>
  </si>
  <si>
    <t>Course No:</t>
  </si>
  <si>
    <t>75% to less than 80%</t>
  </si>
  <si>
    <t>A</t>
  </si>
  <si>
    <t>(A Regular)</t>
  </si>
  <si>
    <t>Course Title:</t>
  </si>
  <si>
    <t>70% to less than 75%</t>
  </si>
  <si>
    <t>A-</t>
  </si>
  <si>
    <t>(A Minus)</t>
  </si>
  <si>
    <t>Cr. Hr.:</t>
  </si>
  <si>
    <t>65% to less than 70%</t>
  </si>
  <si>
    <t>B+</t>
  </si>
  <si>
    <t>(B Plus)</t>
  </si>
  <si>
    <t>Faculty:</t>
  </si>
  <si>
    <t>60% to less than 65%</t>
  </si>
  <si>
    <t>B</t>
  </si>
  <si>
    <t>(B Regular)</t>
  </si>
  <si>
    <t>Intake:</t>
  </si>
  <si>
    <t>55% to less than 60%</t>
  </si>
  <si>
    <t>B-</t>
  </si>
  <si>
    <t>(B Minus)</t>
  </si>
  <si>
    <t>Section:</t>
  </si>
  <si>
    <t>50% to less than 55%</t>
  </si>
  <si>
    <t>C+</t>
  </si>
  <si>
    <t>(C Plus)</t>
  </si>
  <si>
    <t>Shift:</t>
  </si>
  <si>
    <t>45% to less than 50%</t>
  </si>
  <si>
    <t>C</t>
  </si>
  <si>
    <t>(C Regular)</t>
  </si>
  <si>
    <t>40% to less than 45%</t>
  </si>
  <si>
    <t>D</t>
  </si>
  <si>
    <t>Less than 40%</t>
  </si>
  <si>
    <t>F</t>
  </si>
  <si>
    <t>Student ID</t>
  </si>
  <si>
    <t>Student Name</t>
  </si>
  <si>
    <t>MID TERM</t>
  </si>
  <si>
    <t>MT</t>
  </si>
  <si>
    <t>FINAL EXAM</t>
  </si>
  <si>
    <t>FE</t>
  </si>
  <si>
    <t>Total</t>
  </si>
  <si>
    <t>Name</t>
  </si>
  <si>
    <t>CO &amp; PO ACHIEVEMENT ANALYSIS</t>
  </si>
  <si>
    <t>CO1</t>
  </si>
  <si>
    <t>CO2</t>
  </si>
  <si>
    <t>CO3</t>
  </si>
  <si>
    <t>CO4</t>
  </si>
  <si>
    <t>CO MARK OBTAINED</t>
  </si>
  <si>
    <t>CO MARK IN PERCENTAGE</t>
  </si>
  <si>
    <t>PO1</t>
  </si>
  <si>
    <t>PO3</t>
  </si>
  <si>
    <t>%</t>
  </si>
  <si>
    <t>Total Students:</t>
  </si>
  <si>
    <t>Total Achievement:</t>
  </si>
  <si>
    <t>Percentage(%):</t>
  </si>
  <si>
    <t>Result Summary</t>
  </si>
  <si>
    <t>Abbrebiations</t>
  </si>
  <si>
    <t>Class Test</t>
  </si>
  <si>
    <t>Assignment</t>
  </si>
  <si>
    <t>Grade</t>
  </si>
  <si>
    <t>No. of Students</t>
  </si>
  <si>
    <t>Percentage(%)</t>
  </si>
  <si>
    <t>Attendance</t>
  </si>
  <si>
    <t>A (Plus)</t>
  </si>
  <si>
    <t>Final Exam</t>
  </si>
  <si>
    <t>B (Plus)</t>
  </si>
  <si>
    <t>PO4</t>
  </si>
  <si>
    <t>PO2</t>
  </si>
  <si>
    <t>GRADE SHEET (OBE)</t>
  </si>
  <si>
    <t>CO ACHIEVEMENT (&gt;=%)</t>
  </si>
  <si>
    <t>PO ACHIEVEMENT (&gt;=%)</t>
  </si>
  <si>
    <t>A (Minus)</t>
  </si>
  <si>
    <t>B (Minus)</t>
  </si>
  <si>
    <t>C (Plus)</t>
  </si>
  <si>
    <t>F (Fail)</t>
  </si>
  <si>
    <t>ID No</t>
  </si>
  <si>
    <t>Total Students Present:</t>
  </si>
  <si>
    <t>PO5</t>
  </si>
  <si>
    <t>PO6</t>
  </si>
  <si>
    <t>PO7</t>
  </si>
  <si>
    <t>PO8</t>
  </si>
  <si>
    <t>PO9</t>
  </si>
  <si>
    <t>PO10</t>
  </si>
  <si>
    <t>PO11</t>
  </si>
  <si>
    <t>PO12</t>
  </si>
  <si>
    <t>Course Report</t>
  </si>
  <si>
    <t>PO Achievement (%)</t>
  </si>
  <si>
    <t>State your suggestions for improving CO-PO achievement of this course.</t>
  </si>
  <si>
    <t xml:space="preserve">State your suggestions for improving teaching methodology of this course. </t>
  </si>
  <si>
    <t>Signature of the Reporting Faculty</t>
  </si>
  <si>
    <t>Semester:</t>
  </si>
  <si>
    <t>Course Outcome</t>
  </si>
  <si>
    <t>Comment 1:</t>
  </si>
  <si>
    <t>Comment 2:</t>
  </si>
  <si>
    <t>Quiz Test</t>
  </si>
  <si>
    <t>Presentation</t>
  </si>
  <si>
    <t>Viva Voce</t>
  </si>
  <si>
    <t>Grade
Point</t>
  </si>
  <si>
    <t>General
Comment:</t>
  </si>
  <si>
    <t>CO
No</t>
  </si>
  <si>
    <t>Lab Test</t>
  </si>
  <si>
    <t>Continuous Assessment</t>
  </si>
  <si>
    <t>CO Achievement (%)</t>
  </si>
  <si>
    <t>Real life scenerio and topology of industry or organization may be simulate using modern simulator and match their packets with layered network architecture</t>
  </si>
  <si>
    <t>(D Regular)</t>
  </si>
  <si>
    <t>(Fail)</t>
  </si>
  <si>
    <t>CT</t>
  </si>
  <si>
    <t>ASM</t>
  </si>
  <si>
    <t>AT</t>
  </si>
  <si>
    <t>QT</t>
  </si>
  <si>
    <t>PRE</t>
  </si>
  <si>
    <t>VIV</t>
  </si>
  <si>
    <t>Lab</t>
  </si>
  <si>
    <t>CP</t>
  </si>
  <si>
    <t>Class Participation</t>
  </si>
  <si>
    <t>Mid Term</t>
  </si>
  <si>
    <t>Error</t>
  </si>
  <si>
    <t>It is recommended to understand more about layered network architecture in addition with modern tools usage</t>
  </si>
  <si>
    <t>Q1</t>
  </si>
  <si>
    <t>Q2</t>
  </si>
  <si>
    <t>Q3</t>
  </si>
  <si>
    <t>Q4</t>
  </si>
  <si>
    <t>CO5</t>
  </si>
  <si>
    <t>CO6</t>
  </si>
  <si>
    <t>File Version:</t>
  </si>
  <si>
    <t>Checksum:</t>
  </si>
  <si>
    <t>Minor Version:</t>
  </si>
  <si>
    <t>[CO1]</t>
  </si>
  <si>
    <t>[CO2]</t>
  </si>
  <si>
    <t>[CO3]</t>
  </si>
  <si>
    <t>[CO4]</t>
  </si>
  <si>
    <t>[CO5]</t>
  </si>
  <si>
    <t>[CO6]</t>
  </si>
  <si>
    <t>CA</t>
  </si>
  <si>
    <t>Course Code:</t>
  </si>
  <si>
    <t>Program:</t>
  </si>
  <si>
    <t>B.Sc. In CSE</t>
  </si>
  <si>
    <t>4113bb0891f236d7ab50586b6241a2a2</t>
  </si>
  <si>
    <t>Summer 2026</t>
  </si>
  <si>
    <t>CSE 103</t>
  </si>
  <si>
    <t>Discrete Mathematics</t>
  </si>
  <si>
    <t>Md. Ashraful Islam (MAFI)</t>
  </si>
  <si>
    <t>Anisha</t>
  </si>
  <si>
    <t>Best
(Max. 3)</t>
  </si>
  <si>
    <r>
      <rPr>
        <sz val="12"/>
        <rFont val="Times New Roman"/>
        <family val="1"/>
      </rPr>
      <t>Ariba Tasnim Sabiha</t>
    </r>
  </si>
  <si>
    <r>
      <rPr>
        <sz val="12"/>
        <rFont val="Times New Roman"/>
        <family val="1"/>
      </rPr>
      <t>Md. Shahriyar Shanto</t>
    </r>
  </si>
  <si>
    <r>
      <rPr>
        <sz val="12"/>
        <rFont val="Times New Roman"/>
        <family val="1"/>
      </rPr>
      <t>Mst.Afia Ebnat Easha</t>
    </r>
  </si>
  <si>
    <r>
      <rPr>
        <sz val="12"/>
        <rFont val="Times New Roman"/>
        <family val="1"/>
      </rPr>
      <t>Samia Tabassum Tasnim</t>
    </r>
  </si>
  <si>
    <r>
      <rPr>
        <sz val="12"/>
        <rFont val="Times New Roman"/>
        <family val="1"/>
      </rPr>
      <t>Nuzhat Zaman</t>
    </r>
  </si>
  <si>
    <r>
      <rPr>
        <sz val="12"/>
        <rFont val="Times New Roman"/>
        <family val="1"/>
      </rPr>
      <t>Kazi Tawsif Jubaer</t>
    </r>
  </si>
  <si>
    <r>
      <rPr>
        <sz val="12"/>
        <rFont val="Times New Roman"/>
        <family val="1"/>
      </rPr>
      <t>Farhan Tanvir</t>
    </r>
  </si>
  <si>
    <r>
      <rPr>
        <sz val="12"/>
        <rFont val="Times New Roman"/>
        <family val="1"/>
      </rPr>
      <t>Sahela Jahan Neha</t>
    </r>
  </si>
  <si>
    <r>
      <rPr>
        <sz val="12"/>
        <rFont val="Times New Roman"/>
        <family val="1"/>
      </rPr>
      <t>Tahsina Afnan Bushra</t>
    </r>
  </si>
  <si>
    <r>
      <rPr>
        <sz val="12"/>
        <rFont val="Times New Roman"/>
        <family val="1"/>
      </rPr>
      <t>Md. Raiyan Islam</t>
    </r>
  </si>
  <si>
    <r>
      <rPr>
        <sz val="12"/>
        <rFont val="Times New Roman"/>
        <family val="1"/>
      </rPr>
      <t>Abdullah Al Kawser</t>
    </r>
  </si>
  <si>
    <r>
      <rPr>
        <sz val="12"/>
        <rFont val="Times New Roman"/>
        <family val="1"/>
      </rPr>
      <t>Pias Karmokar</t>
    </r>
  </si>
  <si>
    <r>
      <rPr>
        <sz val="12"/>
        <rFont val="Times New Roman"/>
        <family val="1"/>
      </rPr>
      <t>Faysal Islam Tamim</t>
    </r>
  </si>
  <si>
    <r>
      <rPr>
        <sz val="12"/>
        <rFont val="Times New Roman"/>
        <family val="1"/>
      </rPr>
      <t>Suraiya Mazed Saima</t>
    </r>
  </si>
  <si>
    <r>
      <rPr>
        <sz val="12"/>
        <rFont val="Times New Roman"/>
        <family val="1"/>
      </rPr>
      <t>Ayesha Rahman</t>
    </r>
  </si>
  <si>
    <r>
      <rPr>
        <sz val="12"/>
        <rFont val="Times New Roman"/>
        <family val="1"/>
      </rPr>
      <t>Tasnim Sultana Barsha</t>
    </r>
  </si>
  <si>
    <r>
      <rPr>
        <sz val="12"/>
        <rFont val="Times New Roman"/>
        <family val="1"/>
      </rPr>
      <t>Md Tarek Hossen</t>
    </r>
  </si>
  <si>
    <r>
      <rPr>
        <sz val="12"/>
        <rFont val="Times New Roman"/>
        <family val="1"/>
      </rPr>
      <t>Sabrina Khanom</t>
    </r>
  </si>
  <si>
    <r>
      <rPr>
        <sz val="12"/>
        <rFont val="Times New Roman"/>
        <family val="1"/>
      </rPr>
      <t>Sobarna Akter</t>
    </r>
  </si>
  <si>
    <r>
      <rPr>
        <sz val="12"/>
        <rFont val="Times New Roman"/>
        <family val="1"/>
      </rPr>
      <t>Md.   Nurullah Nahid</t>
    </r>
  </si>
  <si>
    <r>
      <rPr>
        <sz val="12"/>
        <rFont val="Times New Roman"/>
        <family val="1"/>
      </rPr>
      <t>Ahnaf Ahmed</t>
    </r>
  </si>
  <si>
    <r>
      <rPr>
        <sz val="12"/>
        <rFont val="Times New Roman"/>
        <family val="1"/>
      </rPr>
      <t>Biplob Hossain</t>
    </r>
  </si>
  <si>
    <r>
      <rPr>
        <sz val="12"/>
        <rFont val="Times New Roman"/>
        <family val="1"/>
      </rPr>
      <t>Abdullah Al Ibrahim</t>
    </r>
  </si>
  <si>
    <r>
      <rPr>
        <sz val="12"/>
        <rFont val="Times New Roman"/>
        <family val="1"/>
      </rPr>
      <t>Md. Redwan Islam</t>
    </r>
  </si>
  <si>
    <r>
      <rPr>
        <sz val="12"/>
        <rFont val="Times New Roman"/>
        <family val="1"/>
      </rPr>
      <t>Md. Nastayeen Chowdhury Sahitto</t>
    </r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</si>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</sst>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1" x14ac:knownFonts="1">
    <font>
      <sz val="10"/>
      <color rgb="FF000000"/>
      <name val="Arial"/>
    </font>
    <font>
      <b/>
      <sz val="12"/>
      <color theme="1"/>
      <name val="Times New Roman"/>
      <family val="1"/>
    </font>
    <font>
      <b/>
      <sz val="12"/>
      <color theme="1"/>
      <name val="Verdana"/>
      <family val="2"/>
    </font>
    <font>
      <sz val="12"/>
      <color theme="1"/>
      <name val="Times New Roman"/>
      <family val="1"/>
    </font>
    <font>
      <sz val="12"/>
      <color theme="1"/>
      <name val="Verdana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Times New Roman"/>
      <family val="1"/>
    </font>
    <font>
      <b/>
      <sz val="12"/>
      <color theme="1"/>
      <name val="Verdana"/>
      <family val="2"/>
    </font>
    <font>
      <b/>
      <u/>
      <sz val="12"/>
      <color theme="1"/>
      <name val="Verdana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b/>
      <sz val="9"/>
      <color indexed="81"/>
      <name val="Tahoma"/>
      <family val="2"/>
    </font>
    <font>
      <sz val="12"/>
      <color rgb="FF000000"/>
      <name val="Times New Roman"/>
      <family val="1"/>
    </font>
    <font>
      <b/>
      <sz val="12"/>
      <color rgb="FF073763"/>
      <name val="Times New Roman"/>
      <family val="1"/>
    </font>
    <font>
      <b/>
      <u/>
      <sz val="12"/>
      <color rgb="FF073763"/>
      <name val="Times New Roman"/>
      <family val="1"/>
    </font>
    <font>
      <b/>
      <u/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rgb="FF434343"/>
      <name val="Times New Roman"/>
      <family val="1"/>
    </font>
    <font>
      <sz val="12"/>
      <color rgb="FF434343"/>
      <name val="Times New Roman"/>
      <family val="1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b/>
      <sz val="12"/>
      <color rgb="FF0000CC"/>
      <name val="Times New Roman"/>
      <family val="1"/>
    </font>
    <font>
      <b/>
      <sz val="12"/>
      <color rgb="FFFFFF00"/>
      <name val="Times New Roman"/>
      <family val="1"/>
    </font>
    <font>
      <b/>
      <sz val="12"/>
      <name val="Times New Roman"/>
      <family val="1"/>
    </font>
    <font>
      <sz val="12"/>
      <color rgb="FF0000CC"/>
      <name val="Times New Roman"/>
      <family val="1"/>
    </font>
    <font>
      <b/>
      <sz val="12"/>
      <color rgb="FF0070C0"/>
      <name val="Times New Roman"/>
      <family val="1"/>
    </font>
    <font>
      <b/>
      <sz val="12"/>
      <color rgb="FF000000"/>
      <name val="Times New Roman"/>
      <family val="1"/>
    </font>
    <font>
      <b/>
      <u/>
      <sz val="12"/>
      <color rgb="FF0B5394"/>
      <name val="Times New Roman"/>
      <family val="1"/>
    </font>
    <font>
      <sz val="12"/>
      <color rgb="FFFF000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28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6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210">
    <xf numFmtId="0" fontId="0" fillId="0" borderId="0" xfId="0" applyFont="1" applyAlignment="1"/>
    <xf numFmtId="0" fontId="0" fillId="0" borderId="0" xfId="0" applyFont="1" applyAlignment="1"/>
    <xf numFmtId="0" fontId="7" fillId="0" borderId="0" xfId="1" applyFont="1" applyAlignment="1">
      <alignment horizontal="right"/>
    </xf>
    <xf numFmtId="0" fontId="5" fillId="0" borderId="0" xfId="1" applyFont="1" applyAlignment="1"/>
    <xf numFmtId="0" fontId="7" fillId="0" borderId="0" xfId="1" applyFont="1" applyAlignment="1"/>
    <xf numFmtId="0" fontId="5" fillId="0" borderId="0" xfId="1" applyFont="1" applyAlignment="1">
      <alignment horizontal="left"/>
    </xf>
    <xf numFmtId="0" fontId="6" fillId="0" borderId="0" xfId="1" applyFont="1" applyAlignment="1"/>
    <xf numFmtId="0" fontId="0" fillId="0" borderId="0" xfId="0" applyFont="1" applyAlignment="1"/>
    <xf numFmtId="0" fontId="7" fillId="0" borderId="0" xfId="0" applyFont="1" applyAlignment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0" fontId="0" fillId="0" borderId="0" xfId="0" applyFont="1" applyAlignment="1" applyProtection="1"/>
    <xf numFmtId="0" fontId="5" fillId="0" borderId="0" xfId="1" applyFont="1" applyAlignment="1" applyProtection="1">
      <protection locked="0"/>
    </xf>
    <xf numFmtId="0" fontId="7" fillId="0" borderId="0" xfId="0" applyFont="1" applyAlignment="1" applyProtection="1">
      <protection hidden="1"/>
    </xf>
    <xf numFmtId="0" fontId="5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3" borderId="18" xfId="1" applyFont="1" applyFill="1" applyBorder="1" applyAlignment="1">
      <alignment horizontal="center"/>
    </xf>
    <xf numFmtId="2" fontId="5" fillId="4" borderId="18" xfId="1" applyNumberFormat="1" applyFont="1" applyFill="1" applyBorder="1" applyAlignment="1">
      <alignment horizont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5" fillId="0" borderId="0" xfId="1" applyFont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7" fillId="5" borderId="0" xfId="0" applyFont="1" applyFill="1" applyAlignment="1" applyProtection="1">
      <alignment horizontal="center" vertical="center"/>
      <protection locked="0"/>
    </xf>
    <xf numFmtId="0" fontId="0" fillId="5" borderId="0" xfId="0" applyFont="1" applyFill="1" applyAlignment="1" applyProtection="1">
      <alignment horizontal="center" vertical="center"/>
      <protection locked="0"/>
    </xf>
    <xf numFmtId="0" fontId="0" fillId="5" borderId="0" xfId="0" applyFont="1" applyFill="1" applyAlignment="1" applyProtection="1">
      <alignment horizontal="center"/>
      <protection locked="0"/>
    </xf>
    <xf numFmtId="0" fontId="0" fillId="5" borderId="0" xfId="0" applyFont="1" applyFill="1" applyAlignment="1" applyProtection="1">
      <protection locked="0"/>
    </xf>
    <xf numFmtId="0" fontId="11" fillId="17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left"/>
      <protection hidden="1"/>
    </xf>
    <xf numFmtId="0" fontId="2" fillId="2" borderId="18" xfId="0" applyFont="1" applyFill="1" applyBorder="1" applyAlignment="1" applyProtection="1">
      <alignment horizontal="left"/>
      <protection hidden="1"/>
    </xf>
    <xf numFmtId="0" fontId="14" fillId="0" borderId="18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>
      <alignment horizontal="center" vertical="center"/>
    </xf>
    <xf numFmtId="0" fontId="3" fillId="13" borderId="18" xfId="0" applyFont="1" applyFill="1" applyBorder="1" applyAlignment="1" applyProtection="1">
      <alignment horizontal="center" vertical="center"/>
    </xf>
    <xf numFmtId="0" fontId="3" fillId="13" borderId="18" xfId="0" applyFont="1" applyFill="1" applyBorder="1" applyAlignment="1" applyProtection="1">
      <alignment horizontal="center" vertical="center"/>
      <protection locked="0"/>
    </xf>
    <xf numFmtId="0" fontId="3" fillId="13" borderId="18" xfId="0" applyFont="1" applyFill="1" applyBorder="1" applyAlignment="1" applyProtection="1">
      <alignment horizontal="center" vertical="center" wrapText="1"/>
      <protection locked="0"/>
    </xf>
    <xf numFmtId="0" fontId="3" fillId="13" borderId="15" xfId="0" applyFont="1" applyFill="1" applyBorder="1" applyAlignment="1" applyProtection="1">
      <alignment horizontal="center" vertical="center" wrapText="1"/>
      <protection locked="0"/>
    </xf>
    <xf numFmtId="1" fontId="23" fillId="15" borderId="10" xfId="0" applyNumberFormat="1" applyFont="1" applyFill="1" applyBorder="1" applyAlignment="1" applyProtection="1">
      <alignment horizontal="center" vertical="center"/>
      <protection locked="0"/>
    </xf>
    <xf numFmtId="1" fontId="23" fillId="15" borderId="11" xfId="0" applyNumberFormat="1" applyFont="1" applyFill="1" applyBorder="1" applyAlignment="1" applyProtection="1">
      <alignment horizontal="center" vertical="center"/>
      <protection locked="0"/>
    </xf>
    <xf numFmtId="1" fontId="23" fillId="14" borderId="15" xfId="0" applyNumberFormat="1" applyFont="1" applyFill="1" applyBorder="1" applyAlignment="1" applyProtection="1">
      <alignment horizontal="center" vertical="center"/>
      <protection hidden="1"/>
    </xf>
    <xf numFmtId="0" fontId="3" fillId="7" borderId="7" xfId="0" applyFont="1" applyFill="1" applyBorder="1" applyAlignment="1" applyProtection="1">
      <alignment horizontal="center" vertical="center" wrapText="1"/>
    </xf>
    <xf numFmtId="0" fontId="3" fillId="16" borderId="7" xfId="0" applyFont="1" applyFill="1" applyBorder="1" applyAlignment="1" applyProtection="1">
      <alignment horizontal="center" vertical="center" wrapText="1"/>
      <protection hidden="1"/>
    </xf>
    <xf numFmtId="0" fontId="3" fillId="14" borderId="18" xfId="0" applyFont="1" applyFill="1" applyBorder="1" applyAlignment="1" applyProtection="1">
      <alignment horizontal="center" vertical="center"/>
      <protection locked="0"/>
    </xf>
    <xf numFmtId="1" fontId="3" fillId="18" borderId="10" xfId="0" applyNumberFormat="1" applyFont="1" applyFill="1" applyBorder="1" applyAlignment="1" applyProtection="1">
      <alignment horizontal="center" vertical="center"/>
      <protection hidden="1"/>
    </xf>
    <xf numFmtId="0" fontId="26" fillId="19" borderId="10" xfId="0" applyFont="1" applyFill="1" applyBorder="1" applyAlignment="1" applyProtection="1">
      <alignment horizontal="center" vertical="center"/>
      <protection hidden="1"/>
    </xf>
    <xf numFmtId="1" fontId="3" fillId="6" borderId="11" xfId="0" applyNumberFormat="1" applyFont="1" applyFill="1" applyBorder="1" applyAlignment="1" applyProtection="1">
      <alignment horizontal="center" vertical="center"/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2" fontId="3" fillId="7" borderId="7" xfId="0" applyNumberFormat="1" applyFont="1" applyFill="1" applyBorder="1" applyAlignment="1" applyProtection="1">
      <alignment horizontal="center" vertical="center" wrapText="1"/>
      <protection hidden="1"/>
    </xf>
    <xf numFmtId="2" fontId="27" fillId="18" borderId="9" xfId="0" applyNumberFormat="1" applyFont="1" applyFill="1" applyBorder="1" applyAlignment="1" applyProtection="1">
      <alignment horizontal="center" vertical="center"/>
      <protection hidden="1"/>
    </xf>
    <xf numFmtId="2" fontId="27" fillId="19" borderId="12" xfId="0" applyNumberFormat="1" applyFont="1" applyFill="1" applyBorder="1" applyAlignment="1" applyProtection="1">
      <alignment horizontal="center" vertical="center"/>
      <protection hidden="1"/>
    </xf>
    <xf numFmtId="2" fontId="27" fillId="6" borderId="11" xfId="0" applyNumberFormat="1" applyFont="1" applyFill="1" applyBorder="1" applyAlignment="1" applyProtection="1">
      <alignment horizontal="center" vertical="center"/>
      <protection hidden="1"/>
    </xf>
    <xf numFmtId="2" fontId="1" fillId="13" borderId="15" xfId="0" applyNumberFormat="1" applyFont="1" applyFill="1" applyBorder="1" applyAlignment="1" applyProtection="1">
      <alignment horizontal="center" vertical="center" wrapText="1"/>
      <protection hidden="1"/>
    </xf>
    <xf numFmtId="0" fontId="1" fillId="11" borderId="7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2" fontId="3" fillId="16" borderId="7" xfId="0" applyNumberFormat="1" applyFont="1" applyFill="1" applyBorder="1" applyAlignment="1" applyProtection="1">
      <alignment horizontal="center" vertical="center"/>
      <protection hidden="1"/>
    </xf>
    <xf numFmtId="0" fontId="1" fillId="8" borderId="7" xfId="0" applyFont="1" applyFill="1" applyBorder="1" applyAlignment="1" applyProtection="1">
      <alignment horizontal="center" vertical="center"/>
      <protection hidden="1"/>
    </xf>
    <xf numFmtId="0" fontId="1" fillId="10" borderId="7" xfId="0" applyFont="1" applyFill="1" applyBorder="1" applyAlignment="1" applyProtection="1">
      <alignment horizontal="center" vertical="center"/>
      <protection hidden="1"/>
    </xf>
    <xf numFmtId="0" fontId="3" fillId="15" borderId="18" xfId="0" applyFont="1" applyFill="1" applyBorder="1" applyAlignment="1" applyProtection="1">
      <alignment horizontal="center" vertical="center"/>
      <protection locked="0"/>
    </xf>
    <xf numFmtId="0" fontId="1" fillId="0" borderId="7" xfId="0" applyFont="1" applyFill="1" applyBorder="1" applyAlignment="1" applyProtection="1">
      <alignment horizontal="center" vertical="center"/>
      <protection hidden="1"/>
    </xf>
    <xf numFmtId="2" fontId="1" fillId="0" borderId="7" xfId="0" applyNumberFormat="1" applyFont="1" applyFill="1" applyBorder="1" applyAlignment="1" applyProtection="1">
      <alignment horizontal="center" vertical="center"/>
      <protection hidden="1"/>
    </xf>
    <xf numFmtId="164" fontId="3" fillId="15" borderId="17" xfId="0" applyNumberFormat="1" applyFont="1" applyFill="1" applyBorder="1" applyAlignment="1" applyProtection="1">
      <alignment horizontal="center" vertical="center"/>
      <protection locked="0"/>
    </xf>
    <xf numFmtId="164" fontId="3" fillId="15" borderId="18" xfId="0" applyNumberFormat="1" applyFont="1" applyFill="1" applyBorder="1" applyAlignment="1" applyProtection="1">
      <alignment horizontal="center" vertical="center"/>
      <protection locked="0"/>
    </xf>
    <xf numFmtId="164" fontId="3" fillId="15" borderId="7" xfId="0" applyNumberFormat="1" applyFont="1" applyFill="1" applyBorder="1" applyAlignment="1" applyProtection="1">
      <alignment horizontal="center" vertical="center" wrapText="1"/>
      <protection locked="0"/>
    </xf>
    <xf numFmtId="164" fontId="3" fillId="15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164" fontId="3" fillId="15" borderId="13" xfId="0" applyNumberFormat="1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164" fontId="3" fillId="15" borderId="15" xfId="0" applyNumberFormat="1" applyFont="1" applyFill="1" applyBorder="1" applyAlignment="1" applyProtection="1">
      <alignment horizontal="center" vertical="center" wrapText="1"/>
      <protection locked="0"/>
    </xf>
    <xf numFmtId="164" fontId="3" fillId="15" borderId="15" xfId="0" applyNumberFormat="1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 applyProtection="1">
      <alignment horizontal="center" vertical="center"/>
      <protection locked="0"/>
    </xf>
    <xf numFmtId="164" fontId="3" fillId="15" borderId="18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15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Fill="1" applyAlignment="1" applyProtection="1">
      <alignment horizontal="center" vertical="center"/>
      <protection locked="0"/>
    </xf>
    <xf numFmtId="0" fontId="18" fillId="0" borderId="0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 wrapText="1"/>
    </xf>
    <xf numFmtId="0" fontId="19" fillId="8" borderId="18" xfId="0" applyFont="1" applyFill="1" applyBorder="1" applyAlignment="1" applyProtection="1">
      <alignment horizontal="center" vertical="center" wrapText="1"/>
    </xf>
    <xf numFmtId="0" fontId="3" fillId="6" borderId="18" xfId="0" applyFont="1" applyFill="1" applyBorder="1" applyAlignment="1">
      <alignment horizontal="center" vertical="center"/>
    </xf>
    <xf numFmtId="2" fontId="3" fillId="6" borderId="18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 wrapText="1"/>
    </xf>
    <xf numFmtId="0" fontId="20" fillId="0" borderId="0" xfId="0" applyFont="1" applyFill="1" applyAlignment="1" applyProtection="1">
      <alignment horizontal="center" vertical="center"/>
      <protection locked="0"/>
    </xf>
    <xf numFmtId="0" fontId="19" fillId="8" borderId="18" xfId="0" applyFont="1" applyFill="1" applyBorder="1" applyAlignment="1" applyProtection="1">
      <alignment horizontal="center" vertical="center"/>
    </xf>
    <xf numFmtId="0" fontId="19" fillId="8" borderId="18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1" fillId="17" borderId="0" xfId="0" applyFont="1" applyFill="1" applyAlignment="1">
      <alignment horizontal="center" vertical="center"/>
    </xf>
    <xf numFmtId="0" fontId="14" fillId="0" borderId="0" xfId="0" applyFont="1" applyFill="1" applyAlignment="1" applyProtection="1">
      <alignment horizontal="center" vertical="center"/>
      <protection hidden="1"/>
    </xf>
    <xf numFmtId="0" fontId="14" fillId="10" borderId="0" xfId="0" applyFont="1" applyFill="1" applyAlignment="1" applyProtection="1">
      <alignment horizontal="center" vertical="center"/>
      <protection hidden="1"/>
    </xf>
    <xf numFmtId="1" fontId="14" fillId="0" borderId="26" xfId="0" applyNumberFormat="1" applyFont="1" applyFill="1" applyBorder="1" applyAlignment="1" applyProtection="1">
      <alignment horizontal="center" vertical="center" shrinkToFit="1"/>
      <protection locked="0"/>
    </xf>
    <xf numFmtId="0" fontId="14" fillId="0" borderId="26" xfId="0" applyFont="1" applyFill="1" applyBorder="1" applyAlignment="1" applyProtection="1">
      <alignment horizontal="center" vertical="center" wrapText="1"/>
      <protection locked="0"/>
    </xf>
    <xf numFmtId="2" fontId="14" fillId="0" borderId="26" xfId="0" applyNumberFormat="1" applyFont="1" applyFill="1" applyBorder="1" applyAlignment="1" applyProtection="1">
      <alignment horizontal="center" vertical="center" shrinkToFit="1"/>
      <protection locked="0"/>
    </xf>
    <xf numFmtId="0" fontId="18" fillId="0" borderId="26" xfId="0" applyFont="1" applyFill="1" applyBorder="1" applyAlignment="1" applyProtection="1">
      <alignment horizontal="center" vertical="center" wrapText="1"/>
      <protection locked="0"/>
    </xf>
    <xf numFmtId="0" fontId="14" fillId="0" borderId="18" xfId="0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1" fontId="14" fillId="20" borderId="26" xfId="0" applyNumberFormat="1" applyFont="1" applyFill="1" applyBorder="1" applyAlignment="1" applyProtection="1">
      <alignment horizontal="center" vertical="center" shrinkToFit="1"/>
      <protection locked="0"/>
    </xf>
    <xf numFmtId="0" fontId="14" fillId="20" borderId="26" xfId="0" applyFont="1" applyFill="1" applyBorder="1" applyAlignment="1" applyProtection="1">
      <alignment horizontal="center" vertical="center" wrapText="1"/>
      <protection locked="0"/>
    </xf>
    <xf numFmtId="0" fontId="14" fillId="0" borderId="26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10" borderId="15" xfId="0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center" vertical="center" wrapText="1"/>
      <protection hidden="1"/>
    </xf>
    <xf numFmtId="0" fontId="3" fillId="10" borderId="17" xfId="0" applyFont="1" applyFill="1" applyBorder="1" applyAlignment="1" applyProtection="1">
      <alignment horizontal="center" vertical="center" wrapText="1"/>
      <protection hidden="1"/>
    </xf>
    <xf numFmtId="0" fontId="23" fillId="14" borderId="8" xfId="0" applyFont="1" applyFill="1" applyBorder="1" applyAlignment="1" applyProtection="1">
      <alignment horizontal="center" vertical="center" wrapText="1"/>
    </xf>
    <xf numFmtId="0" fontId="18" fillId="14" borderId="5" xfId="0" applyFont="1" applyFill="1" applyBorder="1" applyAlignment="1" applyProtection="1">
      <alignment horizontal="center" vertical="center"/>
    </xf>
    <xf numFmtId="0" fontId="18" fillId="14" borderId="6" xfId="0" applyFont="1" applyFill="1" applyBorder="1" applyAlignment="1" applyProtection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20" fillId="8" borderId="18" xfId="0" applyFont="1" applyFill="1" applyBorder="1" applyAlignment="1" applyProtection="1">
      <alignment horizontal="center" vertical="center"/>
    </xf>
    <xf numFmtId="0" fontId="1" fillId="14" borderId="22" xfId="0" applyFont="1" applyFill="1" applyBorder="1" applyAlignment="1" applyProtection="1">
      <alignment horizontal="center" vertical="center"/>
    </xf>
    <xf numFmtId="0" fontId="1" fillId="14" borderId="21" xfId="0" applyFont="1" applyFill="1" applyBorder="1" applyAlignment="1" applyProtection="1">
      <alignment horizontal="center" vertical="center"/>
    </xf>
    <xf numFmtId="0" fontId="1" fillId="14" borderId="24" xfId="0" applyFont="1" applyFill="1" applyBorder="1" applyAlignment="1" applyProtection="1">
      <alignment horizontal="center" vertical="center"/>
    </xf>
    <xf numFmtId="0" fontId="1" fillId="14" borderId="9" xfId="0" applyFont="1" applyFill="1" applyBorder="1" applyAlignment="1" applyProtection="1">
      <alignment horizontal="center" vertical="center" wrapText="1"/>
    </xf>
    <xf numFmtId="0" fontId="1" fillId="14" borderId="10" xfId="0" applyFont="1" applyFill="1" applyBorder="1" applyAlignment="1" applyProtection="1">
      <alignment horizontal="center" vertical="center" wrapText="1"/>
    </xf>
    <xf numFmtId="0" fontId="1" fillId="14" borderId="11" xfId="0" applyFont="1" applyFill="1" applyBorder="1" applyAlignment="1" applyProtection="1">
      <alignment horizontal="center" vertical="center" wrapText="1"/>
    </xf>
    <xf numFmtId="0" fontId="1" fillId="7" borderId="1" xfId="0" applyFont="1" applyFill="1" applyBorder="1" applyAlignment="1" applyProtection="1">
      <alignment horizontal="center" vertical="center" wrapText="1"/>
      <protection hidden="1"/>
    </xf>
    <xf numFmtId="0" fontId="1" fillId="7" borderId="12" xfId="0" applyFont="1" applyFill="1" applyBorder="1" applyAlignment="1" applyProtection="1">
      <alignment horizontal="center" vertical="center" wrapText="1"/>
      <protection hidden="1"/>
    </xf>
    <xf numFmtId="0" fontId="1" fillId="7" borderId="3" xfId="0" applyFont="1" applyFill="1" applyBorder="1" applyAlignment="1" applyProtection="1">
      <alignment horizontal="center" vertical="center" wrapText="1"/>
      <protection hidden="1"/>
    </xf>
    <xf numFmtId="0" fontId="1" fillId="16" borderId="1" xfId="0" applyFont="1" applyFill="1" applyBorder="1" applyAlignment="1" applyProtection="1">
      <alignment horizontal="center" vertical="center" wrapText="1"/>
      <protection hidden="1"/>
    </xf>
    <xf numFmtId="0" fontId="1" fillId="16" borderId="12" xfId="0" applyFont="1" applyFill="1" applyBorder="1" applyAlignment="1" applyProtection="1">
      <alignment horizontal="center" vertical="center" wrapText="1"/>
      <protection hidden="1"/>
    </xf>
    <xf numFmtId="0" fontId="1" fillId="16" borderId="3" xfId="0" applyFont="1" applyFill="1" applyBorder="1" applyAlignment="1" applyProtection="1">
      <alignment horizontal="center" vertical="center" wrapText="1"/>
      <protection hidden="1"/>
    </xf>
    <xf numFmtId="0" fontId="18" fillId="8" borderId="5" xfId="0" applyFont="1" applyFill="1" applyBorder="1" applyAlignment="1" applyProtection="1">
      <alignment horizontal="center" vertical="center"/>
    </xf>
    <xf numFmtId="0" fontId="18" fillId="8" borderId="6" xfId="0" applyFont="1" applyFill="1" applyBorder="1" applyAlignment="1" applyProtection="1">
      <alignment horizontal="center" vertical="center"/>
    </xf>
    <xf numFmtId="0" fontId="3" fillId="8" borderId="8" xfId="0" applyFont="1" applyFill="1" applyBorder="1" applyAlignment="1" applyProtection="1">
      <alignment horizontal="center" vertical="center" wrapText="1"/>
      <protection hidden="1"/>
    </xf>
    <xf numFmtId="0" fontId="18" fillId="8" borderId="14" xfId="0" applyFont="1" applyFill="1" applyBorder="1" applyAlignment="1" applyProtection="1">
      <alignment horizontal="center" vertical="center"/>
      <protection hidden="1"/>
    </xf>
    <xf numFmtId="0" fontId="18" fillId="10" borderId="5" xfId="0" applyFont="1" applyFill="1" applyBorder="1" applyAlignment="1" applyProtection="1">
      <alignment horizontal="center" vertical="center"/>
    </xf>
    <xf numFmtId="0" fontId="24" fillId="12" borderId="16" xfId="0" applyFont="1" applyFill="1" applyBorder="1" applyAlignment="1" applyProtection="1">
      <alignment horizontal="center" vertical="center" wrapText="1"/>
    </xf>
    <xf numFmtId="0" fontId="24" fillId="12" borderId="0" xfId="0" applyFont="1" applyFill="1" applyBorder="1" applyAlignment="1" applyProtection="1">
      <alignment horizontal="center" vertical="center" wrapText="1"/>
    </xf>
    <xf numFmtId="0" fontId="22" fillId="17" borderId="0" xfId="0" applyFont="1" applyFill="1" applyAlignment="1">
      <alignment horizontal="center" vertical="center"/>
    </xf>
    <xf numFmtId="11" fontId="22" fillId="17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3" fillId="9" borderId="18" xfId="0" applyFont="1" applyFill="1" applyBorder="1" applyAlignment="1" applyProtection="1">
      <alignment horizontal="center" vertical="center" wrapText="1"/>
      <protection locked="0"/>
    </xf>
    <xf numFmtId="0" fontId="3" fillId="0" borderId="18" xfId="0" applyFont="1" applyFill="1" applyBorder="1" applyAlignment="1" applyProtection="1">
      <alignment horizontal="center" vertical="center"/>
      <protection hidden="1"/>
    </xf>
    <xf numFmtId="2" fontId="1" fillId="0" borderId="18" xfId="0" applyNumberFormat="1" applyFont="1" applyFill="1" applyBorder="1" applyAlignment="1" applyProtection="1">
      <alignment horizontal="center" vertical="center"/>
      <protection hidden="1"/>
    </xf>
    <xf numFmtId="0" fontId="3" fillId="0" borderId="19" xfId="0" applyFont="1" applyFill="1" applyBorder="1" applyAlignment="1" applyProtection="1">
      <alignment horizontal="center" vertical="center"/>
      <protection hidden="1"/>
    </xf>
    <xf numFmtId="0" fontId="3" fillId="0" borderId="20" xfId="0" applyFont="1" applyFill="1" applyBorder="1" applyAlignment="1" applyProtection="1">
      <alignment horizontal="center" vertical="center"/>
      <protection hidden="1"/>
    </xf>
    <xf numFmtId="0" fontId="1" fillId="0" borderId="19" xfId="0" applyFont="1" applyFill="1" applyBorder="1" applyAlignment="1" applyProtection="1">
      <alignment horizontal="center" vertical="center"/>
      <protection hidden="1"/>
    </xf>
    <xf numFmtId="0" fontId="1" fillId="0" borderId="20" xfId="0" applyFont="1" applyFill="1" applyBorder="1" applyAlignment="1" applyProtection="1">
      <alignment horizontal="center" vertical="center"/>
      <protection hidden="1"/>
    </xf>
    <xf numFmtId="0" fontId="17" fillId="0" borderId="0" xfId="0" applyFont="1" applyFill="1" applyAlignment="1">
      <alignment horizontal="center" vertical="center"/>
    </xf>
    <xf numFmtId="0" fontId="1" fillId="0" borderId="9" xfId="0" applyFont="1" applyFill="1" applyBorder="1" applyAlignment="1" applyProtection="1">
      <alignment horizontal="center" vertical="center"/>
      <protection hidden="1"/>
    </xf>
    <xf numFmtId="0" fontId="18" fillId="0" borderId="16" xfId="0" applyFont="1" applyFill="1" applyBorder="1" applyAlignment="1" applyProtection="1">
      <alignment horizontal="center" vertical="center"/>
      <protection hidden="1"/>
    </xf>
    <xf numFmtId="0" fontId="18" fillId="0" borderId="4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8" fillId="0" borderId="13" xfId="0" applyFont="1" applyFill="1" applyBorder="1" applyAlignment="1" applyProtection="1">
      <alignment horizontal="center" vertical="center"/>
      <protection hidden="1"/>
    </xf>
    <xf numFmtId="0" fontId="18" fillId="0" borderId="14" xfId="0" applyFont="1" applyFill="1" applyBorder="1" applyAlignment="1" applyProtection="1">
      <alignment horizontal="center" vertical="center"/>
      <protection hidden="1"/>
    </xf>
    <xf numFmtId="0" fontId="1" fillId="11" borderId="8" xfId="0" applyFont="1" applyFill="1" applyBorder="1" applyAlignment="1" applyProtection="1">
      <alignment horizontal="center" vertical="center" wrapText="1"/>
    </xf>
    <xf numFmtId="0" fontId="25" fillId="11" borderId="13" xfId="0" applyFont="1" applyFill="1" applyBorder="1" applyAlignment="1" applyProtection="1">
      <alignment horizontal="center" vertical="center"/>
    </xf>
    <xf numFmtId="0" fontId="25" fillId="11" borderId="14" xfId="0" applyFont="1" applyFill="1" applyBorder="1" applyAlignment="1" applyProtection="1">
      <alignment horizontal="center" vertical="center"/>
    </xf>
    <xf numFmtId="0" fontId="3" fillId="8" borderId="15" xfId="0" applyFont="1" applyFill="1" applyBorder="1" applyAlignment="1" applyProtection="1">
      <alignment horizontal="center" vertical="center" wrapText="1"/>
      <protection hidden="1"/>
    </xf>
    <xf numFmtId="0" fontId="3" fillId="8" borderId="17" xfId="0" applyFont="1" applyFill="1" applyBorder="1" applyAlignment="1" applyProtection="1">
      <alignment horizontal="center" vertical="center" wrapText="1"/>
      <protection hidden="1"/>
    </xf>
    <xf numFmtId="0" fontId="1" fillId="0" borderId="9" xfId="0" applyFont="1" applyFill="1" applyBorder="1" applyAlignment="1" applyProtection="1">
      <alignment horizontal="center" vertical="center" wrapText="1"/>
    </xf>
    <xf numFmtId="0" fontId="18" fillId="0" borderId="16" xfId="0" applyFont="1" applyFill="1" applyBorder="1" applyAlignment="1" applyProtection="1">
      <alignment horizontal="center" vertical="center"/>
    </xf>
    <xf numFmtId="0" fontId="18" fillId="0" borderId="4" xfId="0" applyFont="1" applyFill="1" applyBorder="1" applyAlignment="1" applyProtection="1">
      <alignment horizontal="center" vertical="center"/>
    </xf>
    <xf numFmtId="0" fontId="1" fillId="0" borderId="18" xfId="0" applyFont="1" applyFill="1" applyBorder="1" applyAlignment="1" applyProtection="1">
      <alignment horizontal="center" vertical="center"/>
      <protection hidden="1"/>
    </xf>
    <xf numFmtId="0" fontId="14" fillId="0" borderId="18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</xf>
    <xf numFmtId="0" fontId="18" fillId="14" borderId="2" xfId="0" applyFont="1" applyFill="1" applyBorder="1" applyAlignment="1" applyProtection="1">
      <alignment horizontal="center" vertical="center"/>
    </xf>
    <xf numFmtId="0" fontId="18" fillId="14" borderId="10" xfId="0" applyFont="1" applyFill="1" applyBorder="1" applyAlignment="1" applyProtection="1">
      <alignment horizontal="center" vertical="center"/>
    </xf>
    <xf numFmtId="0" fontId="29" fillId="0" borderId="18" xfId="0" applyFont="1" applyFill="1" applyBorder="1" applyAlignment="1" applyProtection="1">
      <alignment horizontal="center" vertical="center"/>
      <protection hidden="1"/>
    </xf>
    <xf numFmtId="1" fontId="1" fillId="0" borderId="19" xfId="0" applyNumberFormat="1" applyFont="1" applyFill="1" applyBorder="1" applyAlignment="1" applyProtection="1">
      <alignment horizontal="center" vertical="center"/>
      <protection hidden="1"/>
    </xf>
    <xf numFmtId="1" fontId="1" fillId="0" borderId="23" xfId="0" applyNumberFormat="1" applyFont="1" applyFill="1" applyBorder="1" applyAlignment="1" applyProtection="1">
      <alignment horizontal="center" vertical="center"/>
      <protection hidden="1"/>
    </xf>
    <xf numFmtId="1" fontId="1" fillId="0" borderId="20" xfId="0" applyNumberFormat="1" applyFont="1" applyFill="1" applyBorder="1" applyAlignment="1" applyProtection="1">
      <alignment horizontal="center" vertical="center"/>
      <protection hidden="1"/>
    </xf>
    <xf numFmtId="0" fontId="1" fillId="0" borderId="23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Alignment="1" applyProtection="1">
      <alignment horizontal="center" vertical="center"/>
      <protection hidden="1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1" fillId="8" borderId="12" xfId="0" applyFont="1" applyFill="1" applyBorder="1" applyAlignment="1" applyProtection="1">
      <alignment horizontal="center" vertical="center" wrapText="1"/>
      <protection hidden="1"/>
    </xf>
    <xf numFmtId="0" fontId="1" fillId="10" borderId="4" xfId="0" applyFont="1" applyFill="1" applyBorder="1" applyAlignment="1" applyProtection="1">
      <alignment horizontal="center" vertical="center" wrapText="1"/>
      <protection hidden="1"/>
    </xf>
    <xf numFmtId="0" fontId="1" fillId="10" borderId="5" xfId="0" applyFont="1" applyFill="1" applyBorder="1" applyAlignment="1" applyProtection="1">
      <alignment horizontal="center" vertical="center" wrapText="1"/>
      <protection hidden="1"/>
    </xf>
    <xf numFmtId="0" fontId="19" fillId="8" borderId="18" xfId="0" applyFont="1" applyFill="1" applyBorder="1" applyAlignment="1" applyProtection="1">
      <alignment horizontal="center" vertical="center"/>
    </xf>
    <xf numFmtId="0" fontId="1" fillId="9" borderId="18" xfId="0" applyFont="1" applyFill="1" applyBorder="1" applyAlignment="1" applyProtection="1">
      <alignment horizontal="center" vertical="center" wrapText="1"/>
      <protection locked="0"/>
    </xf>
    <xf numFmtId="0" fontId="18" fillId="14" borderId="14" xfId="0" applyFont="1" applyFill="1" applyBorder="1" applyAlignment="1" applyProtection="1">
      <alignment horizontal="center" vertical="center"/>
    </xf>
    <xf numFmtId="0" fontId="1" fillId="0" borderId="8" xfId="0" applyFont="1" applyFill="1" applyBorder="1" applyAlignment="1" applyProtection="1">
      <alignment horizontal="center" vertical="center" wrapText="1"/>
    </xf>
    <xf numFmtId="0" fontId="18" fillId="0" borderId="13" xfId="0" applyFont="1" applyFill="1" applyBorder="1" applyAlignment="1" applyProtection="1">
      <alignment horizontal="center" vertical="center"/>
    </xf>
    <xf numFmtId="0" fontId="18" fillId="0" borderId="14" xfId="0" applyFont="1" applyFill="1" applyBorder="1" applyAlignment="1" applyProtection="1">
      <alignment horizontal="center" vertical="center"/>
    </xf>
    <xf numFmtId="0" fontId="18" fillId="0" borderId="19" xfId="0" applyFont="1" applyFill="1" applyBorder="1" applyAlignment="1" applyProtection="1">
      <alignment horizontal="center" vertical="center"/>
      <protection hidden="1"/>
    </xf>
    <xf numFmtId="0" fontId="18" fillId="0" borderId="20" xfId="0" applyFont="1" applyFill="1" applyBorder="1" applyAlignment="1" applyProtection="1">
      <alignment horizontal="center" vertical="center"/>
      <protection hidden="1"/>
    </xf>
    <xf numFmtId="0" fontId="30" fillId="0" borderId="19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0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center" vertical="center"/>
      <protection locked="0"/>
    </xf>
    <xf numFmtId="0" fontId="16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5" fillId="0" borderId="25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 vertical="center" wrapText="1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7" fillId="0" borderId="18" xfId="1" applyFont="1" applyBorder="1" applyAlignment="1">
      <alignment horizontal="center" vertical="center"/>
    </xf>
    <xf numFmtId="0" fontId="10" fillId="2" borderId="18" xfId="0" applyFont="1" applyFill="1" applyBorder="1" applyAlignment="1" applyProtection="1">
      <alignment horizontal="center"/>
      <protection hidden="1"/>
    </xf>
    <xf numFmtId="0" fontId="4" fillId="2" borderId="18" xfId="0" applyFont="1" applyFill="1" applyBorder="1" applyAlignment="1" applyProtection="1">
      <alignment horizontal="left"/>
      <protection hidden="1"/>
    </xf>
    <xf numFmtId="0" fontId="9" fillId="2" borderId="18" xfId="0" applyFont="1" applyFill="1" applyBorder="1" applyAlignment="1" applyProtection="1">
      <alignment horizontal="left"/>
      <protection hidden="1"/>
    </xf>
    <xf numFmtId="0" fontId="12" fillId="17" borderId="0" xfId="0" applyFont="1" applyFill="1" applyAlignment="1" applyProtection="1">
      <alignment horizontal="center"/>
      <protection hidden="1"/>
    </xf>
    <xf numFmtId="0" fontId="12" fillId="17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23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</dxfs>
  <tableStyles count="0" defaultTableStyle="TableStyleMedium2" defaultPivotStyle="PivotStyleLight16"/>
  <colors>
    <mruColors>
      <color rgb="FFFF8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 Chart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B-4257-A5E8-194D50035039}"/>
            </c:ext>
          </c:extLst>
        </c:ser>
        <c:ser>
          <c:idx val="1"/>
          <c:order val="1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GradeSheet!$E$108:$E$117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F78B-4257-A5E8-194D50035039}"/>
            </c:ext>
          </c:extLst>
        </c:ser>
        <c:ser>
          <c:idx val="2"/>
          <c:order val="2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GradeSheet!$G$108:$G$117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09792"/>
        <c:axId val="89411968"/>
      </c:areaChart>
      <c:barChart>
        <c:barDir val="col"/>
        <c:grouping val="clustered"/>
        <c:varyColors val="0"/>
        <c:ser>
          <c:idx val="3"/>
          <c:order val="3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GradeSheet!$H$108:$H$117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B-4257-A5E8-194D50035039}"/>
            </c:ext>
          </c:extLst>
        </c:ser>
        <c:ser>
          <c:idx val="4"/>
          <c:order val="4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GradeSheet!$I$108:$I$117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F78B-4257-A5E8-194D50035039}"/>
            </c:ext>
          </c:extLst>
        </c:ser>
        <c:ser>
          <c:idx val="5"/>
          <c:order val="5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GradeSheet!$J$108:$J$117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5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09792"/>
        <c:axId val="89411968"/>
      </c:barChart>
      <c:catAx>
        <c:axId val="8940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Grades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9411968"/>
        <c:crosses val="autoZero"/>
        <c:auto val="1"/>
        <c:lblAlgn val="ctr"/>
        <c:lblOffset val="100"/>
        <c:noMultiLvlLbl val="0"/>
      </c:catAx>
      <c:valAx>
        <c:axId val="89411968"/>
        <c:scaling>
          <c:orientation val="minMax"/>
          <c:max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Students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40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</a:t>
            </a:r>
            <a:r>
              <a:rPr lang="en-US" sz="1200" baseline="0"/>
              <a:t> Achievement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56470822003238"/>
          <c:y val="0.20173155432153869"/>
          <c:w val="0.80766685730682064"/>
          <c:h val="0.61186969969031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'Course Report'!$C$13:$F$13</c:f>
              <c:strCache>
                <c:ptCount val="4"/>
                <c:pt idx="0">
                  <c:v>CO1</c:v>
                </c:pt>
                <c:pt idx="1">
                  <c:v>CO2</c:v>
                </c:pt>
                <c:pt idx="2">
                  <c:v>CO3</c:v>
                </c:pt>
                <c:pt idx="3">
                  <c:v>CO4</c:v>
                </c:pt>
              </c:strCache>
            </c:strRef>
          </c:cat>
          <c:val>
            <c:numRef>
              <c:f>'Course Report'!$C$14:$F$14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92.592592592592595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B5-4EA4-89D7-3E278AA4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905024"/>
        <c:axId val="89907200"/>
      </c:barChart>
      <c:catAx>
        <c:axId val="8990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Course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7200"/>
        <c:crosses val="autoZero"/>
        <c:auto val="1"/>
        <c:lblAlgn val="ctr"/>
        <c:lblOffset val="100"/>
        <c:noMultiLvlLbl val="0"/>
      </c:catAx>
      <c:valAx>
        <c:axId val="89907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 achievement (%) </a:t>
                </a:r>
              </a:p>
            </c:rich>
          </c:tx>
          <c:layout>
            <c:manualLayout>
              <c:xMode val="edge"/>
              <c:yMode val="edge"/>
              <c:x val="1.3018378777896201E-4"/>
              <c:y val="0.17772617708500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50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PO Achievement Graph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499599008457271"/>
          <c:y val="0.20874316939890711"/>
          <c:w val="0.70407808398950122"/>
          <c:h val="0.5785189966008347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('Course Report'!$C$16:$H$16,'Course Report'!$C$18:$H$18)</c:f>
              <c:strCache>
                <c:ptCount val="12"/>
                <c:pt idx="0">
                  <c:v>PO1</c:v>
                </c:pt>
                <c:pt idx="1">
                  <c:v>PO2</c:v>
                </c:pt>
                <c:pt idx="2">
                  <c:v>PO3</c:v>
                </c:pt>
                <c:pt idx="3">
                  <c:v>PO4</c:v>
                </c:pt>
                <c:pt idx="4">
                  <c:v>PO5</c:v>
                </c:pt>
                <c:pt idx="5">
                  <c:v>PO6</c:v>
                </c:pt>
                <c:pt idx="6">
                  <c:v>PO7</c:v>
                </c:pt>
                <c:pt idx="7">
                  <c:v>PO8</c:v>
                </c:pt>
                <c:pt idx="8">
                  <c:v>PO9</c:v>
                </c:pt>
                <c:pt idx="9">
                  <c:v>PO10</c:v>
                </c:pt>
                <c:pt idx="10">
                  <c:v>PO11</c:v>
                </c:pt>
                <c:pt idx="11">
                  <c:v>PO12</c:v>
                </c:pt>
              </c:strCache>
            </c:strRef>
          </c:cat>
          <c:val>
            <c:numRef>
              <c:f>('Course Report'!$C$17:$H$17,'Course Report'!$C$19:$H$19)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7-47CE-A5E9-DDB285B7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468736"/>
        <c:axId val="90470656"/>
      </c:barChart>
      <c:catAx>
        <c:axId val="9046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70656"/>
        <c:crossesAt val="10"/>
        <c:auto val="1"/>
        <c:lblAlgn val="ctr"/>
        <c:lblOffset val="100"/>
        <c:noMultiLvlLbl val="0"/>
      </c:catAx>
      <c:valAx>
        <c:axId val="90470656"/>
        <c:scaling>
          <c:orientation val="minMax"/>
          <c:max val="10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</a:t>
                </a:r>
                <a:r>
                  <a:rPr lang="en-US" baseline="0"/>
                  <a:t> Achievement (%)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5671114027413241E-2"/>
              <c:y val="0.165027322404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6873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GradeSheet!$D$107</c:f>
              <c:strCache>
                <c:ptCount val="1"/>
                <c:pt idx="0">
                  <c:v>No. of Students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03-425F-9B56-AC886624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91520"/>
        <c:axId val="899284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GradeSheet!$C$107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GradeSheet!$C$108:$C$117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903-425F-9B56-AC88662416E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GradeSheet!$E$108:$E$117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903-425F-9B56-AC88662416E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GradeSheet!$F$108:$F$117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903-425F-9B56-AC88662416E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GradeSheet!$G$108:$G$117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903-425F-9B56-AC88662416EC}"/>
                  </c:ext>
                </c:extLst>
              </c15:ser>
            </c15:filteredBarSeries>
          </c:ext>
        </c:extLst>
      </c:barChart>
      <c:catAx>
        <c:axId val="9049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28448"/>
        <c:crosses val="autoZero"/>
        <c:auto val="1"/>
        <c:lblAlgn val="ctr"/>
        <c:lblOffset val="100"/>
        <c:noMultiLvlLbl val="0"/>
      </c:catAx>
      <c:valAx>
        <c:axId val="89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Students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9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O$2" lockText="1" noThreeD="1"/>
</file>

<file path=xl/ctrlProps/ctrlProp2.xml><?xml version="1.0" encoding="utf-8"?>
<formControlPr xmlns="http://schemas.microsoft.com/office/spreadsheetml/2009/9/main" objectType="CheckBox" fmlaLink="$P$2" lockText="1" noThreeD="1"/>
</file>

<file path=xl/ctrlProps/ctrlProp3.xml><?xml version="1.0" encoding="utf-8"?>
<formControlPr xmlns="http://schemas.microsoft.com/office/spreadsheetml/2009/9/main" objectType="CheckBox" fmlaLink="$Q$2" lockText="1" noThreeD="1"/>
</file>

<file path=xl/ctrlProps/ctrlProp4.xml><?xml version="1.0" encoding="utf-8"?>
<formControlPr xmlns="http://schemas.microsoft.com/office/spreadsheetml/2009/9/main" objectType="CheckBox" fmlaLink="$R$2" lockText="1" noThreeD="1"/>
</file>

<file path=xl/ctrlProps/ctrlProp5.xml><?xml version="1.0" encoding="utf-8"?>
<formControlPr xmlns="http://schemas.microsoft.com/office/spreadsheetml/2009/9/main" objectType="CheckBox" fmlaLink="$S$2" lockText="1" noThreeD="1"/>
</file>

<file path=xl/ctrlProps/ctrlProp6.xml><?xml version="1.0" encoding="utf-8"?>
<formControlPr xmlns="http://schemas.microsoft.com/office/spreadsheetml/2009/9/main" objectType="CheckBox" fmlaLink="$T$2" lockText="1" noThreeD="1"/>
</file>

<file path=xl/ctrlProps/ctrlProp7.xml><?xml version="1.0" encoding="utf-8"?>
<formControlPr xmlns="http://schemas.microsoft.com/office/spreadsheetml/2009/9/main" objectType="CheckBox" fmlaLink="$U$2" lockText="1" noThreeD="1"/>
</file>

<file path=xl/ctrlProps/ctrlProp8.xml><?xml version="1.0" encoding="utf-8"?>
<formControlPr xmlns="http://schemas.microsoft.com/office/spreadsheetml/2009/9/main" objectType="CheckBox" fmlaLink="$V$2" lockText="1" noThreeD="1"/>
</file>

<file path=xl/ctrlProps/ctrlProp9.xml><?xml version="1.0" encoding="utf-8"?>
<formControlPr xmlns="http://schemas.microsoft.com/office/spreadsheetml/2009/9/main" objectType="CheckBox" fmlaLink="$W$2" lockText="1" noThreeD="1"/>
</file>

<file path=xl/ctrlProps/ctrlProp10.xml><?xml version="1.0" encoding="utf-8"?>
<formControlPr xmlns="http://schemas.microsoft.com/office/spreadsheetml/2009/9/main" objectType="CheckBox" fmlaLink="$X$2" lockText="1" noThreeD="1"/>
</file>

<file path=xl/ctrlProps/ctrlProp11.xml><?xml version="1.0" encoding="utf-8"?>
<formControlPr xmlns="http://schemas.microsoft.com/office/spreadsheetml/2009/9/main" objectType="CheckBox" fmlaLink="$Y$2" lockText="1" noThreeD="1"/>
</file>

<file path=xl/ctrlProps/ctrlProp12.xml><?xml version="1.0" encoding="utf-8"?>
<formControlPr xmlns="http://schemas.microsoft.com/office/spreadsheetml/2009/9/main" objectType="CheckBox" fmlaLink="$Z$2" lockText="1" noThreeD="1"/>
</file>

<file path=xl/ctrlProps/ctrlProp13.xml><?xml version="1.0" encoding="utf-8"?>
<formControlPr xmlns="http://schemas.microsoft.com/office/spreadsheetml/2009/9/main" objectType="CheckBox" fmlaLink="$O$3" lockText="1" noThreeD="1"/>
</file>

<file path=xl/ctrlProps/ctrlProp14.xml><?xml version="1.0" encoding="utf-8"?>
<formControlPr xmlns="http://schemas.microsoft.com/office/spreadsheetml/2009/9/main" objectType="CheckBox" checked="Checked" fmlaLink="$P$3" lockText="1" noThreeD="1"/>
</file>

<file path=xl/ctrlProps/ctrlProp15.xml><?xml version="1.0" encoding="utf-8"?>
<formControlPr xmlns="http://schemas.microsoft.com/office/spreadsheetml/2009/9/main" objectType="CheckBox" fmlaLink="$Q$3" lockText="1" noThreeD="1"/>
</file>

<file path=xl/ctrlProps/ctrlProp16.xml><?xml version="1.0" encoding="utf-8"?>
<formControlPr xmlns="http://schemas.microsoft.com/office/spreadsheetml/2009/9/main" objectType="CheckBox" fmlaLink="$R$3" lockText="1" noThreeD="1"/>
</file>

<file path=xl/ctrlProps/ctrlProp17.xml><?xml version="1.0" encoding="utf-8"?>
<formControlPr xmlns="http://schemas.microsoft.com/office/spreadsheetml/2009/9/main" objectType="CheckBox" fmlaLink="$S$3" lockText="1" noThreeD="1"/>
</file>

<file path=xl/ctrlProps/ctrlProp18.xml><?xml version="1.0" encoding="utf-8"?>
<formControlPr xmlns="http://schemas.microsoft.com/office/spreadsheetml/2009/9/main" objectType="CheckBox" fmlaLink="$T$3" lockText="1" noThreeD="1"/>
</file>

<file path=xl/ctrlProps/ctrlProp19.xml><?xml version="1.0" encoding="utf-8"?>
<formControlPr xmlns="http://schemas.microsoft.com/office/spreadsheetml/2009/9/main" objectType="CheckBox" fmlaLink="$U$3" lockText="1" noThreeD="1"/>
</file>

<file path=xl/ctrlProps/ctrlProp20.xml><?xml version="1.0" encoding="utf-8"?>
<formControlPr xmlns="http://schemas.microsoft.com/office/spreadsheetml/2009/9/main" objectType="CheckBox" fmlaLink="$V$3" lockText="1" noThreeD="1"/>
</file>

<file path=xl/ctrlProps/ctrlProp21.xml><?xml version="1.0" encoding="utf-8"?>
<formControlPr xmlns="http://schemas.microsoft.com/office/spreadsheetml/2009/9/main" objectType="CheckBox" fmlaLink="$W$3" lockText="1" noThreeD="1"/>
</file>

<file path=xl/ctrlProps/ctrlProp22.xml><?xml version="1.0" encoding="utf-8"?>
<formControlPr xmlns="http://schemas.microsoft.com/office/spreadsheetml/2009/9/main" objectType="CheckBox" fmlaLink="$X$3" lockText="1" noThreeD="1"/>
</file>

<file path=xl/ctrlProps/ctrlProp23.xml><?xml version="1.0" encoding="utf-8"?>
<formControlPr xmlns="http://schemas.microsoft.com/office/spreadsheetml/2009/9/main" objectType="CheckBox" fmlaLink="$Y$3" lockText="1" noThreeD="1"/>
</file>

<file path=xl/ctrlProps/ctrlProp24.xml><?xml version="1.0" encoding="utf-8"?>
<formControlPr xmlns="http://schemas.microsoft.com/office/spreadsheetml/2009/9/main" objectType="CheckBox" fmlaLink="$Z$3" lockText="1" noThreeD="1"/>
</file>

<file path=xl/ctrlProps/ctrlProp25.xml><?xml version="1.0" encoding="utf-8"?>
<formControlPr xmlns="http://schemas.microsoft.com/office/spreadsheetml/2009/9/main" objectType="CheckBox" checked="Checked" fmlaLink="$O4" lockText="1" noThreeD="1"/>
</file>

<file path=xl/ctrlProps/ctrlProp26.xml><?xml version="1.0" encoding="utf-8"?>
<formControlPr xmlns="http://schemas.microsoft.com/office/spreadsheetml/2009/9/main" objectType="CheckBox" fmlaLink="$P4" lockText="1" noThreeD="1"/>
</file>

<file path=xl/ctrlProps/ctrlProp27.xml><?xml version="1.0" encoding="utf-8"?>
<formControlPr xmlns="http://schemas.microsoft.com/office/spreadsheetml/2009/9/main" objectType="CheckBox" fmlaLink="$Q4" lockText="1" noThreeD="1"/>
</file>

<file path=xl/ctrlProps/ctrlProp28.xml><?xml version="1.0" encoding="utf-8"?>
<formControlPr xmlns="http://schemas.microsoft.com/office/spreadsheetml/2009/9/main" objectType="CheckBox" fmlaLink="$R4" lockText="1" noThreeD="1"/>
</file>

<file path=xl/ctrlProps/ctrlProp29.xml><?xml version="1.0" encoding="utf-8"?>
<formControlPr xmlns="http://schemas.microsoft.com/office/spreadsheetml/2009/9/main" objectType="CheckBox" fmlaLink="$S4" lockText="1" noThreeD="1"/>
</file>

<file path=xl/ctrlProps/ctrlProp30.xml><?xml version="1.0" encoding="utf-8"?>
<formControlPr xmlns="http://schemas.microsoft.com/office/spreadsheetml/2009/9/main" objectType="CheckBox" fmlaLink="$T4" lockText="1" noThreeD="1"/>
</file>

<file path=xl/ctrlProps/ctrlProp31.xml><?xml version="1.0" encoding="utf-8"?>
<formControlPr xmlns="http://schemas.microsoft.com/office/spreadsheetml/2009/9/main" objectType="CheckBox" fmlaLink="$U4" lockText="1" noThreeD="1"/>
</file>

<file path=xl/ctrlProps/ctrlProp32.xml><?xml version="1.0" encoding="utf-8"?>
<formControlPr xmlns="http://schemas.microsoft.com/office/spreadsheetml/2009/9/main" objectType="CheckBox" fmlaLink="$V4" lockText="1" noThreeD="1"/>
</file>

<file path=xl/ctrlProps/ctrlProp33.xml><?xml version="1.0" encoding="utf-8"?>
<formControlPr xmlns="http://schemas.microsoft.com/office/spreadsheetml/2009/9/main" objectType="CheckBox" fmlaLink="$W4" lockText="1" noThreeD="1"/>
</file>

<file path=xl/ctrlProps/ctrlProp34.xml><?xml version="1.0" encoding="utf-8"?>
<formControlPr xmlns="http://schemas.microsoft.com/office/spreadsheetml/2009/9/main" objectType="CheckBox" fmlaLink="$X4" lockText="1" noThreeD="1"/>
</file>

<file path=xl/ctrlProps/ctrlProp35.xml><?xml version="1.0" encoding="utf-8"?>
<formControlPr xmlns="http://schemas.microsoft.com/office/spreadsheetml/2009/9/main" objectType="CheckBox" fmlaLink="$Y4" lockText="1" noThreeD="1"/>
</file>

<file path=xl/ctrlProps/ctrlProp36.xml><?xml version="1.0" encoding="utf-8"?>
<formControlPr xmlns="http://schemas.microsoft.com/office/spreadsheetml/2009/9/main" objectType="CheckBox" fmlaLink="$Z4" lockText="1" noThreeD="1"/>
</file>

<file path=xl/ctrlProps/ctrlProp37.xml><?xml version="1.0" encoding="utf-8"?>
<formControlPr xmlns="http://schemas.microsoft.com/office/spreadsheetml/2009/9/main" objectType="CheckBox" fmlaLink="$O$7" lockText="1" noThreeD="1"/>
</file>

<file path=xl/ctrlProps/ctrlProp38.xml><?xml version="1.0" encoding="utf-8"?>
<formControlPr xmlns="http://schemas.microsoft.com/office/spreadsheetml/2009/9/main" objectType="CheckBox" fmlaLink="$P$7" lockText="1" noThreeD="1"/>
</file>

<file path=xl/ctrlProps/ctrlProp39.xml><?xml version="1.0" encoding="utf-8"?>
<formControlPr xmlns="http://schemas.microsoft.com/office/spreadsheetml/2009/9/main" objectType="CheckBox" fmlaLink="$Q$7" lockText="1" noThreeD="1"/>
</file>

<file path=xl/ctrlProps/ctrlProp40.xml><?xml version="1.0" encoding="utf-8"?>
<formControlPr xmlns="http://schemas.microsoft.com/office/spreadsheetml/2009/9/main" objectType="CheckBox" fmlaLink="$R$7" lockText="1" noThreeD="1"/>
</file>

<file path=xl/ctrlProps/ctrlProp41.xml><?xml version="1.0" encoding="utf-8"?>
<formControlPr xmlns="http://schemas.microsoft.com/office/spreadsheetml/2009/9/main" objectType="CheckBox" fmlaLink="$S$7" lockText="1" noThreeD="1"/>
</file>

<file path=xl/ctrlProps/ctrlProp42.xml><?xml version="1.0" encoding="utf-8"?>
<formControlPr xmlns="http://schemas.microsoft.com/office/spreadsheetml/2009/9/main" objectType="CheckBox" fmlaLink="$T$7" lockText="1" noThreeD="1"/>
</file>

<file path=xl/ctrlProps/ctrlProp43.xml><?xml version="1.0" encoding="utf-8"?>
<formControlPr xmlns="http://schemas.microsoft.com/office/spreadsheetml/2009/9/main" objectType="CheckBox" fmlaLink="$U$7" lockText="1" noThreeD="1"/>
</file>

<file path=xl/ctrlProps/ctrlProp44.xml><?xml version="1.0" encoding="utf-8"?>
<formControlPr xmlns="http://schemas.microsoft.com/office/spreadsheetml/2009/9/main" objectType="CheckBox" fmlaLink="$V$7" lockText="1" noThreeD="1"/>
</file>

<file path=xl/ctrlProps/ctrlProp45.xml><?xml version="1.0" encoding="utf-8"?>
<formControlPr xmlns="http://schemas.microsoft.com/office/spreadsheetml/2009/9/main" objectType="CheckBox" fmlaLink="$W$7" lockText="1" noThreeD="1"/>
</file>

<file path=xl/ctrlProps/ctrlProp46.xml><?xml version="1.0" encoding="utf-8"?>
<formControlPr xmlns="http://schemas.microsoft.com/office/spreadsheetml/2009/9/main" objectType="CheckBox" fmlaLink="$X$7" lockText="1" noThreeD="1"/>
</file>

<file path=xl/ctrlProps/ctrlProp47.xml><?xml version="1.0" encoding="utf-8"?>
<formControlPr xmlns="http://schemas.microsoft.com/office/spreadsheetml/2009/9/main" objectType="CheckBox" fmlaLink="$Y$7" lockText="1" noThreeD="1"/>
</file>

<file path=xl/ctrlProps/ctrlProp48.xml><?xml version="1.0" encoding="utf-8"?>
<formControlPr xmlns="http://schemas.microsoft.com/office/spreadsheetml/2009/9/main" objectType="CheckBox" fmlaLink="$Z$7" lockText="1" noThreeD="1"/>
</file>

<file path=xl/ctrlProps/ctrlProp49.xml><?xml version="1.0" encoding="utf-8"?>
<formControlPr xmlns="http://schemas.microsoft.com/office/spreadsheetml/2009/9/main" objectType="CheckBox" fmlaLink="$O5" lockText="1" noThreeD="1"/>
</file>

<file path=xl/ctrlProps/ctrlProp50.xml><?xml version="1.0" encoding="utf-8"?>
<formControlPr xmlns="http://schemas.microsoft.com/office/spreadsheetml/2009/9/main" objectType="CheckBox" fmlaLink="$P5" lockText="1" noThreeD="1"/>
</file>

<file path=xl/ctrlProps/ctrlProp51.xml><?xml version="1.0" encoding="utf-8"?>
<formControlPr xmlns="http://schemas.microsoft.com/office/spreadsheetml/2009/9/main" objectType="CheckBox" fmlaLink="$Q5" lockText="1" noThreeD="1"/>
</file>

<file path=xl/ctrlProps/ctrlProp52.xml><?xml version="1.0" encoding="utf-8"?>
<formControlPr xmlns="http://schemas.microsoft.com/office/spreadsheetml/2009/9/main" objectType="CheckBox" fmlaLink="$R5" lockText="1" noThreeD="1"/>
</file>

<file path=xl/ctrlProps/ctrlProp53.xml><?xml version="1.0" encoding="utf-8"?>
<formControlPr xmlns="http://schemas.microsoft.com/office/spreadsheetml/2009/9/main" objectType="CheckBox" fmlaLink="$S5" lockText="1" noThreeD="1"/>
</file>

<file path=xl/ctrlProps/ctrlProp54.xml><?xml version="1.0" encoding="utf-8"?>
<formControlPr xmlns="http://schemas.microsoft.com/office/spreadsheetml/2009/9/main" objectType="CheckBox" fmlaLink="$T5" lockText="1" noThreeD="1"/>
</file>

<file path=xl/ctrlProps/ctrlProp55.xml><?xml version="1.0" encoding="utf-8"?>
<formControlPr xmlns="http://schemas.microsoft.com/office/spreadsheetml/2009/9/main" objectType="CheckBox" fmlaLink="$U5" lockText="1" noThreeD="1"/>
</file>

<file path=xl/ctrlProps/ctrlProp56.xml><?xml version="1.0" encoding="utf-8"?>
<formControlPr xmlns="http://schemas.microsoft.com/office/spreadsheetml/2009/9/main" objectType="CheckBox" fmlaLink="$V5" lockText="1" noThreeD="1"/>
</file>

<file path=xl/ctrlProps/ctrlProp57.xml><?xml version="1.0" encoding="utf-8"?>
<formControlPr xmlns="http://schemas.microsoft.com/office/spreadsheetml/2009/9/main" objectType="CheckBox" fmlaLink="$W5" lockText="1" noThreeD="1"/>
</file>

<file path=xl/ctrlProps/ctrlProp58.xml><?xml version="1.0" encoding="utf-8"?>
<formControlPr xmlns="http://schemas.microsoft.com/office/spreadsheetml/2009/9/main" objectType="CheckBox" fmlaLink="$X5" lockText="1" noThreeD="1"/>
</file>

<file path=xl/ctrlProps/ctrlProp59.xml><?xml version="1.0" encoding="utf-8"?>
<formControlPr xmlns="http://schemas.microsoft.com/office/spreadsheetml/2009/9/main" objectType="CheckBox" fmlaLink="$Y5" lockText="1" noThreeD="1"/>
</file>

<file path=xl/ctrlProps/ctrlProp60.xml><?xml version="1.0" encoding="utf-8"?>
<formControlPr xmlns="http://schemas.microsoft.com/office/spreadsheetml/2009/9/main" objectType="CheckBox" fmlaLink="$Z5" lockText="1" noThreeD="1"/>
</file>

<file path=xl/ctrlProps/ctrlProp61.xml><?xml version="1.0" encoding="utf-8"?>
<formControlPr xmlns="http://schemas.microsoft.com/office/spreadsheetml/2009/9/main" objectType="CheckBox" fmlaLink="$O6" lockText="1" noThreeD="1"/>
</file>

<file path=xl/ctrlProps/ctrlProp62.xml><?xml version="1.0" encoding="utf-8"?>
<formControlPr xmlns="http://schemas.microsoft.com/office/spreadsheetml/2009/9/main" objectType="CheckBox" fmlaLink="$P$6" lockText="1" noThreeD="1"/>
</file>

<file path=xl/ctrlProps/ctrlProp63.xml><?xml version="1.0" encoding="utf-8"?>
<formControlPr xmlns="http://schemas.microsoft.com/office/spreadsheetml/2009/9/main" objectType="CheckBox" fmlaLink="$Q$6" lockText="1" noThreeD="1"/>
</file>

<file path=xl/ctrlProps/ctrlProp64.xml><?xml version="1.0" encoding="utf-8"?>
<formControlPr xmlns="http://schemas.microsoft.com/office/spreadsheetml/2009/9/main" objectType="CheckBox" fmlaLink="$R$6" lockText="1" noThreeD="1"/>
</file>

<file path=xl/ctrlProps/ctrlProp65.xml><?xml version="1.0" encoding="utf-8"?>
<formControlPr xmlns="http://schemas.microsoft.com/office/spreadsheetml/2009/9/main" objectType="CheckBox" fmlaLink="$S$6" lockText="1" noThreeD="1"/>
</file>

<file path=xl/ctrlProps/ctrlProp66.xml><?xml version="1.0" encoding="utf-8"?>
<formControlPr xmlns="http://schemas.microsoft.com/office/spreadsheetml/2009/9/main" objectType="CheckBox" fmlaLink="$T$6" lockText="1" noThreeD="1"/>
</file>

<file path=xl/ctrlProps/ctrlProp67.xml><?xml version="1.0" encoding="utf-8"?>
<formControlPr xmlns="http://schemas.microsoft.com/office/spreadsheetml/2009/9/main" objectType="CheckBox" fmlaLink="$U$6" lockText="1" noThreeD="1"/>
</file>

<file path=xl/ctrlProps/ctrlProp68.xml><?xml version="1.0" encoding="utf-8"?>
<formControlPr xmlns="http://schemas.microsoft.com/office/spreadsheetml/2009/9/main" objectType="CheckBox" fmlaLink="$V$6" lockText="1" noThreeD="1"/>
</file>

<file path=xl/ctrlProps/ctrlProp69.xml><?xml version="1.0" encoding="utf-8"?>
<formControlPr xmlns="http://schemas.microsoft.com/office/spreadsheetml/2009/9/main" objectType="CheckBox" fmlaLink="$W$6" lockText="1" noThreeD="1"/>
</file>

<file path=xl/ctrlProps/ctrlProp70.xml><?xml version="1.0" encoding="utf-8"?>
<formControlPr xmlns="http://schemas.microsoft.com/office/spreadsheetml/2009/9/main" objectType="CheckBox" fmlaLink="$X$6" lockText="1" noThreeD="1"/>
</file>

<file path=xl/ctrlProps/ctrlProp71.xml><?xml version="1.0" encoding="utf-8"?>
<formControlPr xmlns="http://schemas.microsoft.com/office/spreadsheetml/2009/9/main" objectType="CheckBox" fmlaLink="$Y$6" lockText="1" noThreeD="1"/>
</file>

<file path=xl/ctrlProps/ctrlProp72.xml><?xml version="1.0" encoding="utf-8"?>
<formControlPr xmlns="http://schemas.microsoft.com/office/spreadsheetml/2009/9/main" objectType="CheckBox" fmlaLink="$Z$6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100</xdr:row>
      <xdr:rowOff>171449</xdr:rowOff>
    </xdr:from>
    <xdr:to>
      <xdr:col>24</xdr:col>
      <xdr:colOff>0</xdr:colOff>
      <xdr:row>119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21</xdr:row>
      <xdr:rowOff>47625</xdr:rowOff>
    </xdr:from>
    <xdr:to>
      <xdr:col>2</xdr:col>
      <xdr:colOff>514349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552451</xdr:colOff>
      <xdr:row>21</xdr:row>
      <xdr:rowOff>47626</xdr:rowOff>
    </xdr:from>
    <xdr:to>
      <xdr:col>7</xdr:col>
      <xdr:colOff>514350</xdr:colOff>
      <xdr:row>33</xdr:row>
      <xdr:rowOff>47626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85724</xdr:colOff>
      <xdr:row>33</xdr:row>
      <xdr:rowOff>133350</xdr:rowOff>
    </xdr:from>
    <xdr:to>
      <xdr:col>7</xdr:col>
      <xdr:colOff>476249</xdr:colOff>
      <xdr:row>49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152400</xdr:rowOff>
        </xdr:from>
        <xdr:to>
          <xdr:col>3</xdr:col>
          <xdr:colOff>19050</xdr:colOff>
          <xdr:row>1</xdr:row>
          <xdr:rowOff>514350</xdr:rowOff>
        </xdr:to>
        <xdr:sp macro="" textlink="">
          <xdr:nvSpPr>
            <xdr:cNvPr id="3073" name="Check Box 1" descr="PO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152400</xdr:rowOff>
        </xdr:from>
        <xdr:to>
          <xdr:col>4</xdr:col>
          <xdr:colOff>76200</xdr:colOff>
          <xdr:row>1</xdr:row>
          <xdr:rowOff>514350</xdr:rowOff>
        </xdr:to>
        <xdr:sp macro="" textlink="">
          <xdr:nvSpPr>
            <xdr:cNvPr id="3074" name="Check Box 2" descr="PO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152400</xdr:rowOff>
        </xdr:from>
        <xdr:to>
          <xdr:col>5</xdr:col>
          <xdr:colOff>76200</xdr:colOff>
          <xdr:row>1</xdr:row>
          <xdr:rowOff>514350</xdr:rowOff>
        </xdr:to>
        <xdr:sp macro="" textlink="">
          <xdr:nvSpPr>
            <xdr:cNvPr id="3075" name="Check Box 3" descr="PO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</xdr:row>
          <xdr:rowOff>152400</xdr:rowOff>
        </xdr:from>
        <xdr:to>
          <xdr:col>6</xdr:col>
          <xdr:colOff>47625</xdr:colOff>
          <xdr:row>1</xdr:row>
          <xdr:rowOff>514350</xdr:rowOff>
        </xdr:to>
        <xdr:sp macro="" textlink="">
          <xdr:nvSpPr>
            <xdr:cNvPr id="3076" name="Check Box 4" descr="PO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152400</xdr:rowOff>
        </xdr:from>
        <xdr:to>
          <xdr:col>7</xdr:col>
          <xdr:colOff>66675</xdr:colOff>
          <xdr:row>1</xdr:row>
          <xdr:rowOff>514350</xdr:rowOff>
        </xdr:to>
        <xdr:sp macro="" textlink="">
          <xdr:nvSpPr>
            <xdr:cNvPr id="3077" name="Check Box 5" descr="PO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152400</xdr:rowOff>
        </xdr:from>
        <xdr:to>
          <xdr:col>8</xdr:col>
          <xdr:colOff>66675</xdr:colOff>
          <xdr:row>1</xdr:row>
          <xdr:rowOff>514350</xdr:rowOff>
        </xdr:to>
        <xdr:sp macro="" textlink="">
          <xdr:nvSpPr>
            <xdr:cNvPr id="3078" name="Check Box 6" descr="PO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</xdr:row>
          <xdr:rowOff>152400</xdr:rowOff>
        </xdr:from>
        <xdr:to>
          <xdr:col>9</xdr:col>
          <xdr:colOff>28575</xdr:colOff>
          <xdr:row>1</xdr:row>
          <xdr:rowOff>514350</xdr:rowOff>
        </xdr:to>
        <xdr:sp macro="" textlink="">
          <xdr:nvSpPr>
            <xdr:cNvPr id="3079" name="Check Box 7" descr="PO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152400</xdr:rowOff>
        </xdr:from>
        <xdr:to>
          <xdr:col>10</xdr:col>
          <xdr:colOff>28575</xdr:colOff>
          <xdr:row>1</xdr:row>
          <xdr:rowOff>514350</xdr:rowOff>
        </xdr:to>
        <xdr:sp macro="" textlink="">
          <xdr:nvSpPr>
            <xdr:cNvPr id="3080" name="Check Box 8" descr="PO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152400</xdr:rowOff>
        </xdr:from>
        <xdr:to>
          <xdr:col>11</xdr:col>
          <xdr:colOff>28575</xdr:colOff>
          <xdr:row>1</xdr:row>
          <xdr:rowOff>514350</xdr:rowOff>
        </xdr:to>
        <xdr:sp macro="" textlink="">
          <xdr:nvSpPr>
            <xdr:cNvPr id="3081" name="Check Box 9" descr="PO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152400</xdr:rowOff>
        </xdr:from>
        <xdr:to>
          <xdr:col>11</xdr:col>
          <xdr:colOff>495300</xdr:colOff>
          <xdr:row>1</xdr:row>
          <xdr:rowOff>514350</xdr:rowOff>
        </xdr:to>
        <xdr:sp macro="" textlink="">
          <xdr:nvSpPr>
            <xdr:cNvPr id="3082" name="Check Box 10" descr="PO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152400</xdr:rowOff>
        </xdr:from>
        <xdr:to>
          <xdr:col>13</xdr:col>
          <xdr:colOff>9525</xdr:colOff>
          <xdr:row>1</xdr:row>
          <xdr:rowOff>514350</xdr:rowOff>
        </xdr:to>
        <xdr:sp macro="" textlink="">
          <xdr:nvSpPr>
            <xdr:cNvPr id="3083" name="Check Box 11" descr="PO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</xdr:row>
          <xdr:rowOff>152400</xdr:rowOff>
        </xdr:from>
        <xdr:to>
          <xdr:col>13</xdr:col>
          <xdr:colOff>476250</xdr:colOff>
          <xdr:row>1</xdr:row>
          <xdr:rowOff>514350</xdr:rowOff>
        </xdr:to>
        <xdr:sp macro="" textlink="">
          <xdr:nvSpPr>
            <xdr:cNvPr id="3084" name="Check Box 12" descr="PO1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</xdr:row>
          <xdr:rowOff>190500</xdr:rowOff>
        </xdr:from>
        <xdr:to>
          <xdr:col>3</xdr:col>
          <xdr:colOff>19050</xdr:colOff>
          <xdr:row>2</xdr:row>
          <xdr:rowOff>552450</xdr:rowOff>
        </xdr:to>
        <xdr:sp macro="" textlink="">
          <xdr:nvSpPr>
            <xdr:cNvPr id="3085" name="Check Box 13" descr="PO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190500</xdr:rowOff>
        </xdr:from>
        <xdr:to>
          <xdr:col>4</xdr:col>
          <xdr:colOff>76200</xdr:colOff>
          <xdr:row>2</xdr:row>
          <xdr:rowOff>552450</xdr:rowOff>
        </xdr:to>
        <xdr:sp macro="" textlink="">
          <xdr:nvSpPr>
            <xdr:cNvPr id="3086" name="Check Box 14" descr="PO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</xdr:row>
          <xdr:rowOff>190500</xdr:rowOff>
        </xdr:from>
        <xdr:to>
          <xdr:col>5</xdr:col>
          <xdr:colOff>76200</xdr:colOff>
          <xdr:row>2</xdr:row>
          <xdr:rowOff>552450</xdr:rowOff>
        </xdr:to>
        <xdr:sp macro="" textlink="">
          <xdr:nvSpPr>
            <xdr:cNvPr id="3087" name="Check Box 15" descr="PO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190500</xdr:rowOff>
        </xdr:from>
        <xdr:to>
          <xdr:col>6</xdr:col>
          <xdr:colOff>47625</xdr:colOff>
          <xdr:row>2</xdr:row>
          <xdr:rowOff>552450</xdr:rowOff>
        </xdr:to>
        <xdr:sp macro="" textlink="">
          <xdr:nvSpPr>
            <xdr:cNvPr id="3088" name="Check Box 16" descr="PO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190500</xdr:rowOff>
        </xdr:from>
        <xdr:to>
          <xdr:col>7</xdr:col>
          <xdr:colOff>66675</xdr:colOff>
          <xdr:row>2</xdr:row>
          <xdr:rowOff>552450</xdr:rowOff>
        </xdr:to>
        <xdr:sp macro="" textlink="">
          <xdr:nvSpPr>
            <xdr:cNvPr id="3089" name="Check Box 17" descr="PO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190500</xdr:rowOff>
        </xdr:from>
        <xdr:to>
          <xdr:col>8</xdr:col>
          <xdr:colOff>66675</xdr:colOff>
          <xdr:row>2</xdr:row>
          <xdr:rowOff>552450</xdr:rowOff>
        </xdr:to>
        <xdr:sp macro="" textlink="">
          <xdr:nvSpPr>
            <xdr:cNvPr id="3090" name="Check Box 18" descr="PO1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</xdr:row>
          <xdr:rowOff>190500</xdr:rowOff>
        </xdr:from>
        <xdr:to>
          <xdr:col>9</xdr:col>
          <xdr:colOff>28575</xdr:colOff>
          <xdr:row>2</xdr:row>
          <xdr:rowOff>552450</xdr:rowOff>
        </xdr:to>
        <xdr:sp macro="" textlink="">
          <xdr:nvSpPr>
            <xdr:cNvPr id="3091" name="Check Box 19" descr="PO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</xdr:row>
          <xdr:rowOff>190500</xdr:rowOff>
        </xdr:from>
        <xdr:to>
          <xdr:col>10</xdr:col>
          <xdr:colOff>9525</xdr:colOff>
          <xdr:row>2</xdr:row>
          <xdr:rowOff>552450</xdr:rowOff>
        </xdr:to>
        <xdr:sp macro="" textlink="">
          <xdr:nvSpPr>
            <xdr:cNvPr id="3092" name="Check Box 20" descr="PO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</xdr:row>
          <xdr:rowOff>190500</xdr:rowOff>
        </xdr:from>
        <xdr:to>
          <xdr:col>11</xdr:col>
          <xdr:colOff>28575</xdr:colOff>
          <xdr:row>2</xdr:row>
          <xdr:rowOff>552450</xdr:rowOff>
        </xdr:to>
        <xdr:sp macro="" textlink="">
          <xdr:nvSpPr>
            <xdr:cNvPr id="3093" name="Check Box 21" descr="PO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</xdr:row>
          <xdr:rowOff>190500</xdr:rowOff>
        </xdr:from>
        <xdr:to>
          <xdr:col>11</xdr:col>
          <xdr:colOff>485775</xdr:colOff>
          <xdr:row>2</xdr:row>
          <xdr:rowOff>552450</xdr:rowOff>
        </xdr:to>
        <xdr:sp macro="" textlink="">
          <xdr:nvSpPr>
            <xdr:cNvPr id="3094" name="Check Box 22" descr="PO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</xdr:row>
          <xdr:rowOff>190500</xdr:rowOff>
        </xdr:from>
        <xdr:to>
          <xdr:col>12</xdr:col>
          <xdr:colOff>485775</xdr:colOff>
          <xdr:row>2</xdr:row>
          <xdr:rowOff>552450</xdr:rowOff>
        </xdr:to>
        <xdr:sp macro="" textlink="">
          <xdr:nvSpPr>
            <xdr:cNvPr id="3095" name="Check Box 23" descr="PO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2</xdr:row>
          <xdr:rowOff>190500</xdr:rowOff>
        </xdr:from>
        <xdr:to>
          <xdr:col>13</xdr:col>
          <xdr:colOff>485775</xdr:colOff>
          <xdr:row>2</xdr:row>
          <xdr:rowOff>552450</xdr:rowOff>
        </xdr:to>
        <xdr:sp macro="" textlink="">
          <xdr:nvSpPr>
            <xdr:cNvPr id="3096" name="Check Box 24" descr="PO1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</xdr:row>
          <xdr:rowOff>200025</xdr:rowOff>
        </xdr:from>
        <xdr:to>
          <xdr:col>3</xdr:col>
          <xdr:colOff>19050</xdr:colOff>
          <xdr:row>3</xdr:row>
          <xdr:rowOff>561975</xdr:rowOff>
        </xdr:to>
        <xdr:sp macro="" textlink="">
          <xdr:nvSpPr>
            <xdr:cNvPr id="3097" name="Check Box 25" descr="PO1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200025</xdr:rowOff>
        </xdr:from>
        <xdr:to>
          <xdr:col>4</xdr:col>
          <xdr:colOff>76200</xdr:colOff>
          <xdr:row>3</xdr:row>
          <xdr:rowOff>561975</xdr:rowOff>
        </xdr:to>
        <xdr:sp macro="" textlink="">
          <xdr:nvSpPr>
            <xdr:cNvPr id="3098" name="Check Box 26" descr="PO2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3</xdr:row>
          <xdr:rowOff>200025</xdr:rowOff>
        </xdr:from>
        <xdr:to>
          <xdr:col>5</xdr:col>
          <xdr:colOff>76200</xdr:colOff>
          <xdr:row>3</xdr:row>
          <xdr:rowOff>561975</xdr:rowOff>
        </xdr:to>
        <xdr:sp macro="" textlink="">
          <xdr:nvSpPr>
            <xdr:cNvPr id="3099" name="Check Box 27" descr="PO3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</xdr:row>
          <xdr:rowOff>200025</xdr:rowOff>
        </xdr:from>
        <xdr:to>
          <xdr:col>6</xdr:col>
          <xdr:colOff>47625</xdr:colOff>
          <xdr:row>3</xdr:row>
          <xdr:rowOff>561975</xdr:rowOff>
        </xdr:to>
        <xdr:sp macro="" textlink="">
          <xdr:nvSpPr>
            <xdr:cNvPr id="3100" name="Check Box 28" descr="PO1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200025</xdr:rowOff>
        </xdr:from>
        <xdr:to>
          <xdr:col>7</xdr:col>
          <xdr:colOff>66675</xdr:colOff>
          <xdr:row>3</xdr:row>
          <xdr:rowOff>561975</xdr:rowOff>
        </xdr:to>
        <xdr:sp macro="" textlink="">
          <xdr:nvSpPr>
            <xdr:cNvPr id="3101" name="Check Box 29" descr="PO1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</xdr:row>
          <xdr:rowOff>200025</xdr:rowOff>
        </xdr:from>
        <xdr:to>
          <xdr:col>8</xdr:col>
          <xdr:colOff>66675</xdr:colOff>
          <xdr:row>3</xdr:row>
          <xdr:rowOff>561975</xdr:rowOff>
        </xdr:to>
        <xdr:sp macro="" textlink="">
          <xdr:nvSpPr>
            <xdr:cNvPr id="3102" name="Check Box 30" descr="PO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3</xdr:row>
          <xdr:rowOff>200025</xdr:rowOff>
        </xdr:from>
        <xdr:to>
          <xdr:col>9</xdr:col>
          <xdr:colOff>28575</xdr:colOff>
          <xdr:row>3</xdr:row>
          <xdr:rowOff>561975</xdr:rowOff>
        </xdr:to>
        <xdr:sp macro="" textlink="">
          <xdr:nvSpPr>
            <xdr:cNvPr id="3103" name="Check Box 31" descr="PO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3</xdr:row>
          <xdr:rowOff>200025</xdr:rowOff>
        </xdr:from>
        <xdr:to>
          <xdr:col>10</xdr:col>
          <xdr:colOff>9525</xdr:colOff>
          <xdr:row>3</xdr:row>
          <xdr:rowOff>561975</xdr:rowOff>
        </xdr:to>
        <xdr:sp macro="" textlink="">
          <xdr:nvSpPr>
            <xdr:cNvPr id="3104" name="Check Box 32" descr="PO1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</xdr:row>
          <xdr:rowOff>200025</xdr:rowOff>
        </xdr:from>
        <xdr:to>
          <xdr:col>11</xdr:col>
          <xdr:colOff>28575</xdr:colOff>
          <xdr:row>3</xdr:row>
          <xdr:rowOff>561975</xdr:rowOff>
        </xdr:to>
        <xdr:sp macro="" textlink="">
          <xdr:nvSpPr>
            <xdr:cNvPr id="3105" name="Check Box 33" descr="PO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</xdr:row>
          <xdr:rowOff>200025</xdr:rowOff>
        </xdr:from>
        <xdr:to>
          <xdr:col>11</xdr:col>
          <xdr:colOff>485775</xdr:colOff>
          <xdr:row>3</xdr:row>
          <xdr:rowOff>561975</xdr:rowOff>
        </xdr:to>
        <xdr:sp macro="" textlink="">
          <xdr:nvSpPr>
            <xdr:cNvPr id="3106" name="Check Box 34" descr="PO1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</xdr:row>
          <xdr:rowOff>200025</xdr:rowOff>
        </xdr:from>
        <xdr:to>
          <xdr:col>12</xdr:col>
          <xdr:colOff>485775</xdr:colOff>
          <xdr:row>3</xdr:row>
          <xdr:rowOff>561975</xdr:rowOff>
        </xdr:to>
        <xdr:sp macro="" textlink="">
          <xdr:nvSpPr>
            <xdr:cNvPr id="3107" name="Check Box 35" descr="PO1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3</xdr:row>
          <xdr:rowOff>200025</xdr:rowOff>
        </xdr:from>
        <xdr:to>
          <xdr:col>13</xdr:col>
          <xdr:colOff>485775</xdr:colOff>
          <xdr:row>3</xdr:row>
          <xdr:rowOff>561975</xdr:rowOff>
        </xdr:to>
        <xdr:sp macro="" textlink="">
          <xdr:nvSpPr>
            <xdr:cNvPr id="3108" name="Check Box 36" descr="PO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190500</xdr:rowOff>
        </xdr:from>
        <xdr:to>
          <xdr:col>3</xdr:col>
          <xdr:colOff>19050</xdr:colOff>
          <xdr:row>6</xdr:row>
          <xdr:rowOff>552450</xdr:rowOff>
        </xdr:to>
        <xdr:sp macro="" textlink="">
          <xdr:nvSpPr>
            <xdr:cNvPr id="3169" name="Check Box 97" descr="PO1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6</xdr:row>
          <xdr:rowOff>190500</xdr:rowOff>
        </xdr:from>
        <xdr:to>
          <xdr:col>4</xdr:col>
          <xdr:colOff>76200</xdr:colOff>
          <xdr:row>6</xdr:row>
          <xdr:rowOff>552450</xdr:rowOff>
        </xdr:to>
        <xdr:sp macro="" textlink="">
          <xdr:nvSpPr>
            <xdr:cNvPr id="3170" name="Check Box 98" descr="PO2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6</xdr:row>
          <xdr:rowOff>190500</xdr:rowOff>
        </xdr:from>
        <xdr:to>
          <xdr:col>5</xdr:col>
          <xdr:colOff>76200</xdr:colOff>
          <xdr:row>6</xdr:row>
          <xdr:rowOff>552450</xdr:rowOff>
        </xdr:to>
        <xdr:sp macro="" textlink="">
          <xdr:nvSpPr>
            <xdr:cNvPr id="3171" name="Check Box 99" descr="PO3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6</xdr:row>
          <xdr:rowOff>190500</xdr:rowOff>
        </xdr:from>
        <xdr:to>
          <xdr:col>6</xdr:col>
          <xdr:colOff>47625</xdr:colOff>
          <xdr:row>6</xdr:row>
          <xdr:rowOff>552450</xdr:rowOff>
        </xdr:to>
        <xdr:sp macro="" textlink="">
          <xdr:nvSpPr>
            <xdr:cNvPr id="3172" name="Check Box 100" descr="PO1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6</xdr:row>
          <xdr:rowOff>190500</xdr:rowOff>
        </xdr:from>
        <xdr:to>
          <xdr:col>7</xdr:col>
          <xdr:colOff>66675</xdr:colOff>
          <xdr:row>6</xdr:row>
          <xdr:rowOff>552450</xdr:rowOff>
        </xdr:to>
        <xdr:sp macro="" textlink="">
          <xdr:nvSpPr>
            <xdr:cNvPr id="3173" name="Check Box 101" descr="PO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190500</xdr:rowOff>
        </xdr:from>
        <xdr:to>
          <xdr:col>8</xdr:col>
          <xdr:colOff>66675</xdr:colOff>
          <xdr:row>6</xdr:row>
          <xdr:rowOff>552450</xdr:rowOff>
        </xdr:to>
        <xdr:sp macro="" textlink="">
          <xdr:nvSpPr>
            <xdr:cNvPr id="3174" name="Check Box 102" descr="PO1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190500</xdr:rowOff>
        </xdr:from>
        <xdr:to>
          <xdr:col>9</xdr:col>
          <xdr:colOff>28575</xdr:colOff>
          <xdr:row>6</xdr:row>
          <xdr:rowOff>552450</xdr:rowOff>
        </xdr:to>
        <xdr:sp macro="" textlink="">
          <xdr:nvSpPr>
            <xdr:cNvPr id="3175" name="Check Box 103" descr="PO1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190500</xdr:rowOff>
        </xdr:from>
        <xdr:to>
          <xdr:col>10</xdr:col>
          <xdr:colOff>9525</xdr:colOff>
          <xdr:row>6</xdr:row>
          <xdr:rowOff>552450</xdr:rowOff>
        </xdr:to>
        <xdr:sp macro="" textlink="">
          <xdr:nvSpPr>
            <xdr:cNvPr id="3176" name="Check Box 104" descr="PO1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6</xdr:row>
          <xdr:rowOff>190500</xdr:rowOff>
        </xdr:from>
        <xdr:to>
          <xdr:col>11</xdr:col>
          <xdr:colOff>28575</xdr:colOff>
          <xdr:row>6</xdr:row>
          <xdr:rowOff>552450</xdr:rowOff>
        </xdr:to>
        <xdr:sp macro="" textlink="">
          <xdr:nvSpPr>
            <xdr:cNvPr id="3177" name="Check Box 105" descr="PO1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190500</xdr:rowOff>
        </xdr:from>
        <xdr:to>
          <xdr:col>11</xdr:col>
          <xdr:colOff>485775</xdr:colOff>
          <xdr:row>6</xdr:row>
          <xdr:rowOff>552450</xdr:rowOff>
        </xdr:to>
        <xdr:sp macro="" textlink="">
          <xdr:nvSpPr>
            <xdr:cNvPr id="3178" name="Check Box 106" descr="PO1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6</xdr:row>
          <xdr:rowOff>190500</xdr:rowOff>
        </xdr:from>
        <xdr:to>
          <xdr:col>12</xdr:col>
          <xdr:colOff>485775</xdr:colOff>
          <xdr:row>6</xdr:row>
          <xdr:rowOff>552450</xdr:rowOff>
        </xdr:to>
        <xdr:sp macro="" textlink="">
          <xdr:nvSpPr>
            <xdr:cNvPr id="3179" name="Check Box 107" descr="PO1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6</xdr:row>
          <xdr:rowOff>190500</xdr:rowOff>
        </xdr:from>
        <xdr:to>
          <xdr:col>13</xdr:col>
          <xdr:colOff>485775</xdr:colOff>
          <xdr:row>6</xdr:row>
          <xdr:rowOff>552450</xdr:rowOff>
        </xdr:to>
        <xdr:sp macro="" textlink="">
          <xdr:nvSpPr>
            <xdr:cNvPr id="3180" name="Check Box 108" descr="PO1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200025</xdr:rowOff>
        </xdr:from>
        <xdr:to>
          <xdr:col>3</xdr:col>
          <xdr:colOff>19050</xdr:colOff>
          <xdr:row>4</xdr:row>
          <xdr:rowOff>561975</xdr:rowOff>
        </xdr:to>
        <xdr:sp macro="" textlink="">
          <xdr:nvSpPr>
            <xdr:cNvPr id="3193" name="Check Box 121" descr="PO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200025</xdr:rowOff>
        </xdr:from>
        <xdr:to>
          <xdr:col>4</xdr:col>
          <xdr:colOff>76200</xdr:colOff>
          <xdr:row>4</xdr:row>
          <xdr:rowOff>561975</xdr:rowOff>
        </xdr:to>
        <xdr:sp macro="" textlink="">
          <xdr:nvSpPr>
            <xdr:cNvPr id="3194" name="Check Box 122" descr="PO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4</xdr:row>
          <xdr:rowOff>200025</xdr:rowOff>
        </xdr:from>
        <xdr:to>
          <xdr:col>5</xdr:col>
          <xdr:colOff>76200</xdr:colOff>
          <xdr:row>4</xdr:row>
          <xdr:rowOff>561975</xdr:rowOff>
        </xdr:to>
        <xdr:sp macro="" textlink="">
          <xdr:nvSpPr>
            <xdr:cNvPr id="3195" name="Check Box 123" descr="PO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200025</xdr:rowOff>
        </xdr:from>
        <xdr:to>
          <xdr:col>6</xdr:col>
          <xdr:colOff>47625</xdr:colOff>
          <xdr:row>4</xdr:row>
          <xdr:rowOff>561975</xdr:rowOff>
        </xdr:to>
        <xdr:sp macro="" textlink="">
          <xdr:nvSpPr>
            <xdr:cNvPr id="3196" name="Check Box 124" descr="PO1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200025</xdr:rowOff>
        </xdr:from>
        <xdr:to>
          <xdr:col>7</xdr:col>
          <xdr:colOff>66675</xdr:colOff>
          <xdr:row>4</xdr:row>
          <xdr:rowOff>561975</xdr:rowOff>
        </xdr:to>
        <xdr:sp macro="" textlink="">
          <xdr:nvSpPr>
            <xdr:cNvPr id="3197" name="Check Box 125" descr="PO1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4</xdr:row>
          <xdr:rowOff>200025</xdr:rowOff>
        </xdr:from>
        <xdr:to>
          <xdr:col>8</xdr:col>
          <xdr:colOff>66675</xdr:colOff>
          <xdr:row>4</xdr:row>
          <xdr:rowOff>561975</xdr:rowOff>
        </xdr:to>
        <xdr:sp macro="" textlink="">
          <xdr:nvSpPr>
            <xdr:cNvPr id="3198" name="Check Box 126" descr="PO1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</xdr:row>
          <xdr:rowOff>200025</xdr:rowOff>
        </xdr:from>
        <xdr:to>
          <xdr:col>9</xdr:col>
          <xdr:colOff>28575</xdr:colOff>
          <xdr:row>4</xdr:row>
          <xdr:rowOff>561975</xdr:rowOff>
        </xdr:to>
        <xdr:sp macro="" textlink="">
          <xdr:nvSpPr>
            <xdr:cNvPr id="3199" name="Check Box 127" descr="PO1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200025</xdr:rowOff>
        </xdr:from>
        <xdr:to>
          <xdr:col>10</xdr:col>
          <xdr:colOff>9525</xdr:colOff>
          <xdr:row>4</xdr:row>
          <xdr:rowOff>561975</xdr:rowOff>
        </xdr:to>
        <xdr:sp macro="" textlink="">
          <xdr:nvSpPr>
            <xdr:cNvPr id="3200" name="Check Box 128" descr="PO1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200025</xdr:rowOff>
        </xdr:from>
        <xdr:to>
          <xdr:col>11</xdr:col>
          <xdr:colOff>28575</xdr:colOff>
          <xdr:row>4</xdr:row>
          <xdr:rowOff>561975</xdr:rowOff>
        </xdr:to>
        <xdr:sp macro="" textlink="">
          <xdr:nvSpPr>
            <xdr:cNvPr id="3201" name="Check Box 129" descr="PO1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</xdr:row>
          <xdr:rowOff>200025</xdr:rowOff>
        </xdr:from>
        <xdr:to>
          <xdr:col>11</xdr:col>
          <xdr:colOff>485775</xdr:colOff>
          <xdr:row>4</xdr:row>
          <xdr:rowOff>561975</xdr:rowOff>
        </xdr:to>
        <xdr:sp macro="" textlink="">
          <xdr:nvSpPr>
            <xdr:cNvPr id="3202" name="Check Box 130" descr="PO1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</xdr:row>
          <xdr:rowOff>200025</xdr:rowOff>
        </xdr:from>
        <xdr:to>
          <xdr:col>12</xdr:col>
          <xdr:colOff>485775</xdr:colOff>
          <xdr:row>4</xdr:row>
          <xdr:rowOff>561975</xdr:rowOff>
        </xdr:to>
        <xdr:sp macro="" textlink="">
          <xdr:nvSpPr>
            <xdr:cNvPr id="3203" name="Check Box 131" descr="PO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</xdr:row>
          <xdr:rowOff>200025</xdr:rowOff>
        </xdr:from>
        <xdr:to>
          <xdr:col>13</xdr:col>
          <xdr:colOff>485775</xdr:colOff>
          <xdr:row>4</xdr:row>
          <xdr:rowOff>561975</xdr:rowOff>
        </xdr:to>
        <xdr:sp macro="" textlink="">
          <xdr:nvSpPr>
            <xdr:cNvPr id="3204" name="Check Box 132" descr="PO1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</xdr:row>
          <xdr:rowOff>200025</xdr:rowOff>
        </xdr:from>
        <xdr:to>
          <xdr:col>3</xdr:col>
          <xdr:colOff>19050</xdr:colOff>
          <xdr:row>5</xdr:row>
          <xdr:rowOff>561975</xdr:rowOff>
        </xdr:to>
        <xdr:sp macro="" textlink="">
          <xdr:nvSpPr>
            <xdr:cNvPr id="3205" name="Check Box 133" descr="PO1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200025</xdr:rowOff>
        </xdr:from>
        <xdr:to>
          <xdr:col>4</xdr:col>
          <xdr:colOff>76200</xdr:colOff>
          <xdr:row>5</xdr:row>
          <xdr:rowOff>561975</xdr:rowOff>
        </xdr:to>
        <xdr:sp macro="" textlink="">
          <xdr:nvSpPr>
            <xdr:cNvPr id="3206" name="Check Box 134" descr="PO2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200025</xdr:rowOff>
        </xdr:from>
        <xdr:to>
          <xdr:col>5</xdr:col>
          <xdr:colOff>76200</xdr:colOff>
          <xdr:row>5</xdr:row>
          <xdr:rowOff>561975</xdr:rowOff>
        </xdr:to>
        <xdr:sp macro="" textlink="">
          <xdr:nvSpPr>
            <xdr:cNvPr id="3207" name="Check Box 135" descr="PO3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5</xdr:row>
          <xdr:rowOff>200025</xdr:rowOff>
        </xdr:from>
        <xdr:to>
          <xdr:col>6</xdr:col>
          <xdr:colOff>47625</xdr:colOff>
          <xdr:row>5</xdr:row>
          <xdr:rowOff>561975</xdr:rowOff>
        </xdr:to>
        <xdr:sp macro="" textlink="">
          <xdr:nvSpPr>
            <xdr:cNvPr id="3208" name="Check Box 136" descr="PO1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200025</xdr:rowOff>
        </xdr:from>
        <xdr:to>
          <xdr:col>7</xdr:col>
          <xdr:colOff>66675</xdr:colOff>
          <xdr:row>5</xdr:row>
          <xdr:rowOff>561975</xdr:rowOff>
        </xdr:to>
        <xdr:sp macro="" textlink="">
          <xdr:nvSpPr>
            <xdr:cNvPr id="3209" name="Check Box 137" descr="PO1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5</xdr:row>
          <xdr:rowOff>200025</xdr:rowOff>
        </xdr:from>
        <xdr:to>
          <xdr:col>8</xdr:col>
          <xdr:colOff>66675</xdr:colOff>
          <xdr:row>5</xdr:row>
          <xdr:rowOff>561975</xdr:rowOff>
        </xdr:to>
        <xdr:sp macro="" textlink="">
          <xdr:nvSpPr>
            <xdr:cNvPr id="3210" name="Check Box 138" descr="PO1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5</xdr:row>
          <xdr:rowOff>200025</xdr:rowOff>
        </xdr:from>
        <xdr:to>
          <xdr:col>9</xdr:col>
          <xdr:colOff>28575</xdr:colOff>
          <xdr:row>5</xdr:row>
          <xdr:rowOff>561975</xdr:rowOff>
        </xdr:to>
        <xdr:sp macro="" textlink="">
          <xdr:nvSpPr>
            <xdr:cNvPr id="3211" name="Check Box 139" descr="PO1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200025</xdr:rowOff>
        </xdr:from>
        <xdr:to>
          <xdr:col>10</xdr:col>
          <xdr:colOff>9525</xdr:colOff>
          <xdr:row>5</xdr:row>
          <xdr:rowOff>561975</xdr:rowOff>
        </xdr:to>
        <xdr:sp macro="" textlink="">
          <xdr:nvSpPr>
            <xdr:cNvPr id="3212" name="Check Box 140" descr="PO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5</xdr:row>
          <xdr:rowOff>200025</xdr:rowOff>
        </xdr:from>
        <xdr:to>
          <xdr:col>11</xdr:col>
          <xdr:colOff>28575</xdr:colOff>
          <xdr:row>5</xdr:row>
          <xdr:rowOff>561975</xdr:rowOff>
        </xdr:to>
        <xdr:sp macro="" textlink="">
          <xdr:nvSpPr>
            <xdr:cNvPr id="3213" name="Check Box 141" descr="PO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5</xdr:row>
          <xdr:rowOff>200025</xdr:rowOff>
        </xdr:from>
        <xdr:to>
          <xdr:col>11</xdr:col>
          <xdr:colOff>485775</xdr:colOff>
          <xdr:row>5</xdr:row>
          <xdr:rowOff>561975</xdr:rowOff>
        </xdr:to>
        <xdr:sp macro="" textlink="">
          <xdr:nvSpPr>
            <xdr:cNvPr id="3214" name="Check Box 142" descr="PO1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</xdr:row>
          <xdr:rowOff>200025</xdr:rowOff>
        </xdr:from>
        <xdr:to>
          <xdr:col>12</xdr:col>
          <xdr:colOff>485775</xdr:colOff>
          <xdr:row>5</xdr:row>
          <xdr:rowOff>561975</xdr:rowOff>
        </xdr:to>
        <xdr:sp macro="" textlink="">
          <xdr:nvSpPr>
            <xdr:cNvPr id="3215" name="Check Box 143" descr="PO1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5</xdr:row>
          <xdr:rowOff>200025</xdr:rowOff>
        </xdr:from>
        <xdr:to>
          <xdr:col>13</xdr:col>
          <xdr:colOff>485775</xdr:colOff>
          <xdr:row>5</xdr:row>
          <xdr:rowOff>561975</xdr:rowOff>
        </xdr:to>
        <xdr:sp macro="" textlink="">
          <xdr:nvSpPr>
            <xdr:cNvPr id="3216" name="Check Box 144" descr="PO1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</xdr:row>
          <xdr:rowOff>19050</xdr:rowOff>
        </xdr:from>
        <xdr:to>
          <xdr:col>27</xdr:col>
          <xdr:colOff>609600</xdr:colOff>
          <xdr:row>15</xdr:row>
          <xdr:rowOff>9525</xdr:rowOff>
        </xdr:to>
        <xdr:sp macro="" textlink="">
          <xdr:nvSpPr>
            <xdr:cNvPr id="3217" name="cmd_pubSheet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0</xdr:rowOff>
        </xdr:from>
        <xdr:to>
          <xdr:col>2</xdr:col>
          <xdr:colOff>1076325</xdr:colOff>
          <xdr:row>4</xdr:row>
          <xdr:rowOff>152400</xdr:rowOff>
        </xdr:to>
        <xdr:sp macro="" textlink="">
          <xdr:nvSpPr>
            <xdr:cNvPr id="4097" name="cmd_publis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6" Type="http://schemas.openxmlformats.org/officeDocument/2006/relationships/ctrlProp" Target="../ctrlProps/ctrlProp71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31"/>
  <sheetViews>
    <sheetView tabSelected="1" topLeftCell="B16" zoomScale="85" zoomScaleNormal="85" workbookViewId="0">
      <selection activeCell="AP30" sqref="AP30"/>
    </sheetView>
  </sheetViews>
  <sheetFormatPr defaultColWidth="14.42578125" defaultRowHeight="15" customHeight="1" x14ac:dyDescent="0.2"/>
  <cols>
    <col min="1" max="1" width="17.7109375" style="73" customWidth="1"/>
    <col min="2" max="2" width="24.42578125" style="73" customWidth="1"/>
    <col min="3" max="4" width="6.42578125" style="73" customWidth="1"/>
    <col min="5" max="5" width="6" style="73" customWidth="1"/>
    <col min="6" max="6" width="6.28515625" style="73" customWidth="1"/>
    <col min="7" max="7" width="5.28515625" style="73" bestFit="1" customWidth="1"/>
    <col min="8" max="8" width="7.28515625" style="73" customWidth="1"/>
    <col min="9" max="9" width="7" style="73" customWidth="1"/>
    <col min="10" max="14" width="5.28515625" style="73" customWidth="1"/>
    <col min="15" max="15" width="7.5703125" style="73" customWidth="1"/>
    <col min="16" max="20" width="5.28515625" style="73" customWidth="1"/>
    <col min="21" max="21" width="6" style="73" customWidth="1"/>
    <col min="22" max="22" width="7" style="73" customWidth="1"/>
    <col min="23" max="23" width="9.140625" style="73" customWidth="1"/>
    <col min="24" max="24" width="13.140625" style="73" customWidth="1"/>
    <col min="25" max="25" width="1.28515625" style="73" customWidth="1"/>
    <col min="26" max="26" width="15.28515625" style="73" customWidth="1"/>
    <col min="27" max="27" width="23.28515625" style="73" customWidth="1"/>
    <col min="28" max="28" width="6.85546875" style="73" customWidth="1"/>
    <col min="29" max="29" width="7.7109375" style="73" customWidth="1"/>
    <col min="30" max="30" width="8" style="73" customWidth="1"/>
    <col min="31" max="32" width="8.140625" style="73" customWidth="1"/>
    <col min="33" max="33" width="8" style="73" customWidth="1"/>
    <col min="34" max="34" width="8.42578125" style="73" customWidth="1"/>
    <col min="35" max="35" width="8.5703125" style="73" customWidth="1"/>
    <col min="36" max="36" width="8.7109375" style="73" customWidth="1"/>
    <col min="37" max="37" width="8.5703125" style="73" customWidth="1"/>
    <col min="38" max="38" width="8.7109375" style="73" customWidth="1"/>
    <col min="39" max="39" width="7.7109375" style="73" bestFit="1" customWidth="1"/>
    <col min="40" max="40" width="9.140625" style="73" customWidth="1"/>
    <col min="41" max="41" width="9.28515625" style="73" customWidth="1"/>
    <col min="42" max="42" width="10.28515625" style="73" customWidth="1"/>
    <col min="43" max="43" width="9.28515625" style="73" customWidth="1"/>
    <col min="44" max="44" width="9.7109375" style="73" customWidth="1"/>
    <col min="45" max="45" width="9" style="73" customWidth="1"/>
    <col min="46" max="47" width="9.85546875" style="73" customWidth="1"/>
    <col min="48" max="48" width="9" style="73" customWidth="1"/>
    <col min="49" max="49" width="8.7109375" style="73" customWidth="1"/>
    <col min="50" max="50" width="10.140625" style="73" customWidth="1"/>
    <col min="51" max="51" width="10.28515625" style="73" customWidth="1"/>
    <col min="52" max="52" width="9.7109375" style="73" customWidth="1"/>
    <col min="53" max="53" width="9.42578125" style="73" customWidth="1"/>
    <col min="54" max="54" width="10.140625" style="73" customWidth="1"/>
    <col min="55" max="55" width="9.85546875" style="73" customWidth="1"/>
    <col min="56" max="56" width="10.85546875" style="73" customWidth="1"/>
    <col min="57" max="57" width="10.28515625" style="73" customWidth="1"/>
    <col min="58" max="16384" width="14.42578125" style="73"/>
  </cols>
  <sheetData>
    <row r="1" spans="1:48" ht="4.5" customHeight="1" x14ac:dyDescent="0.2">
      <c r="A1" s="62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</row>
    <row r="2" spans="1:48" ht="12" customHeight="1" x14ac:dyDescent="0.2">
      <c r="A2" s="194" t="s">
        <v>0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74"/>
      <c r="X2" s="74"/>
      <c r="Y2" s="62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</row>
    <row r="3" spans="1:48" ht="12" customHeight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74"/>
      <c r="X3" s="74"/>
      <c r="Y3" s="62"/>
      <c r="Z3" s="141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</row>
    <row r="4" spans="1:48" ht="12" customHeight="1" x14ac:dyDescent="0.2">
      <c r="A4" s="194" t="s">
        <v>1</v>
      </c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74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</row>
    <row r="5" spans="1:48" ht="12" customHeight="1" x14ac:dyDescent="0.2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74"/>
      <c r="Y5" s="62"/>
      <c r="Z5" s="139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</row>
    <row r="6" spans="1:48" ht="12" customHeight="1" x14ac:dyDescent="0.2">
      <c r="A6" s="193" t="s">
        <v>75</v>
      </c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75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</row>
    <row r="7" spans="1:48" ht="12" customHeight="1" x14ac:dyDescent="0.2">
      <c r="A7" s="193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75"/>
      <c r="Y7" s="76"/>
      <c r="Z7" s="151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</row>
    <row r="8" spans="1:48" ht="12" customHeight="1" x14ac:dyDescent="0.2">
      <c r="A8" s="192" t="s">
        <v>145</v>
      </c>
      <c r="B8" s="192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77"/>
      <c r="X8" s="78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</row>
    <row r="9" spans="1:48" ht="12" customHeight="1" x14ac:dyDescent="0.2">
      <c r="A9" s="192"/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77"/>
      <c r="X9" s="78"/>
      <c r="Y9" s="62"/>
      <c r="Z9" s="139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</row>
    <row r="10" spans="1:48" ht="15" customHeight="1" x14ac:dyDescent="0.2">
      <c r="A10" s="30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30"/>
      <c r="Q10" s="30"/>
      <c r="R10" s="30"/>
      <c r="S10" s="30"/>
      <c r="T10" s="30"/>
      <c r="U10" s="30"/>
      <c r="V10" s="30"/>
      <c r="W10" s="30"/>
      <c r="X10" s="62"/>
      <c r="Y10" s="30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</row>
    <row r="11" spans="1:48" ht="15" customHeight="1" x14ac:dyDescent="0.2">
      <c r="A11" s="141"/>
      <c r="B11" s="140"/>
      <c r="D11" s="62"/>
      <c r="E11" s="62"/>
      <c r="F11" s="62"/>
      <c r="G11" s="62"/>
      <c r="H11" s="62"/>
      <c r="I11" s="62"/>
      <c r="J11" s="143" t="s">
        <v>2</v>
      </c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79"/>
      <c r="X11" s="62"/>
      <c r="Y11" s="30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</row>
    <row r="12" spans="1:48" ht="28.5" customHeight="1" x14ac:dyDescent="0.2">
      <c r="A12" s="30"/>
      <c r="B12" s="62"/>
      <c r="C12" s="62"/>
      <c r="D12" s="62"/>
      <c r="E12" s="62"/>
      <c r="F12" s="62"/>
      <c r="G12" s="62"/>
      <c r="H12" s="62"/>
      <c r="I12" s="62"/>
      <c r="J12" s="143" t="s">
        <v>3</v>
      </c>
      <c r="K12" s="116"/>
      <c r="L12" s="116"/>
      <c r="M12" s="116"/>
      <c r="N12" s="116"/>
      <c r="O12" s="116"/>
      <c r="P12" s="116"/>
      <c r="Q12" s="143" t="s">
        <v>4</v>
      </c>
      <c r="R12" s="116"/>
      <c r="S12" s="116"/>
      <c r="T12" s="116"/>
      <c r="U12" s="116"/>
      <c r="V12" s="80" t="s">
        <v>104</v>
      </c>
      <c r="W12" s="79"/>
      <c r="X12" s="62"/>
      <c r="Y12" s="30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</row>
    <row r="13" spans="1:48" ht="22.5" customHeight="1" x14ac:dyDescent="0.2">
      <c r="A13" s="182" t="s">
        <v>5</v>
      </c>
      <c r="B13" s="182"/>
      <c r="C13" s="182"/>
      <c r="E13" s="181" t="s">
        <v>63</v>
      </c>
      <c r="F13" s="181"/>
      <c r="G13" s="181"/>
      <c r="H13" s="181"/>
      <c r="I13" s="81" t="s">
        <v>150</v>
      </c>
      <c r="J13" s="115" t="s">
        <v>6</v>
      </c>
      <c r="K13" s="116"/>
      <c r="L13" s="116"/>
      <c r="M13" s="116"/>
      <c r="N13" s="116"/>
      <c r="O13" s="116"/>
      <c r="P13" s="116"/>
      <c r="Q13" s="82" t="s">
        <v>7</v>
      </c>
      <c r="R13" s="142" t="s">
        <v>8</v>
      </c>
      <c r="S13" s="142"/>
      <c r="T13" s="142"/>
      <c r="U13" s="116"/>
      <c r="V13" s="83">
        <v>4</v>
      </c>
      <c r="W13" s="84"/>
      <c r="X13" s="62"/>
      <c r="Y13" s="30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</row>
    <row r="14" spans="1:48" ht="15" customHeight="1" x14ac:dyDescent="0.2">
      <c r="A14" s="85" t="s">
        <v>141</v>
      </c>
      <c r="B14" s="144" t="s">
        <v>146</v>
      </c>
      <c r="C14" s="144"/>
      <c r="D14" s="86"/>
      <c r="E14" s="87" t="s">
        <v>113</v>
      </c>
      <c r="F14" s="117" t="s">
        <v>64</v>
      </c>
      <c r="G14" s="117"/>
      <c r="H14" s="117"/>
      <c r="I14" s="88">
        <v>1</v>
      </c>
      <c r="J14" s="115" t="s">
        <v>10</v>
      </c>
      <c r="K14" s="116"/>
      <c r="L14" s="116"/>
      <c r="M14" s="116"/>
      <c r="N14" s="116"/>
      <c r="O14" s="116"/>
      <c r="P14" s="116"/>
      <c r="Q14" s="82" t="s">
        <v>11</v>
      </c>
      <c r="R14" s="142" t="s">
        <v>12</v>
      </c>
      <c r="S14" s="142"/>
      <c r="T14" s="142"/>
      <c r="U14" s="116"/>
      <c r="V14" s="83">
        <v>3.75</v>
      </c>
      <c r="W14" s="84"/>
      <c r="X14" s="62"/>
      <c r="Y14" s="30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</row>
    <row r="15" spans="1:48" ht="28.5" customHeight="1" x14ac:dyDescent="0.2">
      <c r="A15" s="85" t="s">
        <v>13</v>
      </c>
      <c r="B15" s="144" t="s">
        <v>147</v>
      </c>
      <c r="C15" s="144"/>
      <c r="D15" s="86"/>
      <c r="E15" s="87" t="s">
        <v>114</v>
      </c>
      <c r="F15" s="117" t="s">
        <v>65</v>
      </c>
      <c r="G15" s="117"/>
      <c r="H15" s="117"/>
      <c r="I15" s="88">
        <v>1</v>
      </c>
      <c r="J15" s="115" t="s">
        <v>14</v>
      </c>
      <c r="K15" s="116"/>
      <c r="L15" s="116"/>
      <c r="M15" s="116"/>
      <c r="N15" s="116"/>
      <c r="O15" s="116"/>
      <c r="P15" s="116"/>
      <c r="Q15" s="82" t="s">
        <v>15</v>
      </c>
      <c r="R15" s="142" t="s">
        <v>16</v>
      </c>
      <c r="S15" s="142"/>
      <c r="T15" s="142"/>
      <c r="U15" s="116"/>
      <c r="V15" s="83">
        <v>3.5</v>
      </c>
      <c r="W15" s="84"/>
      <c r="X15" s="62"/>
      <c r="Y15" s="30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</row>
    <row r="16" spans="1:48" ht="15" customHeight="1" x14ac:dyDescent="0.2">
      <c r="A16" s="85" t="s">
        <v>142</v>
      </c>
      <c r="B16" s="144" t="s">
        <v>143</v>
      </c>
      <c r="C16" s="144"/>
      <c r="D16" s="86"/>
      <c r="E16" s="87" t="s">
        <v>115</v>
      </c>
      <c r="F16" s="117" t="s">
        <v>69</v>
      </c>
      <c r="G16" s="117"/>
      <c r="H16" s="117"/>
      <c r="I16" s="88"/>
      <c r="J16" s="115" t="s">
        <v>18</v>
      </c>
      <c r="K16" s="116"/>
      <c r="L16" s="116"/>
      <c r="M16" s="116"/>
      <c r="N16" s="116"/>
      <c r="O16" s="116"/>
      <c r="P16" s="116"/>
      <c r="Q16" s="82" t="s">
        <v>19</v>
      </c>
      <c r="R16" s="142" t="s">
        <v>20</v>
      </c>
      <c r="S16" s="142"/>
      <c r="T16" s="142"/>
      <c r="U16" s="116"/>
      <c r="V16" s="83">
        <v>3.25</v>
      </c>
      <c r="W16" s="84"/>
      <c r="X16" s="62"/>
      <c r="Y16" s="30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</row>
    <row r="17" spans="1:57" ht="15" customHeight="1" x14ac:dyDescent="0.2">
      <c r="A17" s="85" t="s">
        <v>21</v>
      </c>
      <c r="B17" s="144" t="s">
        <v>148</v>
      </c>
      <c r="C17" s="144"/>
      <c r="D17" s="86"/>
      <c r="E17" s="87" t="s">
        <v>116</v>
      </c>
      <c r="F17" s="117" t="s">
        <v>101</v>
      </c>
      <c r="G17" s="117"/>
      <c r="H17" s="117"/>
      <c r="I17" s="88">
        <v>1</v>
      </c>
      <c r="J17" s="115" t="s">
        <v>22</v>
      </c>
      <c r="K17" s="116"/>
      <c r="L17" s="116"/>
      <c r="M17" s="116"/>
      <c r="N17" s="116"/>
      <c r="O17" s="116"/>
      <c r="P17" s="116"/>
      <c r="Q17" s="82" t="s">
        <v>23</v>
      </c>
      <c r="R17" s="142" t="s">
        <v>24</v>
      </c>
      <c r="S17" s="142"/>
      <c r="T17" s="142"/>
      <c r="U17" s="116"/>
      <c r="V17" s="83">
        <v>3</v>
      </c>
      <c r="W17" s="84"/>
      <c r="X17" s="62"/>
      <c r="Y17" s="30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</row>
    <row r="18" spans="1:57" ht="15" customHeight="1" x14ac:dyDescent="0.2">
      <c r="A18" s="85" t="s">
        <v>25</v>
      </c>
      <c r="B18" s="144">
        <v>57</v>
      </c>
      <c r="C18" s="144"/>
      <c r="D18" s="86"/>
      <c r="E18" s="87" t="s">
        <v>117</v>
      </c>
      <c r="F18" s="117" t="s">
        <v>102</v>
      </c>
      <c r="G18" s="117"/>
      <c r="H18" s="117"/>
      <c r="I18" s="88"/>
      <c r="J18" s="115" t="s">
        <v>26</v>
      </c>
      <c r="K18" s="116"/>
      <c r="L18" s="116"/>
      <c r="M18" s="116"/>
      <c r="N18" s="116"/>
      <c r="O18" s="116"/>
      <c r="P18" s="116"/>
      <c r="Q18" s="82" t="s">
        <v>27</v>
      </c>
      <c r="R18" s="142" t="s">
        <v>28</v>
      </c>
      <c r="S18" s="142"/>
      <c r="T18" s="142"/>
      <c r="U18" s="116"/>
      <c r="V18" s="83">
        <v>2.75</v>
      </c>
      <c r="W18" s="84"/>
      <c r="X18" s="62"/>
      <c r="Y18" s="30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</row>
    <row r="19" spans="1:57" ht="15" customHeight="1" x14ac:dyDescent="0.2">
      <c r="A19" s="85" t="s">
        <v>29</v>
      </c>
      <c r="B19" s="144">
        <v>4</v>
      </c>
      <c r="C19" s="144"/>
      <c r="D19" s="86"/>
      <c r="E19" s="87" t="s">
        <v>118</v>
      </c>
      <c r="F19" s="117" t="s">
        <v>103</v>
      </c>
      <c r="G19" s="117"/>
      <c r="H19" s="117"/>
      <c r="I19" s="88"/>
      <c r="J19" s="115" t="s">
        <v>30</v>
      </c>
      <c r="K19" s="116"/>
      <c r="L19" s="116"/>
      <c r="M19" s="116"/>
      <c r="N19" s="116"/>
      <c r="O19" s="116"/>
      <c r="P19" s="116"/>
      <c r="Q19" s="82" t="s">
        <v>31</v>
      </c>
      <c r="R19" s="142" t="s">
        <v>32</v>
      </c>
      <c r="S19" s="142"/>
      <c r="T19" s="142"/>
      <c r="U19" s="116"/>
      <c r="V19" s="83">
        <v>2.5</v>
      </c>
      <c r="W19" s="84"/>
      <c r="X19" s="62"/>
      <c r="Y19" s="30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</row>
    <row r="20" spans="1:57" ht="15" customHeight="1" x14ac:dyDescent="0.2">
      <c r="A20" s="89"/>
      <c r="B20" s="195"/>
      <c r="C20" s="195"/>
      <c r="D20" s="86"/>
      <c r="E20" s="87" t="s">
        <v>119</v>
      </c>
      <c r="F20" s="117" t="s">
        <v>107</v>
      </c>
      <c r="G20" s="117"/>
      <c r="H20" s="117"/>
      <c r="I20" s="88"/>
      <c r="J20" s="115" t="s">
        <v>34</v>
      </c>
      <c r="K20" s="116"/>
      <c r="L20" s="116"/>
      <c r="M20" s="116"/>
      <c r="N20" s="116"/>
      <c r="O20" s="116"/>
      <c r="P20" s="116"/>
      <c r="Q20" s="82" t="s">
        <v>35</v>
      </c>
      <c r="R20" s="142" t="s">
        <v>36</v>
      </c>
      <c r="S20" s="142"/>
      <c r="T20" s="142"/>
      <c r="U20" s="116"/>
      <c r="V20" s="83">
        <v>2.25</v>
      </c>
      <c r="W20" s="84"/>
      <c r="X20" s="62"/>
      <c r="Y20" s="30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</row>
    <row r="21" spans="1:57" ht="15" customHeight="1" x14ac:dyDescent="0.2">
      <c r="A21" s="89"/>
      <c r="B21" s="90"/>
      <c r="C21" s="90"/>
      <c r="D21" s="86"/>
      <c r="E21" s="87" t="s">
        <v>120</v>
      </c>
      <c r="F21" s="117" t="s">
        <v>121</v>
      </c>
      <c r="G21" s="117"/>
      <c r="H21" s="117"/>
      <c r="I21" s="88"/>
      <c r="J21" s="115" t="s">
        <v>37</v>
      </c>
      <c r="K21" s="116"/>
      <c r="L21" s="116"/>
      <c r="M21" s="116"/>
      <c r="N21" s="116"/>
      <c r="O21" s="116"/>
      <c r="P21" s="116"/>
      <c r="Q21" s="82" t="s">
        <v>38</v>
      </c>
      <c r="R21" s="142" t="s">
        <v>111</v>
      </c>
      <c r="S21" s="142"/>
      <c r="T21" s="142"/>
      <c r="U21" s="116"/>
      <c r="V21" s="83">
        <v>2</v>
      </c>
      <c r="W21" s="84"/>
      <c r="X21" s="62"/>
      <c r="Y21" s="30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</row>
    <row r="22" spans="1:57" ht="15" customHeight="1" x14ac:dyDescent="0.2">
      <c r="D22" s="62"/>
      <c r="E22" s="87" t="s">
        <v>44</v>
      </c>
      <c r="F22" s="117" t="s">
        <v>122</v>
      </c>
      <c r="G22" s="117"/>
      <c r="H22" s="117"/>
      <c r="I22" s="88">
        <v>1</v>
      </c>
      <c r="J22" s="115" t="s">
        <v>39</v>
      </c>
      <c r="K22" s="116"/>
      <c r="L22" s="116"/>
      <c r="M22" s="116"/>
      <c r="N22" s="116"/>
      <c r="O22" s="116"/>
      <c r="P22" s="116"/>
      <c r="Q22" s="82" t="s">
        <v>40</v>
      </c>
      <c r="R22" s="142" t="s">
        <v>112</v>
      </c>
      <c r="S22" s="142"/>
      <c r="T22" s="142"/>
      <c r="U22" s="116"/>
      <c r="V22" s="83">
        <v>0</v>
      </c>
      <c r="W22" s="84"/>
      <c r="X22" s="62"/>
      <c r="Y22" s="30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</row>
    <row r="23" spans="1:57" ht="15" customHeight="1" x14ac:dyDescent="0.2">
      <c r="A23" s="91" t="s">
        <v>131</v>
      </c>
      <c r="B23" s="137">
        <v>6187</v>
      </c>
      <c r="C23" s="137"/>
      <c r="D23" s="62"/>
      <c r="E23" s="87" t="s">
        <v>46</v>
      </c>
      <c r="F23" s="117" t="s">
        <v>71</v>
      </c>
      <c r="G23" s="117"/>
      <c r="H23" s="117"/>
      <c r="I23" s="88">
        <v>1</v>
      </c>
      <c r="J23" s="62"/>
      <c r="K23" s="62"/>
      <c r="L23" s="62"/>
      <c r="M23" s="62"/>
      <c r="N23" s="62"/>
      <c r="O23" s="62"/>
      <c r="P23" s="62"/>
      <c r="W23" s="62"/>
      <c r="X23" s="62"/>
      <c r="Y23" s="30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</row>
    <row r="24" spans="1:57" ht="15" customHeight="1" x14ac:dyDescent="0.2">
      <c r="A24" s="91" t="s">
        <v>132</v>
      </c>
      <c r="B24" s="138" t="s">
        <v>144</v>
      </c>
      <c r="C24" s="137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W24" s="62"/>
      <c r="X24" s="62"/>
      <c r="Y24" s="30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</row>
    <row r="25" spans="1:57" ht="15" customHeight="1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30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</row>
    <row r="26" spans="1:57" ht="15" customHeight="1" x14ac:dyDescent="0.2">
      <c r="A26" s="184" t="s">
        <v>82</v>
      </c>
      <c r="B26" s="163" t="s">
        <v>48</v>
      </c>
      <c r="C26" s="118" t="s">
        <v>108</v>
      </c>
      <c r="D26" s="119"/>
      <c r="E26" s="119"/>
      <c r="F26" s="119"/>
      <c r="G26" s="120"/>
      <c r="H26" s="112" t="s">
        <v>140</v>
      </c>
      <c r="I26" s="121" t="s">
        <v>43</v>
      </c>
      <c r="J26" s="122"/>
      <c r="K26" s="122"/>
      <c r="L26" s="122"/>
      <c r="M26" s="122"/>
      <c r="N26" s="123"/>
      <c r="O26" s="112" t="s">
        <v>44</v>
      </c>
      <c r="P26" s="168" t="s">
        <v>45</v>
      </c>
      <c r="Q26" s="169"/>
      <c r="R26" s="170"/>
      <c r="S26" s="170"/>
      <c r="T26" s="170"/>
      <c r="U26" s="170"/>
      <c r="V26" s="112" t="s">
        <v>46</v>
      </c>
      <c r="W26" s="112" t="s">
        <v>47</v>
      </c>
      <c r="X26" s="158" t="s">
        <v>4</v>
      </c>
      <c r="Y26" s="30"/>
      <c r="Z26" s="155" t="s">
        <v>41</v>
      </c>
      <c r="AA26" s="152" t="s">
        <v>42</v>
      </c>
      <c r="AB26" s="135" t="s">
        <v>49</v>
      </c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92"/>
      <c r="AZ26" s="92"/>
      <c r="BA26" s="92"/>
      <c r="BB26" s="92"/>
      <c r="BC26" s="92"/>
      <c r="BD26" s="92"/>
      <c r="BE26" s="92"/>
    </row>
    <row r="27" spans="1:57" ht="15" customHeight="1" x14ac:dyDescent="0.2">
      <c r="A27" s="185"/>
      <c r="B27" s="164"/>
      <c r="C27" s="31" t="s">
        <v>115</v>
      </c>
      <c r="D27" s="32" t="s">
        <v>116</v>
      </c>
      <c r="E27" s="32" t="s">
        <v>113</v>
      </c>
      <c r="F27" s="32" t="s">
        <v>114</v>
      </c>
      <c r="G27" s="32"/>
      <c r="H27" s="113"/>
      <c r="I27" s="33" t="s">
        <v>125</v>
      </c>
      <c r="J27" s="33" t="s">
        <v>126</v>
      </c>
      <c r="K27" s="33" t="s">
        <v>127</v>
      </c>
      <c r="L27" s="33"/>
      <c r="M27" s="33"/>
      <c r="N27" s="33"/>
      <c r="O27" s="114"/>
      <c r="P27" s="34" t="s">
        <v>125</v>
      </c>
      <c r="Q27" s="34" t="s">
        <v>126</v>
      </c>
      <c r="R27" s="34" t="s">
        <v>127</v>
      </c>
      <c r="S27" s="34" t="s">
        <v>128</v>
      </c>
      <c r="T27" s="34"/>
      <c r="U27" s="34"/>
      <c r="V27" s="114"/>
      <c r="W27" s="183"/>
      <c r="X27" s="159"/>
      <c r="Y27" s="30"/>
      <c r="Z27" s="156"/>
      <c r="AA27" s="153"/>
      <c r="AB27" s="124" t="s">
        <v>54</v>
      </c>
      <c r="AC27" s="125"/>
      <c r="AD27" s="125"/>
      <c r="AE27" s="125"/>
      <c r="AF27" s="125"/>
      <c r="AG27" s="126"/>
      <c r="AH27" s="127" t="s">
        <v>55</v>
      </c>
      <c r="AI27" s="128"/>
      <c r="AJ27" s="128"/>
      <c r="AK27" s="128"/>
      <c r="AL27" s="128"/>
      <c r="AM27" s="129"/>
      <c r="AN27" s="177" t="s">
        <v>76</v>
      </c>
      <c r="AO27" s="178"/>
      <c r="AP27" s="178"/>
      <c r="AQ27" s="130">
        <v>50</v>
      </c>
      <c r="AR27" s="130"/>
      <c r="AS27" s="131"/>
      <c r="AT27" s="179" t="s">
        <v>77</v>
      </c>
      <c r="AU27" s="180"/>
      <c r="AV27" s="180"/>
      <c r="AW27" s="134">
        <v>50</v>
      </c>
      <c r="AX27" s="134"/>
      <c r="AY27" s="93"/>
      <c r="AZ27" s="93"/>
      <c r="BA27" s="93"/>
      <c r="BB27" s="93"/>
      <c r="BC27" s="93"/>
      <c r="BD27" s="93"/>
      <c r="BE27" s="93"/>
    </row>
    <row r="28" spans="1:57" ht="15" customHeight="1" x14ac:dyDescent="0.2">
      <c r="A28" s="185"/>
      <c r="B28" s="164"/>
      <c r="C28" s="33" t="s">
        <v>52</v>
      </c>
      <c r="D28" s="33"/>
      <c r="E28" s="33" t="s">
        <v>51</v>
      </c>
      <c r="F28" s="33" t="s">
        <v>52</v>
      </c>
      <c r="G28" s="32"/>
      <c r="H28" s="35">
        <v>30</v>
      </c>
      <c r="I28" s="33" t="s">
        <v>50</v>
      </c>
      <c r="J28" s="33" t="s">
        <v>50</v>
      </c>
      <c r="K28" s="33" t="s">
        <v>51</v>
      </c>
      <c r="L28" s="33"/>
      <c r="M28" s="33"/>
      <c r="N28" s="33"/>
      <c r="O28" s="35">
        <v>30</v>
      </c>
      <c r="P28" s="33" t="s">
        <v>51</v>
      </c>
      <c r="Q28" s="33" t="s">
        <v>51</v>
      </c>
      <c r="R28" s="33" t="s">
        <v>51</v>
      </c>
      <c r="S28" s="33" t="s">
        <v>50</v>
      </c>
      <c r="T28" s="33"/>
      <c r="U28" s="33"/>
      <c r="V28" s="36">
        <v>40</v>
      </c>
      <c r="W28" s="37">
        <f>IF(W29=(V28+O28+H28),V28+O28+H28,"Error")</f>
        <v>100</v>
      </c>
      <c r="X28" s="159"/>
      <c r="Y28" s="30"/>
      <c r="Z28" s="156"/>
      <c r="AA28" s="153"/>
      <c r="AB28" s="38" t="s">
        <v>134</v>
      </c>
      <c r="AC28" s="38" t="s">
        <v>135</v>
      </c>
      <c r="AD28" s="38" t="s">
        <v>136</v>
      </c>
      <c r="AE28" s="38" t="s">
        <v>137</v>
      </c>
      <c r="AF28" s="38" t="s">
        <v>138</v>
      </c>
      <c r="AG28" s="38" t="s">
        <v>139</v>
      </c>
      <c r="AH28" s="39" t="s">
        <v>50</v>
      </c>
      <c r="AI28" s="39" t="s">
        <v>51</v>
      </c>
      <c r="AJ28" s="39" t="s">
        <v>52</v>
      </c>
      <c r="AK28" s="39" t="s">
        <v>53</v>
      </c>
      <c r="AL28" s="39" t="s">
        <v>129</v>
      </c>
      <c r="AM28" s="39" t="s">
        <v>130</v>
      </c>
      <c r="AN28" s="161" t="s">
        <v>50</v>
      </c>
      <c r="AO28" s="132" t="s">
        <v>51</v>
      </c>
      <c r="AP28" s="132" t="s">
        <v>52</v>
      </c>
      <c r="AQ28" s="132" t="s">
        <v>53</v>
      </c>
      <c r="AR28" s="132" t="s">
        <v>129</v>
      </c>
      <c r="AS28" s="132" t="s">
        <v>130</v>
      </c>
      <c r="AT28" s="109" t="s">
        <v>56</v>
      </c>
      <c r="AU28" s="109" t="s">
        <v>74</v>
      </c>
      <c r="AV28" s="109" t="s">
        <v>57</v>
      </c>
      <c r="AW28" s="109" t="s">
        <v>73</v>
      </c>
      <c r="AX28" s="109" t="s">
        <v>84</v>
      </c>
      <c r="AY28" s="109" t="s">
        <v>85</v>
      </c>
      <c r="AZ28" s="109" t="s">
        <v>86</v>
      </c>
      <c r="BA28" s="109" t="s">
        <v>87</v>
      </c>
      <c r="BB28" s="109" t="s">
        <v>88</v>
      </c>
      <c r="BC28" s="109" t="s">
        <v>89</v>
      </c>
      <c r="BD28" s="109" t="s">
        <v>90</v>
      </c>
      <c r="BE28" s="109" t="s">
        <v>91</v>
      </c>
    </row>
    <row r="29" spans="1:57" ht="15" customHeight="1" x14ac:dyDescent="0.2">
      <c r="A29" s="186"/>
      <c r="B29" s="165"/>
      <c r="C29" s="40">
        <v>5</v>
      </c>
      <c r="D29" s="40"/>
      <c r="E29" s="40">
        <v>15</v>
      </c>
      <c r="F29" s="40">
        <v>10</v>
      </c>
      <c r="G29" s="40"/>
      <c r="H29" s="41">
        <f t="shared" ref="H29" si="0">SUM(C29:G29)</f>
        <v>30</v>
      </c>
      <c r="I29" s="40">
        <v>10</v>
      </c>
      <c r="J29" s="40">
        <v>10</v>
      </c>
      <c r="K29" s="40">
        <v>10</v>
      </c>
      <c r="L29" s="40"/>
      <c r="M29" s="40"/>
      <c r="N29" s="40"/>
      <c r="O29" s="42">
        <f>IF((SUM(I29:N29)=O28),O28,"Error")</f>
        <v>30</v>
      </c>
      <c r="P29" s="40">
        <v>10</v>
      </c>
      <c r="Q29" s="40">
        <v>10</v>
      </c>
      <c r="R29" s="40">
        <v>10</v>
      </c>
      <c r="S29" s="40">
        <v>10</v>
      </c>
      <c r="T29" s="40"/>
      <c r="U29" s="40"/>
      <c r="V29" s="43">
        <f>IF((SUM(P29:U29)=V28),V28,"Error")</f>
        <v>40</v>
      </c>
      <c r="W29" s="44">
        <f>SUM(H29+O29+V29)</f>
        <v>100</v>
      </c>
      <c r="X29" s="160"/>
      <c r="Y29" s="30"/>
      <c r="Z29" s="157"/>
      <c r="AA29" s="154"/>
      <c r="AB29" s="45">
        <f>SUMIF($C$28:$U$28,SUBSTITUTE(SUBSTITUTE(AB$28,"[",""),"]",""),$C29:$U29)</f>
        <v>30</v>
      </c>
      <c r="AC29" s="45">
        <f>SUMIF($C$28:$U$28,SUBSTITUTE(SUBSTITUTE(AC$28,"[",""),"]",""),$C29:$U29)</f>
        <v>55</v>
      </c>
      <c r="AD29" s="45">
        <f t="shared" ref="AD29:AG29" si="1">SUMIF($C$28:$U$28,SUBSTITUTE(SUBSTITUTE(AD$28,"[",""),"]",""),$C29:$U29)</f>
        <v>15</v>
      </c>
      <c r="AE29" s="45">
        <f t="shared" si="1"/>
        <v>0</v>
      </c>
      <c r="AF29" s="45">
        <f t="shared" si="1"/>
        <v>0</v>
      </c>
      <c r="AG29" s="45">
        <f t="shared" si="1"/>
        <v>0</v>
      </c>
      <c r="AH29" s="39" t="s">
        <v>58</v>
      </c>
      <c r="AI29" s="39" t="s">
        <v>58</v>
      </c>
      <c r="AJ29" s="39" t="s">
        <v>58</v>
      </c>
      <c r="AK29" s="39" t="s">
        <v>58</v>
      </c>
      <c r="AL29" s="39" t="s">
        <v>58</v>
      </c>
      <c r="AM29" s="39" t="s">
        <v>58</v>
      </c>
      <c r="AN29" s="162"/>
      <c r="AO29" s="133"/>
      <c r="AP29" s="133"/>
      <c r="AQ29" s="133"/>
      <c r="AR29" s="133"/>
      <c r="AS29" s="133"/>
      <c r="AT29" s="111"/>
      <c r="AU29" s="111"/>
      <c r="AV29" s="111"/>
      <c r="AW29" s="111"/>
      <c r="AX29" s="110"/>
      <c r="AY29" s="110"/>
      <c r="AZ29" s="110"/>
      <c r="BA29" s="110"/>
      <c r="BB29" s="110"/>
      <c r="BC29" s="110"/>
      <c r="BD29" s="110"/>
      <c r="BE29" s="110"/>
    </row>
    <row r="30" spans="1:57" ht="16.5" customHeight="1" x14ac:dyDescent="0.2">
      <c r="A30" s="105">
        <v>20261103123</v>
      </c>
      <c r="B30" s="106" t="s">
        <v>151</v>
      </c>
      <c r="C30" s="96">
        <v>3</v>
      </c>
      <c r="D30" s="58"/>
      <c r="E30" s="96">
        <v>14</v>
      </c>
      <c r="F30" s="96">
        <v>10</v>
      </c>
      <c r="G30" s="58"/>
      <c r="H30" s="46">
        <f t="shared" ref="H30:H69" si="2">IF(LEN(A30)=11,IF(OR(C30&gt;C$29,D30&gt;D$29,E30&gt;E$29,F30&gt;F$29,G30&gt;G$29,C30&lt;0,D30&lt;0,E30&lt;0,F30&lt;0,G30&lt;0),"Error",SUM(C30:G30)),"-")</f>
        <v>27</v>
      </c>
      <c r="I30" s="59"/>
      <c r="J30" s="59"/>
      <c r="K30" s="59"/>
      <c r="L30" s="59"/>
      <c r="M30" s="59"/>
      <c r="N30" s="59"/>
      <c r="O30" s="47">
        <f t="shared" ref="O30:O69" si="3">IF(LEN(A30)=11,IF(OR(I30=UPPER("a"),J30=UPPER("a"),K30=UPPER("a"),L30=UPPER("a"),M30=UPPER("a"),N30=UPPER("a")),"A",IF(OR(I30&gt;I$29,J30&gt;J$29,K30&gt;K$29,L30&gt;L$29,M30&gt;M$29,N30&gt;N$29,I30&lt;0,J30&lt;0,K30&lt;0,L30&lt;0,M30&lt;0,N30&lt;0),"Error",SUM(I30:N30))),"-")</f>
        <v>0</v>
      </c>
      <c r="P30" s="59"/>
      <c r="Q30" s="59"/>
      <c r="R30" s="59"/>
      <c r="S30" s="59"/>
      <c r="T30" s="59"/>
      <c r="U30" s="59"/>
      <c r="V30" s="48">
        <f t="shared" ref="V30:V69" si="4">IF(LEN(A30)=11,IF(OR(P30=UPPER("a"),Q30=UPPER("a"),R30=UPPER("a"),S30=UPPER("a"),T30=UPPER("a"),U30=UPPER("a")),"A",IF(OR(P30&gt;P$29,Q30&gt;Q$29,R30&gt;R$29,S30&gt;S$29,T30&gt;T$29,U30&gt;U$29,P30&lt;0,Q30&lt;0,R30&lt;0,S30&lt;0,T30&lt;0,U30&lt;0),"Error",SUM(P30:U30))),"-")</f>
        <v>0</v>
      </c>
      <c r="W30" s="49">
        <f t="shared" ref="W30:W69" si="5">IF(LEN(A30)=11,IF(AND(ISNUMBER(H30),ISNUMBER(O30),ISNUMBER(V30)),SUM(H30+O30+V30),"Absent"),"-")</f>
        <v>27</v>
      </c>
      <c r="X30" s="50" t="str">
        <f>IF(ISNUMBER(W30),IF(A30&lt;&gt;"",IF(W30&gt;=80,"A (Plus)",IF(W30&gt;=75,"A",IF(W30&gt;=70,"A (Minus)",IF(W30&gt;=65,"B (Plus)",IF(W30&gt;=60,"B",IF(W30&gt;=55,"B (Minus)",IF(W30&gt;=50,"C (Plus)",IF(W30&gt;=45,"C",IF(W30&gt;=40,"D","F (Fail)"))))))))),"-"),IF(O30="A","F (Fail)",IF(V30="A","Incomplete","Error")))</f>
        <v>F (Fail)</v>
      </c>
      <c r="Y30" s="30"/>
      <c r="Z30" s="51">
        <f t="shared" ref="Z30:Z61" si="6">IF(A30="","",A30)</f>
        <v>20261103123</v>
      </c>
      <c r="AA30" s="51" t="str">
        <f t="shared" ref="AA30:AA61" si="7">IF(B30="","",B30)</f>
        <v>Ariba Tasnim Sabiha</v>
      </c>
      <c r="AB30" s="45">
        <f>IF($W30="Absent",0,SUMIF($C$28:$U$28,SUBSTITUTE(SUBSTITUTE(AB$28,"[",""),"]",""),$C30:$U30))</f>
        <v>0</v>
      </c>
      <c r="AC30" s="45">
        <f t="shared" ref="AC30:AG45" si="8">IF($W30="Absent",0,SUMIF($C$28:$U$28,SUBSTITUTE(SUBSTITUTE(AC$28,"[",""),"]",""),$C30:$U30))</f>
        <v>14</v>
      </c>
      <c r="AD30" s="45">
        <f t="shared" si="8"/>
        <v>13</v>
      </c>
      <c r="AE30" s="45">
        <f t="shared" si="8"/>
        <v>0</v>
      </c>
      <c r="AF30" s="45">
        <f t="shared" si="8"/>
        <v>0</v>
      </c>
      <c r="AG30" s="45">
        <f t="shared" si="8"/>
        <v>0</v>
      </c>
      <c r="AH30" s="52">
        <f>IF($AB$29=0,0,AB30*100/$AB$29)</f>
        <v>0</v>
      </c>
      <c r="AI30" s="52">
        <f>IF($AC$29=0,0,AC30*100/$AC$29)</f>
        <v>25.454545454545453</v>
      </c>
      <c r="AJ30" s="52">
        <f>IF($AD$29=0,0,AD30*100/$AD$29)</f>
        <v>86.666666666666671</v>
      </c>
      <c r="AK30" s="52">
        <f>IF($AE$29=0,0,AE30*100/$AE$29)</f>
        <v>0</v>
      </c>
      <c r="AL30" s="52">
        <f>IF($AF$29=0,0,AF30*100/$AF$29)</f>
        <v>0</v>
      </c>
      <c r="AM30" s="52">
        <f>IF($AG$29=0,0,AG30*100/$AG$29)</f>
        <v>0</v>
      </c>
      <c r="AN30" s="53" t="str">
        <f t="shared" ref="AN30:AS30" si="9">IF(OR($Z30="",AND(AH30=0,$Z30="")),"-",IF(AH30&gt;=$AQ$27,"Y","N"))</f>
        <v>N</v>
      </c>
      <c r="AO30" s="53" t="str">
        <f t="shared" si="9"/>
        <v>N</v>
      </c>
      <c r="AP30" s="53" t="str">
        <f t="shared" si="9"/>
        <v>Y</v>
      </c>
      <c r="AQ30" s="53" t="str">
        <f t="shared" si="9"/>
        <v>N</v>
      </c>
      <c r="AR30" s="53" t="str">
        <f t="shared" si="9"/>
        <v>N</v>
      </c>
      <c r="AS30" s="53" t="str">
        <f t="shared" si="9"/>
        <v>N</v>
      </c>
      <c r="AT30" s="54" t="str">
        <f>IF('CO-PO Mapping'!O$2, IF(OR($AN30="-",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Mapping'!O$6, IF(OR($AR30="-",SUM(IF('CO-PO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Mapping'!O$7, IF(OR($AS30="-",SUM(IF('CO-PO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0" s="54" t="str">
        <f>IF('CO-PO Mapping'!P$2, IF(OR($AN30="-",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Mapping'!P$6, IF(OR($AR30="-",SUM(IF('CO-PO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Mapping'!P$7, IF(OR($AS30="-",SUM(IF('CO-PO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0" s="54" t="str">
        <f>IF('CO-PO Mapping'!Q$2, IF(OR($AN30="-",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Mapping'!Q$6, IF(OR($AR30="-",SUM(IF('CO-PO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Mapping'!Q$7, IF(OR($AS30="-",SUM(IF('CO-PO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0" s="54" t="str">
        <f>IF('CO-PO Mapping'!R$2, IF(OR($AN30="-",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Mapping'!R$6, IF(OR($AR30="-",SUM(IF('CO-PO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Mapping'!R$7, IF(OR($AS30="-",SUM(IF('CO-PO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0" s="54" t="str">
        <f>IF('CO-PO Mapping'!S$2, IF(OR($AN30="-",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Mapping'!S$6, IF(OR($AR30="-",SUM(IF('CO-PO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Mapping'!S$7, IF(OR($AS30="-",SUM(IF('CO-PO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0" s="54" t="str">
        <f>IF('CO-PO Mapping'!T$2, IF(OR($AN30="-",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Mapping'!T$6, IF(OR($AR30="-",SUM(IF('CO-PO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Mapping'!T$7, IF(OR($AS30="-",SUM(IF('CO-PO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0" s="54" t="str">
        <f>IF('CO-PO Mapping'!U$2, IF(OR($AN30="-",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Mapping'!U$6, IF(OR($AR30="-",SUM(IF('CO-PO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Mapping'!U$7, IF(OR($AS30="-",SUM(IF('CO-PO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0" s="54" t="str">
        <f>IF('CO-PO Mapping'!V$2, IF(OR($AN30="-",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Mapping'!V$6, IF(OR($AR30="-",SUM(IF('CO-PO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Mapping'!V$7, IF(OR($AS30="-",SUM(IF('CO-PO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0" s="54" t="str">
        <f>IF('CO-PO Mapping'!W$2, IF(OR($AN30="-",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Mapping'!W$6, IF(OR($AR30="-",SUM(IF('CO-PO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Mapping'!W$7, IF(OR($AS30="-",SUM(IF('CO-PO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0" s="54" t="str">
        <f>IF('CO-PO Mapping'!X$2, IF(OR($AN30="-",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Mapping'!X$6, IF(OR($AR30="-",SUM(IF('CO-PO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Mapping'!X$7, IF(OR($AS30="-",SUM(IF('CO-PO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0" s="54" t="str">
        <f>IF('CO-PO Mapping'!Y$2, IF(OR($AN30="-",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Mapping'!Y$6, IF(OR($AR30="-",SUM(IF('CO-PO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Mapping'!Y$7, IF(OR($AS30="-",SUM(IF('CO-PO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0" s="54" t="str">
        <f>IF('CO-PO Mapping'!Z$2, IF(OR($AN30="-",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Mapping'!Z$6, IF(OR($AR30="-",SUM(IF('CO-PO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Mapping'!Z$7, IF(OR($AS30="-",SUM(IF('CO-PO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1" spans="1:57" ht="16.5" customHeight="1" x14ac:dyDescent="0.2">
      <c r="A31" s="94">
        <v>20261103125</v>
      </c>
      <c r="B31" s="95" t="s">
        <v>152</v>
      </c>
      <c r="C31" s="96">
        <v>5</v>
      </c>
      <c r="D31" s="60"/>
      <c r="E31" s="96">
        <v>13</v>
      </c>
      <c r="F31" s="96">
        <v>10</v>
      </c>
      <c r="G31" s="61"/>
      <c r="H31" s="46">
        <f t="shared" si="2"/>
        <v>28</v>
      </c>
      <c r="I31" s="59"/>
      <c r="J31" s="59"/>
      <c r="K31" s="59"/>
      <c r="L31" s="59"/>
      <c r="M31" s="59"/>
      <c r="N31" s="59"/>
      <c r="O31" s="47">
        <f t="shared" si="3"/>
        <v>0</v>
      </c>
      <c r="P31" s="59"/>
      <c r="Q31" s="59"/>
      <c r="R31" s="59"/>
      <c r="S31" s="59"/>
      <c r="T31" s="59"/>
      <c r="U31" s="59"/>
      <c r="V31" s="48">
        <f t="shared" si="4"/>
        <v>0</v>
      </c>
      <c r="W31" s="49">
        <f t="shared" si="5"/>
        <v>28</v>
      </c>
      <c r="X31" s="50" t="str">
        <f t="shared" ref="X31:X69" si="10">IF(ISNUMBER(W31),IF(A31&lt;&gt;"",IF(W31&gt;=80,"A (Plus)",IF(W31&gt;=75,"A",IF(W31&gt;=70,"A (Minus)",IF(W31&gt;=65,"B (Plus)",IF(W31&gt;=60,"B",IF(W31&gt;=55,"B (Minus)",IF(W31&gt;=50,"C (Plus)",IF(W31&gt;=45,"C",IF(W31&gt;=40,"D","F (Fail)"))))))))),"-"),IF(O31="A","F (Fail)",IF(V31="A","Incomplete","Error")))</f>
        <v>F (Fail)</v>
      </c>
      <c r="Y31" s="30"/>
      <c r="Z31" s="51">
        <f t="shared" si="6"/>
        <v>20261103125</v>
      </c>
      <c r="AA31" s="51" t="str">
        <f t="shared" si="7"/>
        <v>Md. Shahriyar Shanto</v>
      </c>
      <c r="AB31" s="45">
        <f t="shared" ref="AB31:AF94" si="11">IF($W31="Absent",0,SUMIF($C$28:$U$28,SUBSTITUTE(SUBSTITUTE(AB$28,"[",""),"]",""),$C31:$U31))</f>
        <v>0</v>
      </c>
      <c r="AC31" s="45">
        <f t="shared" si="8"/>
        <v>13</v>
      </c>
      <c r="AD31" s="45">
        <f t="shared" si="8"/>
        <v>15</v>
      </c>
      <c r="AE31" s="45">
        <f t="shared" si="8"/>
        <v>0</v>
      </c>
      <c r="AF31" s="45">
        <f t="shared" si="8"/>
        <v>0</v>
      </c>
      <c r="AG31" s="45">
        <f t="shared" si="8"/>
        <v>0</v>
      </c>
      <c r="AH31" s="52">
        <f t="shared" ref="AH31:AH100" si="12">IF($AB$29=0,0,AB31*100/$AB$29)</f>
        <v>0</v>
      </c>
      <c r="AI31" s="52">
        <f t="shared" ref="AI31:AI100" si="13">IF($AC$29=0,0,AC31*100/$AC$29)</f>
        <v>23.636363636363637</v>
      </c>
      <c r="AJ31" s="52">
        <f t="shared" ref="AJ31:AJ100" si="14">IF($AD$29=0,0,AD31*100/$AD$29)</f>
        <v>100</v>
      </c>
      <c r="AK31" s="52">
        <f>IF($AE$29=0,0,AE31*100/$AE$29)</f>
        <v>0</v>
      </c>
      <c r="AL31" s="52">
        <f t="shared" ref="AL31:AL94" si="15">IF($AF$29=0,0,AF31*100/$AF$29)</f>
        <v>0</v>
      </c>
      <c r="AM31" s="52">
        <f t="shared" ref="AM31:AM94" si="16">IF($AG$29=0,0,AG31*100/$AG$29)</f>
        <v>0</v>
      </c>
      <c r="AN31" s="53" t="str">
        <f>IF(OR($Z31="",AND(AH31=0,$Z31="")),"-",IF(AH31&gt;=$AQ$27,"Y","N"))</f>
        <v>N</v>
      </c>
      <c r="AO31" s="53" t="str">
        <f t="shared" ref="AO31:AO100" si="17">IF(OR($Z31="",AND(AI31=0,$Z31="")),"-",IF(AI31&gt;=$AQ$27,"Y","N"))</f>
        <v>N</v>
      </c>
      <c r="AP31" s="53" t="str">
        <f t="shared" ref="AP31:AP100" si="18">IF(OR($Z31="",AND(AJ31=0,$Z31="")),"-",IF(AJ31&gt;=$AQ$27,"Y","N"))</f>
        <v>Y</v>
      </c>
      <c r="AQ31" s="53" t="str">
        <f t="shared" ref="AQ31:AS100" si="19">IF(OR($Z31="",AND(AK31=0,$Z31="")),"-",IF(AK31&gt;=$AQ$27,"Y","N"))</f>
        <v>N</v>
      </c>
      <c r="AR31" s="53" t="str">
        <f t="shared" ref="AR31:AR94" si="20">IF(OR($Z31="",AND(AL31=0,$Z31="")),"-",IF(AL31&gt;=$AQ$27,"Y","N"))</f>
        <v>N</v>
      </c>
      <c r="AS31" s="53" t="str">
        <f t="shared" ref="AS31:AS94" si="21">IF(OR($Z31="",AND(AM31=0,$Z31="")),"-",IF(AM31&gt;=$AQ$27,"Y","N"))</f>
        <v>N</v>
      </c>
      <c r="AT31" s="54" t="str">
        <f>IF('CO-PO Mapping'!O$2, IF(OR($AN31="-",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Mapping'!O$6, IF(OR($AR31="-",SUM(IF('CO-PO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Mapping'!O$7, IF(OR($AS31="-",SUM(IF('CO-PO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1" s="54" t="str">
        <f>IF('CO-PO Mapping'!P$2, IF(OR($AN31="-",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Mapping'!P$6, IF(OR($AR31="-",SUM(IF('CO-PO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Mapping'!P$7, IF(OR($AS31="-",SUM(IF('CO-PO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1" s="54" t="str">
        <f>IF('CO-PO Mapping'!Q$2, IF(OR($AN31="-",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Mapping'!Q$6, IF(OR($AR31="-",SUM(IF('CO-PO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Mapping'!Q$7, IF(OR($AS31="-",SUM(IF('CO-PO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1" s="54" t="str">
        <f>IF('CO-PO Mapping'!R$2, IF(OR($AN31="-",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Mapping'!R$6, IF(OR($AR31="-",SUM(IF('CO-PO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Mapping'!R$7, IF(OR($AS31="-",SUM(IF('CO-PO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1" s="54" t="str">
        <f>IF('CO-PO Mapping'!S$2, IF(OR($AN31="-",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Mapping'!S$6, IF(OR($AR31="-",SUM(IF('CO-PO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Mapping'!S$7, IF(OR($AS31="-",SUM(IF('CO-PO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1" s="54" t="str">
        <f>IF('CO-PO Mapping'!T$2, IF(OR($AN31="-",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Mapping'!T$6, IF(OR($AR31="-",SUM(IF('CO-PO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Mapping'!T$7, IF(OR($AS31="-",SUM(IF('CO-PO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1" s="54" t="str">
        <f>IF('CO-PO Mapping'!U$2, IF(OR($AN31="-",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Mapping'!U$6, IF(OR($AR31="-",SUM(IF('CO-PO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Mapping'!U$7, IF(OR($AS31="-",SUM(IF('CO-PO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1" s="54" t="str">
        <f>IF('CO-PO Mapping'!V$2, IF(OR($AN31="-",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Mapping'!V$6, IF(OR($AR31="-",SUM(IF('CO-PO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Mapping'!V$7, IF(OR($AS31="-",SUM(IF('CO-PO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1" s="54" t="str">
        <f>IF('CO-PO Mapping'!W$2, IF(OR($AN31="-",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Mapping'!W$6, IF(OR($AR31="-",SUM(IF('CO-PO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Mapping'!W$7, IF(OR($AS31="-",SUM(IF('CO-PO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1" s="54" t="str">
        <f>IF('CO-PO Mapping'!X$2, IF(OR($AN31="-",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Mapping'!X$6, IF(OR($AR31="-",SUM(IF('CO-PO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Mapping'!X$7, IF(OR($AS31="-",SUM(IF('CO-PO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1" s="54" t="str">
        <f>IF('CO-PO Mapping'!Y$2, IF(OR($AN31="-",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Mapping'!Y$6, IF(OR($AR31="-",SUM(IF('CO-PO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Mapping'!Y$7, IF(OR($AS31="-",SUM(IF('CO-PO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1" s="54" t="str">
        <f>IF('CO-PO Mapping'!Z$2, IF(OR($AN31="-",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Mapping'!Z$6, IF(OR($AR31="-",SUM(IF('CO-PO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Mapping'!Z$7, IF(OR($AS31="-",SUM(IF('CO-PO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2" spans="1:57" ht="16.5" customHeight="1" x14ac:dyDescent="0.2">
      <c r="A32" s="94">
        <v>20261103128</v>
      </c>
      <c r="B32" s="95" t="s">
        <v>153</v>
      </c>
      <c r="C32" s="96">
        <v>4</v>
      </c>
      <c r="D32" s="61"/>
      <c r="E32" s="96">
        <v>12</v>
      </c>
      <c r="F32" s="96">
        <v>10</v>
      </c>
      <c r="G32" s="61"/>
      <c r="H32" s="46">
        <f t="shared" si="2"/>
        <v>26</v>
      </c>
      <c r="I32" s="59"/>
      <c r="J32" s="59"/>
      <c r="K32" s="59"/>
      <c r="L32" s="59"/>
      <c r="M32" s="59"/>
      <c r="N32" s="59"/>
      <c r="O32" s="47">
        <f t="shared" si="3"/>
        <v>0</v>
      </c>
      <c r="P32" s="59"/>
      <c r="Q32" s="59"/>
      <c r="R32" s="59"/>
      <c r="S32" s="59"/>
      <c r="T32" s="59"/>
      <c r="U32" s="59"/>
      <c r="V32" s="48">
        <f t="shared" si="4"/>
        <v>0</v>
      </c>
      <c r="W32" s="49">
        <f t="shared" si="5"/>
        <v>26</v>
      </c>
      <c r="X32" s="50" t="str">
        <f t="shared" si="10"/>
        <v>F (Fail)</v>
      </c>
      <c r="Y32" s="30"/>
      <c r="Z32" s="51">
        <f t="shared" si="6"/>
        <v>20261103128</v>
      </c>
      <c r="AA32" s="51" t="str">
        <f t="shared" si="7"/>
        <v>Mst.Afia Ebnat Easha</v>
      </c>
      <c r="AB32" s="45">
        <f t="shared" si="11"/>
        <v>0</v>
      </c>
      <c r="AC32" s="45">
        <f t="shared" si="8"/>
        <v>12</v>
      </c>
      <c r="AD32" s="45">
        <f t="shared" si="8"/>
        <v>14</v>
      </c>
      <c r="AE32" s="45">
        <f t="shared" si="8"/>
        <v>0</v>
      </c>
      <c r="AF32" s="45">
        <f t="shared" si="8"/>
        <v>0</v>
      </c>
      <c r="AG32" s="45">
        <f t="shared" si="8"/>
        <v>0</v>
      </c>
      <c r="AH32" s="52">
        <f t="shared" si="12"/>
        <v>0</v>
      </c>
      <c r="AI32" s="52">
        <f t="shared" si="13"/>
        <v>21.818181818181817</v>
      </c>
      <c r="AJ32" s="52">
        <f t="shared" si="14"/>
        <v>93.333333333333329</v>
      </c>
      <c r="AK32" s="52">
        <f t="shared" ref="AK32:AK100" si="22">IF($AE$29=0,0,AE32*100/$AE$29)</f>
        <v>0</v>
      </c>
      <c r="AL32" s="52">
        <f t="shared" si="15"/>
        <v>0</v>
      </c>
      <c r="AM32" s="52">
        <f t="shared" si="16"/>
        <v>0</v>
      </c>
      <c r="AN32" s="53" t="str">
        <f t="shared" ref="AN32:AN100" si="23">IF(OR($Z32="",AND(AH32=0,$Z32="")),"-",IF(AH32&gt;=$AQ$27,"Y","N"))</f>
        <v>N</v>
      </c>
      <c r="AO32" s="53" t="str">
        <f t="shared" si="17"/>
        <v>N</v>
      </c>
      <c r="AP32" s="53" t="str">
        <f t="shared" si="18"/>
        <v>Y</v>
      </c>
      <c r="AQ32" s="53" t="str">
        <f t="shared" si="19"/>
        <v>N</v>
      </c>
      <c r="AR32" s="53" t="str">
        <f t="shared" si="20"/>
        <v>N</v>
      </c>
      <c r="AS32" s="53" t="str">
        <f t="shared" si="21"/>
        <v>N</v>
      </c>
      <c r="AT32" s="54" t="str">
        <f>IF('CO-PO Mapping'!O$2, IF(OR($AN32="-",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Mapping'!O$6, IF(OR($AR32="-",SUM(IF('CO-PO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Mapping'!O$7, IF(OR($AS32="-",SUM(IF('CO-PO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2" s="54" t="str">
        <f>IF('CO-PO Mapping'!P$2, IF(OR($AN32="-",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Mapping'!P$6, IF(OR($AR32="-",SUM(IF('CO-PO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Mapping'!P$7, IF(OR($AS32="-",SUM(IF('CO-PO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2" s="54" t="str">
        <f>IF('CO-PO Mapping'!Q$2, IF(OR($AN32="-",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Mapping'!Q$6, IF(OR($AR32="-",SUM(IF('CO-PO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Mapping'!Q$7, IF(OR($AS32="-",SUM(IF('CO-PO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2" s="54" t="str">
        <f>IF('CO-PO Mapping'!R$2, IF(OR($AN32="-",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Mapping'!R$6, IF(OR($AR32="-",SUM(IF('CO-PO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Mapping'!R$7, IF(OR($AS32="-",SUM(IF('CO-PO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2" s="54" t="str">
        <f>IF('CO-PO Mapping'!S$2, IF(OR($AN32="-",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Mapping'!S$6, IF(OR($AR32="-",SUM(IF('CO-PO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Mapping'!S$7, IF(OR($AS32="-",SUM(IF('CO-PO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2" s="54" t="str">
        <f>IF('CO-PO Mapping'!T$2, IF(OR($AN32="-",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Mapping'!T$6, IF(OR($AR32="-",SUM(IF('CO-PO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Mapping'!T$7, IF(OR($AS32="-",SUM(IF('CO-PO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2" s="54" t="str">
        <f>IF('CO-PO Mapping'!U$2, IF(OR($AN32="-",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Mapping'!U$6, IF(OR($AR32="-",SUM(IF('CO-PO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Mapping'!U$7, IF(OR($AS32="-",SUM(IF('CO-PO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2" s="54" t="str">
        <f>IF('CO-PO Mapping'!V$2, IF(OR($AN32="-",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Mapping'!V$6, IF(OR($AR32="-",SUM(IF('CO-PO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Mapping'!V$7, IF(OR($AS32="-",SUM(IF('CO-PO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2" s="54" t="str">
        <f>IF('CO-PO Mapping'!W$2, IF(OR($AN32="-",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Mapping'!W$6, IF(OR($AR32="-",SUM(IF('CO-PO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Mapping'!W$7, IF(OR($AS32="-",SUM(IF('CO-PO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2" s="54" t="str">
        <f>IF('CO-PO Mapping'!X$2, IF(OR($AN32="-",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Mapping'!X$6, IF(OR($AR32="-",SUM(IF('CO-PO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Mapping'!X$7, IF(OR($AS32="-",SUM(IF('CO-PO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2" s="54" t="str">
        <f>IF('CO-PO Mapping'!Y$2, IF(OR($AN32="-",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Mapping'!Y$6, IF(OR($AR32="-",SUM(IF('CO-PO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Mapping'!Y$7, IF(OR($AS32="-",SUM(IF('CO-PO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2" s="54" t="str">
        <f>IF('CO-PO Mapping'!Z$2, IF(OR($AN32="-",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Mapping'!Z$6, IF(OR($AR32="-",SUM(IF('CO-PO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Mapping'!Z$7, IF(OR($AS32="-",SUM(IF('CO-PO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3" spans="1:57" ht="16.5" customHeight="1" x14ac:dyDescent="0.2">
      <c r="A33" s="94">
        <v>20261103130</v>
      </c>
      <c r="B33" s="107" t="s">
        <v>154</v>
      </c>
      <c r="C33" s="96">
        <v>5</v>
      </c>
      <c r="D33" s="58"/>
      <c r="E33" s="96">
        <v>14</v>
      </c>
      <c r="F33" s="96">
        <v>10</v>
      </c>
      <c r="G33" s="58"/>
      <c r="H33" s="46">
        <f t="shared" si="2"/>
        <v>29</v>
      </c>
      <c r="I33" s="59"/>
      <c r="J33" s="59"/>
      <c r="K33" s="59"/>
      <c r="L33" s="59"/>
      <c r="M33" s="59"/>
      <c r="N33" s="59"/>
      <c r="O33" s="47">
        <f t="shared" si="3"/>
        <v>0</v>
      </c>
      <c r="P33" s="59"/>
      <c r="Q33" s="59"/>
      <c r="R33" s="59"/>
      <c r="S33" s="59"/>
      <c r="T33" s="59"/>
      <c r="U33" s="59"/>
      <c r="V33" s="48">
        <f t="shared" si="4"/>
        <v>0</v>
      </c>
      <c r="W33" s="49">
        <f t="shared" si="5"/>
        <v>29</v>
      </c>
      <c r="X33" s="50" t="str">
        <f t="shared" si="10"/>
        <v>F (Fail)</v>
      </c>
      <c r="Y33" s="30"/>
      <c r="Z33" s="51">
        <f t="shared" si="6"/>
        <v>20261103130</v>
      </c>
      <c r="AA33" s="108" t="str">
        <f t="shared" si="7"/>
        <v>Samia Tabassum Tasnim</v>
      </c>
      <c r="AB33" s="45">
        <f t="shared" si="11"/>
        <v>0</v>
      </c>
      <c r="AC33" s="45">
        <f t="shared" si="8"/>
        <v>14</v>
      </c>
      <c r="AD33" s="45">
        <f t="shared" si="8"/>
        <v>15</v>
      </c>
      <c r="AE33" s="45">
        <f t="shared" si="8"/>
        <v>0</v>
      </c>
      <c r="AF33" s="45">
        <f t="shared" si="8"/>
        <v>0</v>
      </c>
      <c r="AG33" s="45">
        <f t="shared" si="8"/>
        <v>0</v>
      </c>
      <c r="AH33" s="52">
        <f t="shared" si="12"/>
        <v>0</v>
      </c>
      <c r="AI33" s="52">
        <f t="shared" si="13"/>
        <v>25.454545454545453</v>
      </c>
      <c r="AJ33" s="52">
        <f t="shared" si="14"/>
        <v>100</v>
      </c>
      <c r="AK33" s="52">
        <f t="shared" si="22"/>
        <v>0</v>
      </c>
      <c r="AL33" s="52">
        <f t="shared" si="15"/>
        <v>0</v>
      </c>
      <c r="AM33" s="52">
        <f t="shared" si="16"/>
        <v>0</v>
      </c>
      <c r="AN33" s="53" t="str">
        <f t="shared" si="23"/>
        <v>N</v>
      </c>
      <c r="AO33" s="53" t="str">
        <f t="shared" si="17"/>
        <v>N</v>
      </c>
      <c r="AP33" s="53" t="str">
        <f t="shared" si="18"/>
        <v>Y</v>
      </c>
      <c r="AQ33" s="53" t="str">
        <f t="shared" si="19"/>
        <v>N</v>
      </c>
      <c r="AR33" s="53" t="str">
        <f t="shared" si="20"/>
        <v>N</v>
      </c>
      <c r="AS33" s="53" t="str">
        <f t="shared" si="21"/>
        <v>N</v>
      </c>
      <c r="AT33" s="54" t="str">
        <f>IF('CO-PO Mapping'!O$2, IF(OR($AN33="-",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Mapping'!O$6, IF(OR($AR33="-",SUM(IF('CO-PO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Mapping'!O$7, IF(OR($AS33="-",SUM(IF('CO-PO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3" s="54" t="str">
        <f>IF('CO-PO Mapping'!P$2, IF(OR($AN33="-",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Mapping'!P$6, IF(OR($AR33="-",SUM(IF('CO-PO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Mapping'!P$7, IF(OR($AS33="-",SUM(IF('CO-PO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3" s="54" t="str">
        <f>IF('CO-PO Mapping'!Q$2, IF(OR($AN33="-",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Mapping'!Q$6, IF(OR($AR33="-",SUM(IF('CO-PO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Mapping'!Q$7, IF(OR($AS33="-",SUM(IF('CO-PO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3" s="54" t="str">
        <f>IF('CO-PO Mapping'!R$2, IF(OR($AN33="-",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Mapping'!R$6, IF(OR($AR33="-",SUM(IF('CO-PO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Mapping'!R$7, IF(OR($AS33="-",SUM(IF('CO-PO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3" s="54" t="str">
        <f>IF('CO-PO Mapping'!S$2, IF(OR($AN33="-",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Mapping'!S$6, IF(OR($AR33="-",SUM(IF('CO-PO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Mapping'!S$7, IF(OR($AS33="-",SUM(IF('CO-PO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3" s="54" t="str">
        <f>IF('CO-PO Mapping'!T$2, IF(OR($AN33="-",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Mapping'!T$6, IF(OR($AR33="-",SUM(IF('CO-PO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Mapping'!T$7, IF(OR($AS33="-",SUM(IF('CO-PO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3" s="54" t="str">
        <f>IF('CO-PO Mapping'!U$2, IF(OR($AN33="-",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Mapping'!U$6, IF(OR($AR33="-",SUM(IF('CO-PO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Mapping'!U$7, IF(OR($AS33="-",SUM(IF('CO-PO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3" s="54" t="str">
        <f>IF('CO-PO Mapping'!V$2, IF(OR($AN33="-",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Mapping'!V$6, IF(OR($AR33="-",SUM(IF('CO-PO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Mapping'!V$7, IF(OR($AS33="-",SUM(IF('CO-PO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3" s="54" t="str">
        <f>IF('CO-PO Mapping'!W$2, IF(OR($AN33="-",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Mapping'!W$6, IF(OR($AR33="-",SUM(IF('CO-PO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Mapping'!W$7, IF(OR($AS33="-",SUM(IF('CO-PO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3" s="54" t="str">
        <f>IF('CO-PO Mapping'!X$2, IF(OR($AN33="-",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Mapping'!X$6, IF(OR($AR33="-",SUM(IF('CO-PO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Mapping'!X$7, IF(OR($AS33="-",SUM(IF('CO-PO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3" s="54" t="str">
        <f>IF('CO-PO Mapping'!Y$2, IF(OR($AN33="-",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Mapping'!Y$6, IF(OR($AR33="-",SUM(IF('CO-PO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Mapping'!Y$7, IF(OR($AS33="-",SUM(IF('CO-PO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3" s="54" t="str">
        <f>IF('CO-PO Mapping'!Z$2, IF(OR($AN33="-",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Mapping'!Z$6, IF(OR($AR33="-",SUM(IF('CO-PO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Mapping'!Z$7, IF(OR($AS33="-",SUM(IF('CO-PO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4" spans="1:57" ht="16.5" customHeight="1" x14ac:dyDescent="0.2">
      <c r="A34" s="94">
        <v>20261103131</v>
      </c>
      <c r="B34" s="95" t="s">
        <v>155</v>
      </c>
      <c r="C34" s="96">
        <v>5</v>
      </c>
      <c r="D34" s="60"/>
      <c r="E34" s="96">
        <v>14</v>
      </c>
      <c r="F34" s="96">
        <v>10</v>
      </c>
      <c r="G34" s="61"/>
      <c r="H34" s="46">
        <f t="shared" si="2"/>
        <v>29</v>
      </c>
      <c r="I34" s="59"/>
      <c r="J34" s="59"/>
      <c r="K34" s="59"/>
      <c r="L34" s="59"/>
      <c r="M34" s="59"/>
      <c r="N34" s="59"/>
      <c r="O34" s="47">
        <f t="shared" si="3"/>
        <v>0</v>
      </c>
      <c r="P34" s="59"/>
      <c r="Q34" s="59"/>
      <c r="R34" s="59"/>
      <c r="S34" s="59"/>
      <c r="T34" s="59"/>
      <c r="U34" s="59"/>
      <c r="V34" s="48">
        <f t="shared" si="4"/>
        <v>0</v>
      </c>
      <c r="W34" s="49">
        <f t="shared" si="5"/>
        <v>29</v>
      </c>
      <c r="X34" s="50" t="str">
        <f t="shared" si="10"/>
        <v>F (Fail)</v>
      </c>
      <c r="Y34" s="30"/>
      <c r="Z34" s="51">
        <f t="shared" si="6"/>
        <v>20261103131</v>
      </c>
      <c r="AA34" s="51" t="str">
        <f t="shared" si="7"/>
        <v>Nuzhat Zaman</v>
      </c>
      <c r="AB34" s="45">
        <f t="shared" si="11"/>
        <v>0</v>
      </c>
      <c r="AC34" s="45">
        <f t="shared" si="8"/>
        <v>14</v>
      </c>
      <c r="AD34" s="45">
        <f t="shared" si="8"/>
        <v>15</v>
      </c>
      <c r="AE34" s="45">
        <f t="shared" si="8"/>
        <v>0</v>
      </c>
      <c r="AF34" s="45">
        <f t="shared" si="8"/>
        <v>0</v>
      </c>
      <c r="AG34" s="45">
        <f t="shared" si="8"/>
        <v>0</v>
      </c>
      <c r="AH34" s="52">
        <f t="shared" si="12"/>
        <v>0</v>
      </c>
      <c r="AI34" s="52">
        <f t="shared" si="13"/>
        <v>25.454545454545453</v>
      </c>
      <c r="AJ34" s="52">
        <f t="shared" si="14"/>
        <v>100</v>
      </c>
      <c r="AK34" s="52">
        <f t="shared" si="22"/>
        <v>0</v>
      </c>
      <c r="AL34" s="52">
        <f t="shared" si="15"/>
        <v>0</v>
      </c>
      <c r="AM34" s="52">
        <f t="shared" si="16"/>
        <v>0</v>
      </c>
      <c r="AN34" s="53" t="str">
        <f t="shared" si="23"/>
        <v>N</v>
      </c>
      <c r="AO34" s="53" t="str">
        <f t="shared" si="17"/>
        <v>N</v>
      </c>
      <c r="AP34" s="53" t="str">
        <f t="shared" si="18"/>
        <v>Y</v>
      </c>
      <c r="AQ34" s="53" t="str">
        <f t="shared" si="19"/>
        <v>N</v>
      </c>
      <c r="AR34" s="53" t="str">
        <f t="shared" si="20"/>
        <v>N</v>
      </c>
      <c r="AS34" s="53" t="str">
        <f t="shared" si="21"/>
        <v>N</v>
      </c>
      <c r="AT34" s="54" t="str">
        <f>IF('CO-PO Mapping'!O$2, IF(OR($AN34="-",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Mapping'!O$6, IF(OR($AR34="-",SUM(IF('CO-PO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Mapping'!O$7, IF(OR($AS34="-",SUM(IF('CO-PO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4" s="54" t="str">
        <f>IF('CO-PO Mapping'!P$2, IF(OR($AN34="-",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Mapping'!P$6, IF(OR($AR34="-",SUM(IF('CO-PO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Mapping'!P$7, IF(OR($AS34="-",SUM(IF('CO-PO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4" s="54" t="str">
        <f>IF('CO-PO Mapping'!Q$2, IF(OR($AN34="-",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Mapping'!Q$6, IF(OR($AR34="-",SUM(IF('CO-PO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Mapping'!Q$7, IF(OR($AS34="-",SUM(IF('CO-PO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4" s="54" t="str">
        <f>IF('CO-PO Mapping'!R$2, IF(OR($AN34="-",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Mapping'!R$6, IF(OR($AR34="-",SUM(IF('CO-PO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Mapping'!R$7, IF(OR($AS34="-",SUM(IF('CO-PO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4" s="54" t="str">
        <f>IF('CO-PO Mapping'!S$2, IF(OR($AN34="-",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Mapping'!S$6, IF(OR($AR34="-",SUM(IF('CO-PO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Mapping'!S$7, IF(OR($AS34="-",SUM(IF('CO-PO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4" s="54" t="str">
        <f>IF('CO-PO Mapping'!T$2, IF(OR($AN34="-",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Mapping'!T$6, IF(OR($AR34="-",SUM(IF('CO-PO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Mapping'!T$7, IF(OR($AS34="-",SUM(IF('CO-PO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4" s="54" t="str">
        <f>IF('CO-PO Mapping'!U$2, IF(OR($AN34="-",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Mapping'!U$6, IF(OR($AR34="-",SUM(IF('CO-PO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Mapping'!U$7, IF(OR($AS34="-",SUM(IF('CO-PO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4" s="54" t="str">
        <f>IF('CO-PO Mapping'!V$2, IF(OR($AN34="-",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Mapping'!V$6, IF(OR($AR34="-",SUM(IF('CO-PO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Mapping'!V$7, IF(OR($AS34="-",SUM(IF('CO-PO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4" s="54" t="str">
        <f>IF('CO-PO Mapping'!W$2, IF(OR($AN34="-",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Mapping'!W$6, IF(OR($AR34="-",SUM(IF('CO-PO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Mapping'!W$7, IF(OR($AS34="-",SUM(IF('CO-PO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4" s="54" t="str">
        <f>IF('CO-PO Mapping'!X$2, IF(OR($AN34="-",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Mapping'!X$6, IF(OR($AR34="-",SUM(IF('CO-PO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Mapping'!X$7, IF(OR($AS34="-",SUM(IF('CO-PO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4" s="54" t="str">
        <f>IF('CO-PO Mapping'!Y$2, IF(OR($AN34="-",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Mapping'!Y$6, IF(OR($AR34="-",SUM(IF('CO-PO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Mapping'!Y$7, IF(OR($AS34="-",SUM(IF('CO-PO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4" s="54" t="str">
        <f>IF('CO-PO Mapping'!Z$2, IF(OR($AN34="-",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Mapping'!Z$6, IF(OR($AR34="-",SUM(IF('CO-PO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Mapping'!Z$7, IF(OR($AS34="-",SUM(IF('CO-PO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5" spans="1:57" ht="16.5" customHeight="1" x14ac:dyDescent="0.2">
      <c r="A35" s="94">
        <v>20261103132</v>
      </c>
      <c r="B35" s="95" t="s">
        <v>156</v>
      </c>
      <c r="C35" s="96">
        <v>5</v>
      </c>
      <c r="D35" s="61"/>
      <c r="E35" s="96">
        <v>13</v>
      </c>
      <c r="F35" s="96">
        <v>10</v>
      </c>
      <c r="G35" s="61"/>
      <c r="H35" s="46">
        <f t="shared" si="2"/>
        <v>28</v>
      </c>
      <c r="I35" s="59"/>
      <c r="J35" s="59"/>
      <c r="K35" s="59"/>
      <c r="L35" s="59"/>
      <c r="M35" s="59"/>
      <c r="N35" s="59"/>
      <c r="O35" s="47">
        <f t="shared" si="3"/>
        <v>0</v>
      </c>
      <c r="P35" s="59"/>
      <c r="Q35" s="59"/>
      <c r="R35" s="59"/>
      <c r="S35" s="59"/>
      <c r="T35" s="59"/>
      <c r="U35" s="59"/>
      <c r="V35" s="48">
        <f t="shared" si="4"/>
        <v>0</v>
      </c>
      <c r="W35" s="49">
        <f t="shared" si="5"/>
        <v>28</v>
      </c>
      <c r="X35" s="50" t="str">
        <f t="shared" si="10"/>
        <v>F (Fail)</v>
      </c>
      <c r="Y35" s="62"/>
      <c r="Z35" s="51">
        <f t="shared" si="6"/>
        <v>20261103132</v>
      </c>
      <c r="AA35" s="51" t="str">
        <f t="shared" si="7"/>
        <v>Kazi Tawsif Jubaer</v>
      </c>
      <c r="AB35" s="45">
        <f t="shared" si="11"/>
        <v>0</v>
      </c>
      <c r="AC35" s="45">
        <f t="shared" si="8"/>
        <v>13</v>
      </c>
      <c r="AD35" s="45">
        <f t="shared" si="8"/>
        <v>15</v>
      </c>
      <c r="AE35" s="45">
        <f t="shared" si="8"/>
        <v>0</v>
      </c>
      <c r="AF35" s="45">
        <f t="shared" si="8"/>
        <v>0</v>
      </c>
      <c r="AG35" s="45">
        <f t="shared" si="8"/>
        <v>0</v>
      </c>
      <c r="AH35" s="52">
        <f t="shared" si="12"/>
        <v>0</v>
      </c>
      <c r="AI35" s="52">
        <f t="shared" si="13"/>
        <v>23.636363636363637</v>
      </c>
      <c r="AJ35" s="52">
        <f t="shared" si="14"/>
        <v>100</v>
      </c>
      <c r="AK35" s="52">
        <f t="shared" si="22"/>
        <v>0</v>
      </c>
      <c r="AL35" s="52">
        <f t="shared" si="15"/>
        <v>0</v>
      </c>
      <c r="AM35" s="52">
        <f t="shared" si="16"/>
        <v>0</v>
      </c>
      <c r="AN35" s="53" t="str">
        <f t="shared" si="23"/>
        <v>N</v>
      </c>
      <c r="AO35" s="53" t="str">
        <f t="shared" si="17"/>
        <v>N</v>
      </c>
      <c r="AP35" s="53" t="str">
        <f t="shared" si="18"/>
        <v>Y</v>
      </c>
      <c r="AQ35" s="53" t="str">
        <f t="shared" si="19"/>
        <v>N</v>
      </c>
      <c r="AR35" s="53" t="str">
        <f t="shared" si="20"/>
        <v>N</v>
      </c>
      <c r="AS35" s="53" t="str">
        <f t="shared" si="21"/>
        <v>N</v>
      </c>
      <c r="AT35" s="54" t="str">
        <f>IF('CO-PO Mapping'!O$2, IF(OR($AN35="-",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Mapping'!O$6, IF(OR($AR35="-",SUM(IF('CO-PO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Mapping'!O$7, IF(OR($AS35="-",SUM(IF('CO-PO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5" s="54" t="str">
        <f>IF('CO-PO Mapping'!P$2, IF(OR($AN35="-",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Mapping'!P$6, IF(OR($AR35="-",SUM(IF('CO-PO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Mapping'!P$7, IF(OR($AS35="-",SUM(IF('CO-PO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5" s="54" t="str">
        <f>IF('CO-PO Mapping'!Q$2, IF(OR($AN35="-",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Mapping'!Q$6, IF(OR($AR35="-",SUM(IF('CO-PO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Mapping'!Q$7, IF(OR($AS35="-",SUM(IF('CO-PO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5" s="54" t="str">
        <f>IF('CO-PO Mapping'!R$2, IF(OR($AN35="-",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Mapping'!R$6, IF(OR($AR35="-",SUM(IF('CO-PO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Mapping'!R$7, IF(OR($AS35="-",SUM(IF('CO-PO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5" s="54" t="str">
        <f>IF('CO-PO Mapping'!S$2, IF(OR($AN35="-",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Mapping'!S$6, IF(OR($AR35="-",SUM(IF('CO-PO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Mapping'!S$7, IF(OR($AS35="-",SUM(IF('CO-PO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5" s="54" t="str">
        <f>IF('CO-PO Mapping'!T$2, IF(OR($AN35="-",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Mapping'!T$6, IF(OR($AR35="-",SUM(IF('CO-PO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Mapping'!T$7, IF(OR($AS35="-",SUM(IF('CO-PO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5" s="54" t="str">
        <f>IF('CO-PO Mapping'!U$2, IF(OR($AN35="-",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Mapping'!U$6, IF(OR($AR35="-",SUM(IF('CO-PO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Mapping'!U$7, IF(OR($AS35="-",SUM(IF('CO-PO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5" s="54" t="str">
        <f>IF('CO-PO Mapping'!V$2, IF(OR($AN35="-",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Mapping'!V$6, IF(OR($AR35="-",SUM(IF('CO-PO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Mapping'!V$7, IF(OR($AS35="-",SUM(IF('CO-PO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5" s="54" t="str">
        <f>IF('CO-PO Mapping'!W$2, IF(OR($AN35="-",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Mapping'!W$6, IF(OR($AR35="-",SUM(IF('CO-PO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Mapping'!W$7, IF(OR($AS35="-",SUM(IF('CO-PO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5" s="54" t="str">
        <f>IF('CO-PO Mapping'!X$2, IF(OR($AN35="-",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Mapping'!X$6, IF(OR($AR35="-",SUM(IF('CO-PO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Mapping'!X$7, IF(OR($AS35="-",SUM(IF('CO-PO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5" s="54" t="str">
        <f>IF('CO-PO Mapping'!Y$2, IF(OR($AN35="-",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Mapping'!Y$6, IF(OR($AR35="-",SUM(IF('CO-PO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Mapping'!Y$7, IF(OR($AS35="-",SUM(IF('CO-PO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5" s="54" t="str">
        <f>IF('CO-PO Mapping'!Z$2, IF(OR($AN35="-",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Mapping'!Z$6, IF(OR($AR35="-",SUM(IF('CO-PO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Mapping'!Z$7, IF(OR($AS35="-",SUM(IF('CO-PO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6" spans="1:57" ht="16.5" customHeight="1" x14ac:dyDescent="0.2">
      <c r="A36" s="94">
        <v>20261103133</v>
      </c>
      <c r="B36" s="95" t="s">
        <v>157</v>
      </c>
      <c r="C36" s="96">
        <v>5</v>
      </c>
      <c r="D36" s="60"/>
      <c r="E36" s="96">
        <v>15</v>
      </c>
      <c r="F36" s="96">
        <v>10</v>
      </c>
      <c r="G36" s="61"/>
      <c r="H36" s="46">
        <f t="shared" si="2"/>
        <v>30</v>
      </c>
      <c r="I36" s="59"/>
      <c r="J36" s="59"/>
      <c r="K36" s="59"/>
      <c r="L36" s="59"/>
      <c r="M36" s="59"/>
      <c r="N36" s="59"/>
      <c r="O36" s="47">
        <f t="shared" si="3"/>
        <v>0</v>
      </c>
      <c r="P36" s="59"/>
      <c r="Q36" s="59"/>
      <c r="R36" s="59"/>
      <c r="S36" s="59"/>
      <c r="T36" s="59"/>
      <c r="U36" s="59"/>
      <c r="V36" s="48">
        <f t="shared" si="4"/>
        <v>0</v>
      </c>
      <c r="W36" s="49">
        <f t="shared" si="5"/>
        <v>30</v>
      </c>
      <c r="X36" s="50" t="str">
        <f t="shared" si="10"/>
        <v>F (Fail)</v>
      </c>
      <c r="Y36" s="62"/>
      <c r="Z36" s="51">
        <f t="shared" si="6"/>
        <v>20261103133</v>
      </c>
      <c r="AA36" s="51" t="str">
        <f t="shared" si="7"/>
        <v>Farhan Tanvir</v>
      </c>
      <c r="AB36" s="45">
        <f t="shared" si="11"/>
        <v>0</v>
      </c>
      <c r="AC36" s="45">
        <f t="shared" si="8"/>
        <v>15</v>
      </c>
      <c r="AD36" s="45">
        <f t="shared" si="8"/>
        <v>15</v>
      </c>
      <c r="AE36" s="45">
        <f t="shared" si="8"/>
        <v>0</v>
      </c>
      <c r="AF36" s="45">
        <f t="shared" si="8"/>
        <v>0</v>
      </c>
      <c r="AG36" s="45">
        <f t="shared" si="8"/>
        <v>0</v>
      </c>
      <c r="AH36" s="52">
        <f t="shared" si="12"/>
        <v>0</v>
      </c>
      <c r="AI36" s="52">
        <f t="shared" si="13"/>
        <v>27.272727272727273</v>
      </c>
      <c r="AJ36" s="52">
        <f t="shared" si="14"/>
        <v>100</v>
      </c>
      <c r="AK36" s="52">
        <f t="shared" si="22"/>
        <v>0</v>
      </c>
      <c r="AL36" s="52">
        <f t="shared" si="15"/>
        <v>0</v>
      </c>
      <c r="AM36" s="52">
        <f t="shared" si="16"/>
        <v>0</v>
      </c>
      <c r="AN36" s="53" t="str">
        <f t="shared" si="23"/>
        <v>N</v>
      </c>
      <c r="AO36" s="53" t="str">
        <f t="shared" si="17"/>
        <v>N</v>
      </c>
      <c r="AP36" s="53" t="str">
        <f t="shared" si="18"/>
        <v>Y</v>
      </c>
      <c r="AQ36" s="53" t="str">
        <f t="shared" si="19"/>
        <v>N</v>
      </c>
      <c r="AR36" s="53" t="str">
        <f t="shared" si="20"/>
        <v>N</v>
      </c>
      <c r="AS36" s="53" t="str">
        <f t="shared" si="21"/>
        <v>N</v>
      </c>
      <c r="AT36" s="54" t="str">
        <f>IF('CO-PO Mapping'!O$2, IF(OR($AN36="-",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Mapping'!O$6, IF(OR($AR36="-",SUM(IF('CO-PO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Mapping'!O$7, IF(OR($AS36="-",SUM(IF('CO-PO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6" s="54" t="str">
        <f>IF('CO-PO Mapping'!P$2, IF(OR($AN36="-",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Mapping'!P$6, IF(OR($AR36="-",SUM(IF('CO-PO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Mapping'!P$7, IF(OR($AS36="-",SUM(IF('CO-PO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6" s="54" t="str">
        <f>IF('CO-PO Mapping'!Q$2, IF(OR($AN36="-",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Mapping'!Q$6, IF(OR($AR36="-",SUM(IF('CO-PO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Mapping'!Q$7, IF(OR($AS36="-",SUM(IF('CO-PO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6" s="54" t="str">
        <f>IF('CO-PO Mapping'!R$2, IF(OR($AN36="-",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Mapping'!R$6, IF(OR($AR36="-",SUM(IF('CO-PO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Mapping'!R$7, IF(OR($AS36="-",SUM(IF('CO-PO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6" s="54" t="str">
        <f>IF('CO-PO Mapping'!S$2, IF(OR($AN36="-",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Mapping'!S$6, IF(OR($AR36="-",SUM(IF('CO-PO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Mapping'!S$7, IF(OR($AS36="-",SUM(IF('CO-PO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6" s="54" t="str">
        <f>IF('CO-PO Mapping'!T$2, IF(OR($AN36="-",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Mapping'!T$6, IF(OR($AR36="-",SUM(IF('CO-PO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Mapping'!T$7, IF(OR($AS36="-",SUM(IF('CO-PO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6" s="54" t="str">
        <f>IF('CO-PO Mapping'!U$2, IF(OR($AN36="-",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Mapping'!U$6, IF(OR($AR36="-",SUM(IF('CO-PO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Mapping'!U$7, IF(OR($AS36="-",SUM(IF('CO-PO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6" s="54" t="str">
        <f>IF('CO-PO Mapping'!V$2, IF(OR($AN36="-",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Mapping'!V$6, IF(OR($AR36="-",SUM(IF('CO-PO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Mapping'!V$7, IF(OR($AS36="-",SUM(IF('CO-PO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6" s="54" t="str">
        <f>IF('CO-PO Mapping'!W$2, IF(OR($AN36="-",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Mapping'!W$6, IF(OR($AR36="-",SUM(IF('CO-PO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Mapping'!W$7, IF(OR($AS36="-",SUM(IF('CO-PO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6" s="54" t="str">
        <f>IF('CO-PO Mapping'!X$2, IF(OR($AN36="-",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Mapping'!X$6, IF(OR($AR36="-",SUM(IF('CO-PO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Mapping'!X$7, IF(OR($AS36="-",SUM(IF('CO-PO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6" s="54" t="str">
        <f>IF('CO-PO Mapping'!Y$2, IF(OR($AN36="-",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Mapping'!Y$6, IF(OR($AR36="-",SUM(IF('CO-PO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Mapping'!Y$7, IF(OR($AS36="-",SUM(IF('CO-PO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6" s="54" t="str">
        <f>IF('CO-PO Mapping'!Z$2, IF(OR($AN36="-",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Mapping'!Z$6, IF(OR($AR36="-",SUM(IF('CO-PO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Mapping'!Z$7, IF(OR($AS36="-",SUM(IF('CO-PO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7" spans="1:57" ht="16.5" customHeight="1" x14ac:dyDescent="0.2">
      <c r="A37" s="94">
        <v>20261103134</v>
      </c>
      <c r="B37" s="95" t="s">
        <v>158</v>
      </c>
      <c r="C37" s="96">
        <v>4</v>
      </c>
      <c r="D37" s="61"/>
      <c r="E37" s="96">
        <v>14</v>
      </c>
      <c r="F37" s="96">
        <v>10</v>
      </c>
      <c r="G37" s="61"/>
      <c r="H37" s="46">
        <f t="shared" si="2"/>
        <v>28</v>
      </c>
      <c r="I37" s="59"/>
      <c r="J37" s="59"/>
      <c r="K37" s="59"/>
      <c r="L37" s="59"/>
      <c r="M37" s="59"/>
      <c r="N37" s="59"/>
      <c r="O37" s="47">
        <f t="shared" si="3"/>
        <v>0</v>
      </c>
      <c r="P37" s="59"/>
      <c r="Q37" s="59"/>
      <c r="R37" s="59"/>
      <c r="S37" s="59"/>
      <c r="T37" s="59"/>
      <c r="U37" s="59"/>
      <c r="V37" s="48">
        <f t="shared" si="4"/>
        <v>0</v>
      </c>
      <c r="W37" s="49">
        <f t="shared" si="5"/>
        <v>28</v>
      </c>
      <c r="X37" s="50" t="str">
        <f t="shared" si="10"/>
        <v>F (Fail)</v>
      </c>
      <c r="Y37" s="62"/>
      <c r="Z37" s="51">
        <f t="shared" si="6"/>
        <v>20261103134</v>
      </c>
      <c r="AA37" s="51" t="str">
        <f t="shared" si="7"/>
        <v>Sahela Jahan Neha</v>
      </c>
      <c r="AB37" s="45">
        <f t="shared" si="11"/>
        <v>0</v>
      </c>
      <c r="AC37" s="45">
        <f t="shared" si="8"/>
        <v>14</v>
      </c>
      <c r="AD37" s="45">
        <f t="shared" si="8"/>
        <v>14</v>
      </c>
      <c r="AE37" s="45">
        <f t="shared" si="8"/>
        <v>0</v>
      </c>
      <c r="AF37" s="45">
        <f t="shared" si="8"/>
        <v>0</v>
      </c>
      <c r="AG37" s="45">
        <f t="shared" si="8"/>
        <v>0</v>
      </c>
      <c r="AH37" s="52">
        <f t="shared" si="12"/>
        <v>0</v>
      </c>
      <c r="AI37" s="52">
        <f t="shared" si="13"/>
        <v>25.454545454545453</v>
      </c>
      <c r="AJ37" s="52">
        <f t="shared" si="14"/>
        <v>93.333333333333329</v>
      </c>
      <c r="AK37" s="52">
        <f t="shared" si="22"/>
        <v>0</v>
      </c>
      <c r="AL37" s="52">
        <f t="shared" si="15"/>
        <v>0</v>
      </c>
      <c r="AM37" s="52">
        <f t="shared" si="16"/>
        <v>0</v>
      </c>
      <c r="AN37" s="53" t="str">
        <f t="shared" si="23"/>
        <v>N</v>
      </c>
      <c r="AO37" s="53" t="str">
        <f t="shared" si="17"/>
        <v>N</v>
      </c>
      <c r="AP37" s="53" t="str">
        <f t="shared" si="18"/>
        <v>Y</v>
      </c>
      <c r="AQ37" s="53" t="str">
        <f t="shared" si="19"/>
        <v>N</v>
      </c>
      <c r="AR37" s="53" t="str">
        <f t="shared" si="20"/>
        <v>N</v>
      </c>
      <c r="AS37" s="53" t="str">
        <f t="shared" si="21"/>
        <v>N</v>
      </c>
      <c r="AT37" s="54" t="str">
        <f>IF('CO-PO Mapping'!O$2, IF(OR($AN37="-",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Mapping'!O$6, IF(OR($AR37="-",SUM(IF('CO-PO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Mapping'!O$7, IF(OR($AS37="-",SUM(IF('CO-PO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7" s="54" t="str">
        <f>IF('CO-PO Mapping'!P$2, IF(OR($AN37="-",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Mapping'!P$6, IF(OR($AR37="-",SUM(IF('CO-PO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Mapping'!P$7, IF(OR($AS37="-",SUM(IF('CO-PO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7" s="54" t="str">
        <f>IF('CO-PO Mapping'!Q$2, IF(OR($AN37="-",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Mapping'!Q$6, IF(OR($AR37="-",SUM(IF('CO-PO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Mapping'!Q$7, IF(OR($AS37="-",SUM(IF('CO-PO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7" s="54" t="str">
        <f>IF('CO-PO Mapping'!R$2, IF(OR($AN37="-",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Mapping'!R$6, IF(OR($AR37="-",SUM(IF('CO-PO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Mapping'!R$7, IF(OR($AS37="-",SUM(IF('CO-PO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7" s="54" t="str">
        <f>IF('CO-PO Mapping'!S$2, IF(OR($AN37="-",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Mapping'!S$6, IF(OR($AR37="-",SUM(IF('CO-PO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Mapping'!S$7, IF(OR($AS37="-",SUM(IF('CO-PO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7" s="54" t="str">
        <f>IF('CO-PO Mapping'!T$2, IF(OR($AN37="-",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Mapping'!T$6, IF(OR($AR37="-",SUM(IF('CO-PO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Mapping'!T$7, IF(OR($AS37="-",SUM(IF('CO-PO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7" s="54" t="str">
        <f>IF('CO-PO Mapping'!U$2, IF(OR($AN37="-",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Mapping'!U$6, IF(OR($AR37="-",SUM(IF('CO-PO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Mapping'!U$7, IF(OR($AS37="-",SUM(IF('CO-PO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7" s="54" t="str">
        <f>IF('CO-PO Mapping'!V$2, IF(OR($AN37="-",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Mapping'!V$6, IF(OR($AR37="-",SUM(IF('CO-PO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Mapping'!V$7, IF(OR($AS37="-",SUM(IF('CO-PO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7" s="54" t="str">
        <f>IF('CO-PO Mapping'!W$2, IF(OR($AN37="-",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Mapping'!W$6, IF(OR($AR37="-",SUM(IF('CO-PO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Mapping'!W$7, IF(OR($AS37="-",SUM(IF('CO-PO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7" s="54" t="str">
        <f>IF('CO-PO Mapping'!X$2, IF(OR($AN37="-",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Mapping'!X$6, IF(OR($AR37="-",SUM(IF('CO-PO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Mapping'!X$7, IF(OR($AS37="-",SUM(IF('CO-PO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7" s="54" t="str">
        <f>IF('CO-PO Mapping'!Y$2, IF(OR($AN37="-",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Mapping'!Y$6, IF(OR($AR37="-",SUM(IF('CO-PO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Mapping'!Y$7, IF(OR($AS37="-",SUM(IF('CO-PO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7" s="54" t="str">
        <f>IF('CO-PO Mapping'!Z$2, IF(OR($AN37="-",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Mapping'!Z$6, IF(OR($AR37="-",SUM(IF('CO-PO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Mapping'!Z$7, IF(OR($AS37="-",SUM(IF('CO-PO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8" spans="1:57" ht="16.5" customHeight="1" x14ac:dyDescent="0.2">
      <c r="A38" s="94">
        <v>20261103135</v>
      </c>
      <c r="B38" s="95" t="s">
        <v>159</v>
      </c>
      <c r="C38" s="96">
        <v>0</v>
      </c>
      <c r="D38" s="63"/>
      <c r="E38" s="96">
        <v>0</v>
      </c>
      <c r="F38" s="96">
        <v>0</v>
      </c>
      <c r="G38" s="63"/>
      <c r="H38" s="46">
        <f t="shared" si="2"/>
        <v>0</v>
      </c>
      <c r="I38" s="59"/>
      <c r="J38" s="59"/>
      <c r="K38" s="59"/>
      <c r="L38" s="59"/>
      <c r="M38" s="59"/>
      <c r="N38" s="59"/>
      <c r="O38" s="47">
        <f t="shared" si="3"/>
        <v>0</v>
      </c>
      <c r="P38" s="59"/>
      <c r="Q38" s="59"/>
      <c r="R38" s="59"/>
      <c r="S38" s="59"/>
      <c r="T38" s="59"/>
      <c r="U38" s="59"/>
      <c r="V38" s="48">
        <f t="shared" si="4"/>
        <v>0</v>
      </c>
      <c r="W38" s="49">
        <f t="shared" si="5"/>
        <v>0</v>
      </c>
      <c r="X38" s="50" t="str">
        <f t="shared" si="10"/>
        <v>F (Fail)</v>
      </c>
      <c r="Y38" s="62"/>
      <c r="Z38" s="51">
        <f t="shared" si="6"/>
        <v>20261103135</v>
      </c>
      <c r="AA38" s="51" t="str">
        <f t="shared" si="7"/>
        <v>Tahsina Afnan Bushra</v>
      </c>
      <c r="AB38" s="45">
        <f t="shared" si="11"/>
        <v>0</v>
      </c>
      <c r="AC38" s="45">
        <f t="shared" si="8"/>
        <v>0</v>
      </c>
      <c r="AD38" s="45">
        <f t="shared" si="8"/>
        <v>0</v>
      </c>
      <c r="AE38" s="45">
        <f t="shared" si="8"/>
        <v>0</v>
      </c>
      <c r="AF38" s="45">
        <f t="shared" si="8"/>
        <v>0</v>
      </c>
      <c r="AG38" s="45">
        <f t="shared" si="8"/>
        <v>0</v>
      </c>
      <c r="AH38" s="52">
        <f t="shared" si="12"/>
        <v>0</v>
      </c>
      <c r="AI38" s="52">
        <f t="shared" si="13"/>
        <v>0</v>
      </c>
      <c r="AJ38" s="52">
        <f t="shared" si="14"/>
        <v>0</v>
      </c>
      <c r="AK38" s="52">
        <f t="shared" si="22"/>
        <v>0</v>
      </c>
      <c r="AL38" s="52">
        <f t="shared" si="15"/>
        <v>0</v>
      </c>
      <c r="AM38" s="52">
        <f t="shared" si="16"/>
        <v>0</v>
      </c>
      <c r="AN38" s="53" t="str">
        <f t="shared" si="23"/>
        <v>N</v>
      </c>
      <c r="AO38" s="53" t="str">
        <f t="shared" si="17"/>
        <v>N</v>
      </c>
      <c r="AP38" s="53" t="str">
        <f t="shared" si="18"/>
        <v>N</v>
      </c>
      <c r="AQ38" s="53" t="str">
        <f t="shared" si="19"/>
        <v>N</v>
      </c>
      <c r="AR38" s="53" t="str">
        <f t="shared" si="20"/>
        <v>N</v>
      </c>
      <c r="AS38" s="53" t="str">
        <f t="shared" si="21"/>
        <v>N</v>
      </c>
      <c r="AT38" s="54" t="str">
        <f>IF('CO-PO Mapping'!O$2, IF(OR($AN38="-",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Mapping'!O$6, IF(OR($AR38="-",SUM(IF('CO-PO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Mapping'!O$7, IF(OR($AS38="-",SUM(IF('CO-PO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8" s="54" t="str">
        <f>IF('CO-PO Mapping'!P$2, IF(OR($AN38="-",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Mapping'!P$6, IF(OR($AR38="-",SUM(IF('CO-PO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Mapping'!P$7, IF(OR($AS38="-",SUM(IF('CO-PO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8" s="54" t="str">
        <f>IF('CO-PO Mapping'!Q$2, IF(OR($AN38="-",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Mapping'!Q$6, IF(OR($AR38="-",SUM(IF('CO-PO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Mapping'!Q$7, IF(OR($AS38="-",SUM(IF('CO-PO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8" s="54" t="str">
        <f>IF('CO-PO Mapping'!R$2, IF(OR($AN38="-",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Mapping'!R$6, IF(OR($AR38="-",SUM(IF('CO-PO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Mapping'!R$7, IF(OR($AS38="-",SUM(IF('CO-PO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8" s="54" t="str">
        <f>IF('CO-PO Mapping'!S$2, IF(OR($AN38="-",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Mapping'!S$6, IF(OR($AR38="-",SUM(IF('CO-PO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Mapping'!S$7, IF(OR($AS38="-",SUM(IF('CO-PO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8" s="54" t="str">
        <f>IF('CO-PO Mapping'!T$2, IF(OR($AN38="-",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Mapping'!T$6, IF(OR($AR38="-",SUM(IF('CO-PO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Mapping'!T$7, IF(OR($AS38="-",SUM(IF('CO-PO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8" s="54" t="str">
        <f>IF('CO-PO Mapping'!U$2, IF(OR($AN38="-",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Mapping'!U$6, IF(OR($AR38="-",SUM(IF('CO-PO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Mapping'!U$7, IF(OR($AS38="-",SUM(IF('CO-PO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8" s="54" t="str">
        <f>IF('CO-PO Mapping'!V$2, IF(OR($AN38="-",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Mapping'!V$6, IF(OR($AR38="-",SUM(IF('CO-PO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Mapping'!V$7, IF(OR($AS38="-",SUM(IF('CO-PO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8" s="54" t="str">
        <f>IF('CO-PO Mapping'!W$2, IF(OR($AN38="-",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Mapping'!W$6, IF(OR($AR38="-",SUM(IF('CO-PO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Mapping'!W$7, IF(OR($AS38="-",SUM(IF('CO-PO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8" s="54" t="str">
        <f>IF('CO-PO Mapping'!X$2, IF(OR($AN38="-",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Mapping'!X$6, IF(OR($AR38="-",SUM(IF('CO-PO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Mapping'!X$7, IF(OR($AS38="-",SUM(IF('CO-PO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8" s="54" t="str">
        <f>IF('CO-PO Mapping'!Y$2, IF(OR($AN38="-",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Mapping'!Y$6, IF(OR($AR38="-",SUM(IF('CO-PO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Mapping'!Y$7, IF(OR($AS38="-",SUM(IF('CO-PO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8" s="54" t="str">
        <f>IF('CO-PO Mapping'!Z$2, IF(OR($AN38="-",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Mapping'!Z$6, IF(OR($AR38="-",SUM(IF('CO-PO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Mapping'!Z$7, IF(OR($AS38="-",SUM(IF('CO-PO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9" spans="1:57" ht="16.5" customHeight="1" x14ac:dyDescent="0.2">
      <c r="A39" s="94">
        <v>20261103136</v>
      </c>
      <c r="B39" s="95" t="s">
        <v>160</v>
      </c>
      <c r="C39" s="96">
        <v>4</v>
      </c>
      <c r="D39" s="59"/>
      <c r="E39" s="96">
        <v>15</v>
      </c>
      <c r="F39" s="96">
        <v>10</v>
      </c>
      <c r="G39" s="59"/>
      <c r="H39" s="46">
        <f t="shared" si="2"/>
        <v>29</v>
      </c>
      <c r="I39" s="59"/>
      <c r="J39" s="59"/>
      <c r="K39" s="59"/>
      <c r="L39" s="59"/>
      <c r="M39" s="59"/>
      <c r="N39" s="59"/>
      <c r="O39" s="47">
        <f t="shared" si="3"/>
        <v>0</v>
      </c>
      <c r="P39" s="55"/>
      <c r="Q39" s="55"/>
      <c r="R39" s="55"/>
      <c r="S39" s="55"/>
      <c r="T39" s="55"/>
      <c r="U39" s="55"/>
      <c r="V39" s="48">
        <f t="shared" si="4"/>
        <v>0</v>
      </c>
      <c r="W39" s="49">
        <f t="shared" si="5"/>
        <v>29</v>
      </c>
      <c r="X39" s="50" t="str">
        <f t="shared" si="10"/>
        <v>F (Fail)</v>
      </c>
      <c r="Y39" s="64"/>
      <c r="Z39" s="51">
        <f t="shared" si="6"/>
        <v>20261103136</v>
      </c>
      <c r="AA39" s="51" t="str">
        <f t="shared" si="7"/>
        <v>Md. Raiyan Islam</v>
      </c>
      <c r="AB39" s="45">
        <f t="shared" si="11"/>
        <v>0</v>
      </c>
      <c r="AC39" s="45">
        <f t="shared" si="8"/>
        <v>15</v>
      </c>
      <c r="AD39" s="45">
        <f t="shared" si="8"/>
        <v>14</v>
      </c>
      <c r="AE39" s="45">
        <f t="shared" si="8"/>
        <v>0</v>
      </c>
      <c r="AF39" s="45">
        <f t="shared" si="8"/>
        <v>0</v>
      </c>
      <c r="AG39" s="45">
        <f t="shared" si="8"/>
        <v>0</v>
      </c>
      <c r="AH39" s="52">
        <f t="shared" si="12"/>
        <v>0</v>
      </c>
      <c r="AI39" s="52">
        <f t="shared" si="13"/>
        <v>27.272727272727273</v>
      </c>
      <c r="AJ39" s="52">
        <f t="shared" si="14"/>
        <v>93.333333333333329</v>
      </c>
      <c r="AK39" s="52">
        <f t="shared" si="22"/>
        <v>0</v>
      </c>
      <c r="AL39" s="52">
        <f t="shared" si="15"/>
        <v>0</v>
      </c>
      <c r="AM39" s="52">
        <f t="shared" si="16"/>
        <v>0</v>
      </c>
      <c r="AN39" s="53" t="str">
        <f t="shared" si="23"/>
        <v>N</v>
      </c>
      <c r="AO39" s="53" t="str">
        <f t="shared" si="17"/>
        <v>N</v>
      </c>
      <c r="AP39" s="53" t="str">
        <f t="shared" si="18"/>
        <v>Y</v>
      </c>
      <c r="AQ39" s="53" t="str">
        <f t="shared" si="19"/>
        <v>N</v>
      </c>
      <c r="AR39" s="53" t="str">
        <f t="shared" si="20"/>
        <v>N</v>
      </c>
      <c r="AS39" s="53" t="str">
        <f t="shared" si="21"/>
        <v>N</v>
      </c>
      <c r="AT39" s="54" t="str">
        <f>IF('CO-PO Mapping'!O$2, IF(OR($AN39="-",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Mapping'!O$6, IF(OR($AR39="-",SUM(IF('CO-PO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Mapping'!O$7, IF(OR($AS39="-",SUM(IF('CO-PO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39" s="54" t="str">
        <f>IF('CO-PO Mapping'!P$2, IF(OR($AN39="-",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Mapping'!P$6, IF(OR($AR39="-",SUM(IF('CO-PO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Mapping'!P$7, IF(OR($AS39="-",SUM(IF('CO-PO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9" s="54" t="str">
        <f>IF('CO-PO Mapping'!Q$2, IF(OR($AN39="-",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Mapping'!Q$6, IF(OR($AR39="-",SUM(IF('CO-PO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Mapping'!Q$7, IF(OR($AS39="-",SUM(IF('CO-PO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39" s="54" t="str">
        <f>IF('CO-PO Mapping'!R$2, IF(OR($AN39="-",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Mapping'!R$6, IF(OR($AR39="-",SUM(IF('CO-PO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Mapping'!R$7, IF(OR($AS39="-",SUM(IF('CO-PO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9" s="54" t="str">
        <f>IF('CO-PO Mapping'!S$2, IF(OR($AN39="-",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Mapping'!S$6, IF(OR($AR39="-",SUM(IF('CO-PO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Mapping'!S$7, IF(OR($AS39="-",SUM(IF('CO-PO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9" s="54" t="str">
        <f>IF('CO-PO Mapping'!T$2, IF(OR($AN39="-",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Mapping'!T$6, IF(OR($AR39="-",SUM(IF('CO-PO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Mapping'!T$7, IF(OR($AS39="-",SUM(IF('CO-PO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9" s="54" t="str">
        <f>IF('CO-PO Mapping'!U$2, IF(OR($AN39="-",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Mapping'!U$6, IF(OR($AR39="-",SUM(IF('CO-PO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Mapping'!U$7, IF(OR($AS39="-",SUM(IF('CO-PO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9" s="54" t="str">
        <f>IF('CO-PO Mapping'!V$2, IF(OR($AN39="-",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Mapping'!V$6, IF(OR($AR39="-",SUM(IF('CO-PO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Mapping'!V$7, IF(OR($AS39="-",SUM(IF('CO-PO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9" s="54" t="str">
        <f>IF('CO-PO Mapping'!W$2, IF(OR($AN39="-",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Mapping'!W$6, IF(OR($AR39="-",SUM(IF('CO-PO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Mapping'!W$7, IF(OR($AS39="-",SUM(IF('CO-PO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9" s="54" t="str">
        <f>IF('CO-PO Mapping'!X$2, IF(OR($AN39="-",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Mapping'!X$6, IF(OR($AR39="-",SUM(IF('CO-PO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Mapping'!X$7, IF(OR($AS39="-",SUM(IF('CO-PO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9" s="54" t="str">
        <f>IF('CO-PO Mapping'!Y$2, IF(OR($AN39="-",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Mapping'!Y$6, IF(OR($AR39="-",SUM(IF('CO-PO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Mapping'!Y$7, IF(OR($AS39="-",SUM(IF('CO-PO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9" s="54" t="str">
        <f>IF('CO-PO Mapping'!Z$2, IF(OR($AN39="-",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Mapping'!Z$6, IF(OR($AR39="-",SUM(IF('CO-PO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Mapping'!Z$7, IF(OR($AS39="-",SUM(IF('CO-PO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0" spans="1:57" ht="16.5" customHeight="1" x14ac:dyDescent="0.2">
      <c r="A40" s="94">
        <v>20261103137</v>
      </c>
      <c r="B40" s="95" t="s">
        <v>161</v>
      </c>
      <c r="C40" s="96">
        <v>5</v>
      </c>
      <c r="D40" s="59"/>
      <c r="E40" s="96">
        <v>10</v>
      </c>
      <c r="F40" s="96">
        <v>9.5</v>
      </c>
      <c r="G40" s="59"/>
      <c r="H40" s="46">
        <f t="shared" si="2"/>
        <v>24.5</v>
      </c>
      <c r="I40" s="59"/>
      <c r="J40" s="59"/>
      <c r="K40" s="59"/>
      <c r="L40" s="59"/>
      <c r="M40" s="59"/>
      <c r="N40" s="59"/>
      <c r="O40" s="47">
        <f t="shared" si="3"/>
        <v>0</v>
      </c>
      <c r="P40" s="59"/>
      <c r="Q40" s="59"/>
      <c r="R40" s="59"/>
      <c r="S40" s="59"/>
      <c r="T40" s="59"/>
      <c r="U40" s="59"/>
      <c r="V40" s="48">
        <f t="shared" si="4"/>
        <v>0</v>
      </c>
      <c r="W40" s="49">
        <f t="shared" si="5"/>
        <v>24.5</v>
      </c>
      <c r="X40" s="50" t="str">
        <f t="shared" si="10"/>
        <v>F (Fail)</v>
      </c>
      <c r="Y40" s="64"/>
      <c r="Z40" s="51">
        <f t="shared" si="6"/>
        <v>20261103137</v>
      </c>
      <c r="AA40" s="51" t="str">
        <f t="shared" si="7"/>
        <v>Abdullah Al Kawser</v>
      </c>
      <c r="AB40" s="45">
        <f t="shared" si="11"/>
        <v>0</v>
      </c>
      <c r="AC40" s="45">
        <f t="shared" si="8"/>
        <v>10</v>
      </c>
      <c r="AD40" s="45">
        <f t="shared" si="8"/>
        <v>14.5</v>
      </c>
      <c r="AE40" s="45">
        <f t="shared" si="8"/>
        <v>0</v>
      </c>
      <c r="AF40" s="45">
        <f t="shared" si="8"/>
        <v>0</v>
      </c>
      <c r="AG40" s="45">
        <f t="shared" si="8"/>
        <v>0</v>
      </c>
      <c r="AH40" s="52">
        <f t="shared" si="12"/>
        <v>0</v>
      </c>
      <c r="AI40" s="52">
        <f t="shared" si="13"/>
        <v>18.181818181818183</v>
      </c>
      <c r="AJ40" s="52">
        <f t="shared" si="14"/>
        <v>96.666666666666671</v>
      </c>
      <c r="AK40" s="52">
        <f t="shared" si="22"/>
        <v>0</v>
      </c>
      <c r="AL40" s="52">
        <f t="shared" si="15"/>
        <v>0</v>
      </c>
      <c r="AM40" s="52">
        <f t="shared" si="16"/>
        <v>0</v>
      </c>
      <c r="AN40" s="53" t="str">
        <f t="shared" si="23"/>
        <v>N</v>
      </c>
      <c r="AO40" s="53" t="str">
        <f t="shared" si="17"/>
        <v>N</v>
      </c>
      <c r="AP40" s="53" t="str">
        <f t="shared" si="18"/>
        <v>Y</v>
      </c>
      <c r="AQ40" s="53" t="str">
        <f t="shared" si="19"/>
        <v>N</v>
      </c>
      <c r="AR40" s="53" t="str">
        <f t="shared" si="20"/>
        <v>N</v>
      </c>
      <c r="AS40" s="53" t="str">
        <f t="shared" si="21"/>
        <v>N</v>
      </c>
      <c r="AT40" s="54" t="str">
        <f>IF('CO-PO Mapping'!O$2, IF(OR($AN40="-",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Mapping'!O$6, IF(OR($AR40="-",SUM(IF('CO-PO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Mapping'!O$7, IF(OR($AS40="-",SUM(IF('CO-PO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0" s="54" t="str">
        <f>IF('CO-PO Mapping'!P$2, IF(OR($AN40="-",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Mapping'!P$6, IF(OR($AR40="-",SUM(IF('CO-PO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Mapping'!P$7, IF(OR($AS40="-",SUM(IF('CO-PO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0" s="54" t="str">
        <f>IF('CO-PO Mapping'!Q$2, IF(OR($AN40="-",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Mapping'!Q$6, IF(OR($AR40="-",SUM(IF('CO-PO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Mapping'!Q$7, IF(OR($AS40="-",SUM(IF('CO-PO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0" s="54" t="str">
        <f>IF('CO-PO Mapping'!R$2, IF(OR($AN40="-",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Mapping'!R$6, IF(OR($AR40="-",SUM(IF('CO-PO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Mapping'!R$7, IF(OR($AS40="-",SUM(IF('CO-PO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0" s="54" t="str">
        <f>IF('CO-PO Mapping'!S$2, IF(OR($AN40="-",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Mapping'!S$6, IF(OR($AR40="-",SUM(IF('CO-PO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Mapping'!S$7, IF(OR($AS40="-",SUM(IF('CO-PO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0" s="54" t="str">
        <f>IF('CO-PO Mapping'!T$2, IF(OR($AN40="-",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Mapping'!T$6, IF(OR($AR40="-",SUM(IF('CO-PO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Mapping'!T$7, IF(OR($AS40="-",SUM(IF('CO-PO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0" s="54" t="str">
        <f>IF('CO-PO Mapping'!U$2, IF(OR($AN40="-",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Mapping'!U$6, IF(OR($AR40="-",SUM(IF('CO-PO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Mapping'!U$7, IF(OR($AS40="-",SUM(IF('CO-PO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0" s="54" t="str">
        <f>IF('CO-PO Mapping'!V$2, IF(OR($AN40="-",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Mapping'!V$6, IF(OR($AR40="-",SUM(IF('CO-PO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Mapping'!V$7, IF(OR($AS40="-",SUM(IF('CO-PO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0" s="54" t="str">
        <f>IF('CO-PO Mapping'!W$2, IF(OR($AN40="-",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Mapping'!W$6, IF(OR($AR40="-",SUM(IF('CO-PO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Mapping'!W$7, IF(OR($AS40="-",SUM(IF('CO-PO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0" s="54" t="str">
        <f>IF('CO-PO Mapping'!X$2, IF(OR($AN40="-",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Mapping'!X$6, IF(OR($AR40="-",SUM(IF('CO-PO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Mapping'!X$7, IF(OR($AS40="-",SUM(IF('CO-PO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0" s="54" t="str">
        <f>IF('CO-PO Mapping'!Y$2, IF(OR($AN40="-",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Mapping'!Y$6, IF(OR($AR40="-",SUM(IF('CO-PO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Mapping'!Y$7, IF(OR($AS40="-",SUM(IF('CO-PO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0" s="54" t="str">
        <f>IF('CO-PO Mapping'!Z$2, IF(OR($AN40="-",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Mapping'!Z$6, IF(OR($AR40="-",SUM(IF('CO-PO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Mapping'!Z$7, IF(OR($AS40="-",SUM(IF('CO-PO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1" spans="1:57" ht="16.5" customHeight="1" x14ac:dyDescent="0.2">
      <c r="A41" s="94">
        <v>20261103138</v>
      </c>
      <c r="B41" s="95" t="s">
        <v>162</v>
      </c>
      <c r="C41" s="96">
        <v>4</v>
      </c>
      <c r="D41" s="59"/>
      <c r="E41" s="96">
        <v>10</v>
      </c>
      <c r="F41" s="96">
        <v>10</v>
      </c>
      <c r="G41" s="59"/>
      <c r="H41" s="46">
        <f t="shared" si="2"/>
        <v>24</v>
      </c>
      <c r="I41" s="59"/>
      <c r="J41" s="59"/>
      <c r="K41" s="59"/>
      <c r="L41" s="59"/>
      <c r="M41" s="59"/>
      <c r="N41" s="59"/>
      <c r="O41" s="47">
        <f t="shared" si="3"/>
        <v>0</v>
      </c>
      <c r="P41" s="59"/>
      <c r="Q41" s="59"/>
      <c r="R41" s="59"/>
      <c r="S41" s="59"/>
      <c r="T41" s="59"/>
      <c r="U41" s="59"/>
      <c r="V41" s="48">
        <f t="shared" si="4"/>
        <v>0</v>
      </c>
      <c r="W41" s="49">
        <f t="shared" si="5"/>
        <v>24</v>
      </c>
      <c r="X41" s="50" t="str">
        <f t="shared" si="10"/>
        <v>F (Fail)</v>
      </c>
      <c r="Y41" s="64"/>
      <c r="Z41" s="51">
        <f t="shared" si="6"/>
        <v>20261103138</v>
      </c>
      <c r="AA41" s="51" t="str">
        <f t="shared" si="7"/>
        <v>Pias Karmokar</v>
      </c>
      <c r="AB41" s="45">
        <f t="shared" si="11"/>
        <v>0</v>
      </c>
      <c r="AC41" s="45">
        <f t="shared" si="8"/>
        <v>10</v>
      </c>
      <c r="AD41" s="45">
        <f t="shared" si="8"/>
        <v>14</v>
      </c>
      <c r="AE41" s="45">
        <f t="shared" si="8"/>
        <v>0</v>
      </c>
      <c r="AF41" s="45">
        <f t="shared" si="8"/>
        <v>0</v>
      </c>
      <c r="AG41" s="45">
        <f t="shared" si="8"/>
        <v>0</v>
      </c>
      <c r="AH41" s="52">
        <f t="shared" si="12"/>
        <v>0</v>
      </c>
      <c r="AI41" s="52">
        <f t="shared" si="13"/>
        <v>18.181818181818183</v>
      </c>
      <c r="AJ41" s="52">
        <f t="shared" si="14"/>
        <v>93.333333333333329</v>
      </c>
      <c r="AK41" s="52">
        <f t="shared" si="22"/>
        <v>0</v>
      </c>
      <c r="AL41" s="52">
        <f t="shared" si="15"/>
        <v>0</v>
      </c>
      <c r="AM41" s="52">
        <f t="shared" si="16"/>
        <v>0</v>
      </c>
      <c r="AN41" s="53" t="str">
        <f t="shared" si="23"/>
        <v>N</v>
      </c>
      <c r="AO41" s="53" t="str">
        <f t="shared" si="17"/>
        <v>N</v>
      </c>
      <c r="AP41" s="53" t="str">
        <f t="shared" si="18"/>
        <v>Y</v>
      </c>
      <c r="AQ41" s="53" t="str">
        <f t="shared" si="19"/>
        <v>N</v>
      </c>
      <c r="AR41" s="53" t="str">
        <f t="shared" si="20"/>
        <v>N</v>
      </c>
      <c r="AS41" s="53" t="str">
        <f t="shared" si="21"/>
        <v>N</v>
      </c>
      <c r="AT41" s="54" t="str">
        <f>IF('CO-PO Mapping'!O$2, IF(OR($AN41="-",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Mapping'!O$6, IF(OR($AR41="-",SUM(IF('CO-PO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Mapping'!O$7, IF(OR($AS41="-",SUM(IF('CO-PO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1" s="54" t="str">
        <f>IF('CO-PO Mapping'!P$2, IF(OR($AN41="-",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Mapping'!P$6, IF(OR($AR41="-",SUM(IF('CO-PO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Mapping'!P$7, IF(OR($AS41="-",SUM(IF('CO-PO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1" s="54" t="str">
        <f>IF('CO-PO Mapping'!Q$2, IF(OR($AN41="-",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Mapping'!Q$6, IF(OR($AR41="-",SUM(IF('CO-PO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Mapping'!Q$7, IF(OR($AS41="-",SUM(IF('CO-PO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1" s="54" t="str">
        <f>IF('CO-PO Mapping'!R$2, IF(OR($AN41="-",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Mapping'!R$6, IF(OR($AR41="-",SUM(IF('CO-PO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Mapping'!R$7, IF(OR($AS41="-",SUM(IF('CO-PO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1" s="54" t="str">
        <f>IF('CO-PO Mapping'!S$2, IF(OR($AN41="-",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Mapping'!S$6, IF(OR($AR41="-",SUM(IF('CO-PO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Mapping'!S$7, IF(OR($AS41="-",SUM(IF('CO-PO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1" s="54" t="str">
        <f>IF('CO-PO Mapping'!T$2, IF(OR($AN41="-",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Mapping'!T$6, IF(OR($AR41="-",SUM(IF('CO-PO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Mapping'!T$7, IF(OR($AS41="-",SUM(IF('CO-PO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1" s="54" t="str">
        <f>IF('CO-PO Mapping'!U$2, IF(OR($AN41="-",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Mapping'!U$6, IF(OR($AR41="-",SUM(IF('CO-PO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Mapping'!U$7, IF(OR($AS41="-",SUM(IF('CO-PO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1" s="54" t="str">
        <f>IF('CO-PO Mapping'!V$2, IF(OR($AN41="-",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Mapping'!V$6, IF(OR($AR41="-",SUM(IF('CO-PO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Mapping'!V$7, IF(OR($AS41="-",SUM(IF('CO-PO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1" s="54" t="str">
        <f>IF('CO-PO Mapping'!W$2, IF(OR($AN41="-",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Mapping'!W$6, IF(OR($AR41="-",SUM(IF('CO-PO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Mapping'!W$7, IF(OR($AS41="-",SUM(IF('CO-PO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1" s="54" t="str">
        <f>IF('CO-PO Mapping'!X$2, IF(OR($AN41="-",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Mapping'!X$6, IF(OR($AR41="-",SUM(IF('CO-PO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Mapping'!X$7, IF(OR($AS41="-",SUM(IF('CO-PO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1" s="54" t="str">
        <f>IF('CO-PO Mapping'!Y$2, IF(OR($AN41="-",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Mapping'!Y$6, IF(OR($AR41="-",SUM(IF('CO-PO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Mapping'!Y$7, IF(OR($AS41="-",SUM(IF('CO-PO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1" s="54" t="str">
        <f>IF('CO-PO Mapping'!Z$2, IF(OR($AN41="-",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Mapping'!Z$6, IF(OR($AR41="-",SUM(IF('CO-PO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Mapping'!Z$7, IF(OR($AS41="-",SUM(IF('CO-PO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2" spans="1:57" ht="16.5" customHeight="1" x14ac:dyDescent="0.2">
      <c r="A42" s="94">
        <v>20261103140</v>
      </c>
      <c r="B42" s="95" t="s">
        <v>163</v>
      </c>
      <c r="C42" s="96">
        <v>5</v>
      </c>
      <c r="D42" s="59"/>
      <c r="E42" s="96">
        <v>15</v>
      </c>
      <c r="F42" s="96">
        <v>10</v>
      </c>
      <c r="G42" s="59"/>
      <c r="H42" s="46">
        <f t="shared" si="2"/>
        <v>30</v>
      </c>
      <c r="I42" s="59"/>
      <c r="J42" s="59"/>
      <c r="K42" s="59"/>
      <c r="L42" s="59"/>
      <c r="M42" s="59"/>
      <c r="N42" s="59"/>
      <c r="O42" s="47">
        <f t="shared" si="3"/>
        <v>0</v>
      </c>
      <c r="P42" s="59"/>
      <c r="Q42" s="59"/>
      <c r="R42" s="59"/>
      <c r="S42" s="59"/>
      <c r="T42" s="59"/>
      <c r="U42" s="59"/>
      <c r="V42" s="48">
        <f t="shared" si="4"/>
        <v>0</v>
      </c>
      <c r="W42" s="49">
        <f t="shared" si="5"/>
        <v>30</v>
      </c>
      <c r="X42" s="50" t="str">
        <f t="shared" si="10"/>
        <v>F (Fail)</v>
      </c>
      <c r="Y42" s="64"/>
      <c r="Z42" s="51">
        <f t="shared" si="6"/>
        <v>20261103140</v>
      </c>
      <c r="AA42" s="51" t="str">
        <f t="shared" si="7"/>
        <v>Faysal Islam Tamim</v>
      </c>
      <c r="AB42" s="45">
        <f t="shared" si="11"/>
        <v>0</v>
      </c>
      <c r="AC42" s="45">
        <f t="shared" si="8"/>
        <v>15</v>
      </c>
      <c r="AD42" s="45">
        <f t="shared" si="8"/>
        <v>15</v>
      </c>
      <c r="AE42" s="45">
        <f t="shared" si="8"/>
        <v>0</v>
      </c>
      <c r="AF42" s="45">
        <f t="shared" si="8"/>
        <v>0</v>
      </c>
      <c r="AG42" s="45">
        <f t="shared" si="8"/>
        <v>0</v>
      </c>
      <c r="AH42" s="52">
        <f t="shared" si="12"/>
        <v>0</v>
      </c>
      <c r="AI42" s="52">
        <f t="shared" si="13"/>
        <v>27.272727272727273</v>
      </c>
      <c r="AJ42" s="52">
        <f t="shared" si="14"/>
        <v>100</v>
      </c>
      <c r="AK42" s="52">
        <f t="shared" si="22"/>
        <v>0</v>
      </c>
      <c r="AL42" s="52">
        <f t="shared" si="15"/>
        <v>0</v>
      </c>
      <c r="AM42" s="52">
        <f t="shared" si="16"/>
        <v>0</v>
      </c>
      <c r="AN42" s="53" t="str">
        <f t="shared" si="23"/>
        <v>N</v>
      </c>
      <c r="AO42" s="53" t="str">
        <f t="shared" si="17"/>
        <v>N</v>
      </c>
      <c r="AP42" s="53" t="str">
        <f t="shared" si="18"/>
        <v>Y</v>
      </c>
      <c r="AQ42" s="53" t="str">
        <f t="shared" si="19"/>
        <v>N</v>
      </c>
      <c r="AR42" s="53" t="str">
        <f t="shared" si="20"/>
        <v>N</v>
      </c>
      <c r="AS42" s="53" t="str">
        <f t="shared" si="21"/>
        <v>N</v>
      </c>
      <c r="AT42" s="54" t="str">
        <f>IF('CO-PO Mapping'!O$2, IF(OR($AN42="-",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Mapping'!O$6, IF(OR($AR42="-",SUM(IF('CO-PO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Mapping'!O$7, IF(OR($AS42="-",SUM(IF('CO-PO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2" s="54" t="str">
        <f>IF('CO-PO Mapping'!P$2, IF(OR($AN42="-",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Mapping'!P$6, IF(OR($AR42="-",SUM(IF('CO-PO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Mapping'!P$7, IF(OR($AS42="-",SUM(IF('CO-PO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2" s="54" t="str">
        <f>IF('CO-PO Mapping'!Q$2, IF(OR($AN42="-",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Mapping'!Q$6, IF(OR($AR42="-",SUM(IF('CO-PO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Mapping'!Q$7, IF(OR($AS42="-",SUM(IF('CO-PO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2" s="54" t="str">
        <f>IF('CO-PO Mapping'!R$2, IF(OR($AN42="-",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Mapping'!R$6, IF(OR($AR42="-",SUM(IF('CO-PO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Mapping'!R$7, IF(OR($AS42="-",SUM(IF('CO-PO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2" s="54" t="str">
        <f>IF('CO-PO Mapping'!S$2, IF(OR($AN42="-",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Mapping'!S$6, IF(OR($AR42="-",SUM(IF('CO-PO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Mapping'!S$7, IF(OR($AS42="-",SUM(IF('CO-PO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2" s="54" t="str">
        <f>IF('CO-PO Mapping'!T$2, IF(OR($AN42="-",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Mapping'!T$6, IF(OR($AR42="-",SUM(IF('CO-PO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Mapping'!T$7, IF(OR($AS42="-",SUM(IF('CO-PO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2" s="54" t="str">
        <f>IF('CO-PO Mapping'!U$2, IF(OR($AN42="-",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Mapping'!U$6, IF(OR($AR42="-",SUM(IF('CO-PO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Mapping'!U$7, IF(OR($AS42="-",SUM(IF('CO-PO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2" s="54" t="str">
        <f>IF('CO-PO Mapping'!V$2, IF(OR($AN42="-",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Mapping'!V$6, IF(OR($AR42="-",SUM(IF('CO-PO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Mapping'!V$7, IF(OR($AS42="-",SUM(IF('CO-PO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2" s="54" t="str">
        <f>IF('CO-PO Mapping'!W$2, IF(OR($AN42="-",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Mapping'!W$6, IF(OR($AR42="-",SUM(IF('CO-PO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Mapping'!W$7, IF(OR($AS42="-",SUM(IF('CO-PO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2" s="54" t="str">
        <f>IF('CO-PO Mapping'!X$2, IF(OR($AN42="-",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Mapping'!X$6, IF(OR($AR42="-",SUM(IF('CO-PO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Mapping'!X$7, IF(OR($AS42="-",SUM(IF('CO-PO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2" s="54" t="str">
        <f>IF('CO-PO Mapping'!Y$2, IF(OR($AN42="-",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Mapping'!Y$6, IF(OR($AR42="-",SUM(IF('CO-PO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Mapping'!Y$7, IF(OR($AS42="-",SUM(IF('CO-PO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2" s="54" t="str">
        <f>IF('CO-PO Mapping'!Z$2, IF(OR($AN42="-",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Mapping'!Z$6, IF(OR($AR42="-",SUM(IF('CO-PO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Mapping'!Z$7, IF(OR($AS42="-",SUM(IF('CO-PO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3" spans="1:57" ht="16.5" customHeight="1" x14ac:dyDescent="0.2">
      <c r="A43" s="94">
        <v>20261103141</v>
      </c>
      <c r="B43" s="95" t="s">
        <v>164</v>
      </c>
      <c r="C43" s="96">
        <v>5</v>
      </c>
      <c r="D43" s="59"/>
      <c r="E43" s="96">
        <v>11.5</v>
      </c>
      <c r="F43" s="96">
        <v>9.5</v>
      </c>
      <c r="G43" s="59"/>
      <c r="H43" s="46">
        <f t="shared" si="2"/>
        <v>26</v>
      </c>
      <c r="I43" s="59"/>
      <c r="J43" s="59"/>
      <c r="K43" s="59"/>
      <c r="L43" s="59"/>
      <c r="M43" s="59"/>
      <c r="N43" s="59"/>
      <c r="O43" s="47">
        <f t="shared" si="3"/>
        <v>0</v>
      </c>
      <c r="P43" s="59"/>
      <c r="Q43" s="59"/>
      <c r="R43" s="59"/>
      <c r="S43" s="59"/>
      <c r="T43" s="59"/>
      <c r="U43" s="59"/>
      <c r="V43" s="48">
        <f t="shared" si="4"/>
        <v>0</v>
      </c>
      <c r="W43" s="49">
        <f t="shared" si="5"/>
        <v>26</v>
      </c>
      <c r="X43" s="50" t="str">
        <f t="shared" si="10"/>
        <v>F (Fail)</v>
      </c>
      <c r="Y43" s="64"/>
      <c r="Z43" s="51">
        <f t="shared" si="6"/>
        <v>20261103141</v>
      </c>
      <c r="AA43" s="51" t="str">
        <f t="shared" si="7"/>
        <v>Suraiya Mazed Saima</v>
      </c>
      <c r="AB43" s="45">
        <f t="shared" si="11"/>
        <v>0</v>
      </c>
      <c r="AC43" s="45">
        <f t="shared" si="8"/>
        <v>11.5</v>
      </c>
      <c r="AD43" s="45">
        <f t="shared" si="8"/>
        <v>14.5</v>
      </c>
      <c r="AE43" s="45">
        <f t="shared" si="8"/>
        <v>0</v>
      </c>
      <c r="AF43" s="45">
        <f t="shared" si="8"/>
        <v>0</v>
      </c>
      <c r="AG43" s="45">
        <f t="shared" si="8"/>
        <v>0</v>
      </c>
      <c r="AH43" s="52">
        <f t="shared" si="12"/>
        <v>0</v>
      </c>
      <c r="AI43" s="52">
        <f t="shared" si="13"/>
        <v>20.90909090909091</v>
      </c>
      <c r="AJ43" s="52">
        <f t="shared" si="14"/>
        <v>96.666666666666671</v>
      </c>
      <c r="AK43" s="52">
        <f t="shared" si="22"/>
        <v>0</v>
      </c>
      <c r="AL43" s="52">
        <f t="shared" si="15"/>
        <v>0</v>
      </c>
      <c r="AM43" s="52">
        <f t="shared" si="16"/>
        <v>0</v>
      </c>
      <c r="AN43" s="53" t="str">
        <f t="shared" si="23"/>
        <v>N</v>
      </c>
      <c r="AO43" s="53" t="str">
        <f t="shared" si="17"/>
        <v>N</v>
      </c>
      <c r="AP43" s="53" t="str">
        <f t="shared" si="18"/>
        <v>Y</v>
      </c>
      <c r="AQ43" s="53" t="str">
        <f t="shared" si="19"/>
        <v>N</v>
      </c>
      <c r="AR43" s="53" t="str">
        <f t="shared" si="20"/>
        <v>N</v>
      </c>
      <c r="AS43" s="53" t="str">
        <f t="shared" si="21"/>
        <v>N</v>
      </c>
      <c r="AT43" s="54" t="str">
        <f>IF('CO-PO Mapping'!O$2, IF(OR($AN43="-",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Mapping'!O$6, IF(OR($AR43="-",SUM(IF('CO-PO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Mapping'!O$7, IF(OR($AS43="-",SUM(IF('CO-PO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3" s="54" t="str">
        <f>IF('CO-PO Mapping'!P$2, IF(OR($AN43="-",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Mapping'!P$6, IF(OR($AR43="-",SUM(IF('CO-PO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Mapping'!P$7, IF(OR($AS43="-",SUM(IF('CO-PO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3" s="54" t="str">
        <f>IF('CO-PO Mapping'!Q$2, IF(OR($AN43="-",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Mapping'!Q$6, IF(OR($AR43="-",SUM(IF('CO-PO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Mapping'!Q$7, IF(OR($AS43="-",SUM(IF('CO-PO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3" s="54" t="str">
        <f>IF('CO-PO Mapping'!R$2, IF(OR($AN43="-",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Mapping'!R$6, IF(OR($AR43="-",SUM(IF('CO-PO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Mapping'!R$7, IF(OR($AS43="-",SUM(IF('CO-PO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3" s="54" t="str">
        <f>IF('CO-PO Mapping'!S$2, IF(OR($AN43="-",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Mapping'!S$6, IF(OR($AR43="-",SUM(IF('CO-PO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Mapping'!S$7, IF(OR($AS43="-",SUM(IF('CO-PO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3" s="54" t="str">
        <f>IF('CO-PO Mapping'!T$2, IF(OR($AN43="-",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Mapping'!T$6, IF(OR($AR43="-",SUM(IF('CO-PO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Mapping'!T$7, IF(OR($AS43="-",SUM(IF('CO-PO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3" s="54" t="str">
        <f>IF('CO-PO Mapping'!U$2, IF(OR($AN43="-",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Mapping'!U$6, IF(OR($AR43="-",SUM(IF('CO-PO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Mapping'!U$7, IF(OR($AS43="-",SUM(IF('CO-PO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3" s="54" t="str">
        <f>IF('CO-PO Mapping'!V$2, IF(OR($AN43="-",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Mapping'!V$6, IF(OR($AR43="-",SUM(IF('CO-PO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Mapping'!V$7, IF(OR($AS43="-",SUM(IF('CO-PO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3" s="54" t="str">
        <f>IF('CO-PO Mapping'!W$2, IF(OR($AN43="-",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Mapping'!W$6, IF(OR($AR43="-",SUM(IF('CO-PO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Mapping'!W$7, IF(OR($AS43="-",SUM(IF('CO-PO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3" s="54" t="str">
        <f>IF('CO-PO Mapping'!X$2, IF(OR($AN43="-",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Mapping'!X$6, IF(OR($AR43="-",SUM(IF('CO-PO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Mapping'!X$7, IF(OR($AS43="-",SUM(IF('CO-PO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3" s="54" t="str">
        <f>IF('CO-PO Mapping'!Y$2, IF(OR($AN43="-",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Mapping'!Y$6, IF(OR($AR43="-",SUM(IF('CO-PO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Mapping'!Y$7, IF(OR($AS43="-",SUM(IF('CO-PO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3" s="54" t="str">
        <f>IF('CO-PO Mapping'!Z$2, IF(OR($AN43="-",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Mapping'!Z$6, IF(OR($AR43="-",SUM(IF('CO-PO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Mapping'!Z$7, IF(OR($AS43="-",SUM(IF('CO-PO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4" spans="1:57" ht="16.5" customHeight="1" x14ac:dyDescent="0.2">
      <c r="A44" s="94">
        <v>20261103143</v>
      </c>
      <c r="B44" s="95" t="s">
        <v>165</v>
      </c>
      <c r="C44" s="96">
        <v>4</v>
      </c>
      <c r="D44" s="59"/>
      <c r="E44" s="96">
        <v>11</v>
      </c>
      <c r="F44" s="96">
        <v>6</v>
      </c>
      <c r="G44" s="59"/>
      <c r="H44" s="46">
        <f t="shared" si="2"/>
        <v>21</v>
      </c>
      <c r="I44" s="59"/>
      <c r="J44" s="59"/>
      <c r="K44" s="59"/>
      <c r="L44" s="59"/>
      <c r="M44" s="59"/>
      <c r="N44" s="59"/>
      <c r="O44" s="47">
        <f t="shared" si="3"/>
        <v>0</v>
      </c>
      <c r="P44" s="59"/>
      <c r="Q44" s="59"/>
      <c r="R44" s="59"/>
      <c r="S44" s="59"/>
      <c r="T44" s="59"/>
      <c r="U44" s="59"/>
      <c r="V44" s="48">
        <f t="shared" si="4"/>
        <v>0</v>
      </c>
      <c r="W44" s="49">
        <f t="shared" si="5"/>
        <v>21</v>
      </c>
      <c r="X44" s="50" t="str">
        <f>IF(ISNUMBER(W44),IF(A44&lt;&gt;"",IF(W44&gt;=80,"A (Plus)",IF(W44&gt;=75,"A",IF(W44&gt;=70,"A (Minus)",IF(W44&gt;=65,"B (Plus)",IF(W44&gt;=60,"B",IF(W44&gt;=55,"B (Minus)",IF(W44&gt;=50,"C (Plus)",IF(W44&gt;=45,"C",IF(W44&gt;=40,"D","F (Fail)"))))))))),"-"),IF(O44="A","F (Fail)",IF(V44="A","Incomplete","Error")))</f>
        <v>F (Fail)</v>
      </c>
      <c r="Y44" s="64"/>
      <c r="Z44" s="51">
        <f t="shared" si="6"/>
        <v>20261103143</v>
      </c>
      <c r="AA44" s="51" t="str">
        <f t="shared" si="7"/>
        <v>Ayesha Rahman</v>
      </c>
      <c r="AB44" s="45">
        <f t="shared" si="11"/>
        <v>0</v>
      </c>
      <c r="AC44" s="45">
        <f t="shared" si="8"/>
        <v>11</v>
      </c>
      <c r="AD44" s="45">
        <f t="shared" si="8"/>
        <v>10</v>
      </c>
      <c r="AE44" s="45">
        <f t="shared" si="8"/>
        <v>0</v>
      </c>
      <c r="AF44" s="45">
        <f t="shared" si="8"/>
        <v>0</v>
      </c>
      <c r="AG44" s="45">
        <f t="shared" si="8"/>
        <v>0</v>
      </c>
      <c r="AH44" s="52">
        <f t="shared" si="12"/>
        <v>0</v>
      </c>
      <c r="AI44" s="52">
        <f t="shared" si="13"/>
        <v>20</v>
      </c>
      <c r="AJ44" s="52">
        <f t="shared" si="14"/>
        <v>66.666666666666671</v>
      </c>
      <c r="AK44" s="52">
        <f t="shared" si="22"/>
        <v>0</v>
      </c>
      <c r="AL44" s="52">
        <f t="shared" si="15"/>
        <v>0</v>
      </c>
      <c r="AM44" s="52">
        <f t="shared" si="16"/>
        <v>0</v>
      </c>
      <c r="AN44" s="53" t="str">
        <f t="shared" si="23"/>
        <v>N</v>
      </c>
      <c r="AO44" s="53" t="str">
        <f t="shared" si="17"/>
        <v>N</v>
      </c>
      <c r="AP44" s="53" t="str">
        <f t="shared" si="18"/>
        <v>Y</v>
      </c>
      <c r="AQ44" s="53" t="str">
        <f t="shared" si="19"/>
        <v>N</v>
      </c>
      <c r="AR44" s="53" t="str">
        <f t="shared" si="20"/>
        <v>N</v>
      </c>
      <c r="AS44" s="53" t="str">
        <f t="shared" si="21"/>
        <v>N</v>
      </c>
      <c r="AT44" s="54" t="str">
        <f>IF('CO-PO Mapping'!O$2, IF(OR($AN44="-",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Mapping'!O$6, IF(OR($AR44="-",SUM(IF('CO-PO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Mapping'!O$7, IF(OR($AS44="-",SUM(IF('CO-PO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4" s="54" t="str">
        <f>IF('CO-PO Mapping'!P$2, IF(OR($AN44="-",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Mapping'!P$6, IF(OR($AR44="-",SUM(IF('CO-PO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Mapping'!P$7, IF(OR($AS44="-",SUM(IF('CO-PO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4" s="54" t="str">
        <f>IF('CO-PO Mapping'!Q$2, IF(OR($AN44="-",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Mapping'!Q$6, IF(OR($AR44="-",SUM(IF('CO-PO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Mapping'!Q$7, IF(OR($AS44="-",SUM(IF('CO-PO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4" s="54" t="str">
        <f>IF('CO-PO Mapping'!R$2, IF(OR($AN44="-",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Mapping'!R$6, IF(OR($AR44="-",SUM(IF('CO-PO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Mapping'!R$7, IF(OR($AS44="-",SUM(IF('CO-PO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4" s="54" t="str">
        <f>IF('CO-PO Mapping'!S$2, IF(OR($AN44="-",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Mapping'!S$6, IF(OR($AR44="-",SUM(IF('CO-PO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Mapping'!S$7, IF(OR($AS44="-",SUM(IF('CO-PO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4" s="54" t="str">
        <f>IF('CO-PO Mapping'!T$2, IF(OR($AN44="-",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Mapping'!T$6, IF(OR($AR44="-",SUM(IF('CO-PO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Mapping'!T$7, IF(OR($AS44="-",SUM(IF('CO-PO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4" s="54" t="str">
        <f>IF('CO-PO Mapping'!U$2, IF(OR($AN44="-",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Mapping'!U$6, IF(OR($AR44="-",SUM(IF('CO-PO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Mapping'!U$7, IF(OR($AS44="-",SUM(IF('CO-PO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4" s="54" t="str">
        <f>IF('CO-PO Mapping'!V$2, IF(OR($AN44="-",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Mapping'!V$6, IF(OR($AR44="-",SUM(IF('CO-PO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Mapping'!V$7, IF(OR($AS44="-",SUM(IF('CO-PO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4" s="54" t="str">
        <f>IF('CO-PO Mapping'!W$2, IF(OR($AN44="-",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Mapping'!W$6, IF(OR($AR44="-",SUM(IF('CO-PO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Mapping'!W$7, IF(OR($AS44="-",SUM(IF('CO-PO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4" s="54" t="str">
        <f>IF('CO-PO Mapping'!X$2, IF(OR($AN44="-",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Mapping'!X$6, IF(OR($AR44="-",SUM(IF('CO-PO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Mapping'!X$7, IF(OR($AS44="-",SUM(IF('CO-PO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4" s="54" t="str">
        <f>IF('CO-PO Mapping'!Y$2, IF(OR($AN44="-",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Mapping'!Y$6, IF(OR($AR44="-",SUM(IF('CO-PO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Mapping'!Y$7, IF(OR($AS44="-",SUM(IF('CO-PO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4" s="54" t="str">
        <f>IF('CO-PO Mapping'!Z$2, IF(OR($AN44="-",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Mapping'!Z$6, IF(OR($AR44="-",SUM(IF('CO-PO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Mapping'!Z$7, IF(OR($AS44="-",SUM(IF('CO-PO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5" spans="1:57" ht="16.5" customHeight="1" x14ac:dyDescent="0.2">
      <c r="A45" s="94">
        <v>20261103147</v>
      </c>
      <c r="B45" s="97" t="s">
        <v>149</v>
      </c>
      <c r="C45" s="96">
        <v>5</v>
      </c>
      <c r="D45" s="59"/>
      <c r="E45" s="96">
        <v>10</v>
      </c>
      <c r="F45" s="96">
        <v>10</v>
      </c>
      <c r="G45" s="59"/>
      <c r="H45" s="46">
        <f t="shared" si="2"/>
        <v>25</v>
      </c>
      <c r="I45" s="59"/>
      <c r="J45" s="59"/>
      <c r="K45" s="59"/>
      <c r="L45" s="59"/>
      <c r="M45" s="59"/>
      <c r="N45" s="59"/>
      <c r="O45" s="47">
        <f t="shared" si="3"/>
        <v>0</v>
      </c>
      <c r="P45" s="59"/>
      <c r="Q45" s="59"/>
      <c r="R45" s="59"/>
      <c r="S45" s="59"/>
      <c r="T45" s="59"/>
      <c r="U45" s="59"/>
      <c r="V45" s="48">
        <f t="shared" si="4"/>
        <v>0</v>
      </c>
      <c r="W45" s="49">
        <f t="shared" si="5"/>
        <v>25</v>
      </c>
      <c r="X45" s="50" t="str">
        <f t="shared" ref="X45" si="24">IF(ISNUMBER(W45),IF(A45&lt;&gt;"",IF(W45&gt;=80,"A (Plus)",IF(W45&gt;=75,"A",IF(W45&gt;=70,"A (Minus)",IF(W45&gt;=65,"B (Plus)",IF(W45&gt;=60,"B",IF(W45&gt;=55,"B (Minus)",IF(W45&gt;=50,"C (Plus)",IF(W45&gt;=45,"C",IF(W45&gt;=40,"D","F (Fail)"))))))))),"-"),IF(O45="A","F (Fail)",IF(V45="A","Incomplete","Error")))</f>
        <v>F (Fail)</v>
      </c>
      <c r="Y45" s="64"/>
      <c r="Z45" s="51">
        <f t="shared" si="6"/>
        <v>20261103147</v>
      </c>
      <c r="AA45" s="51" t="str">
        <f t="shared" si="7"/>
        <v>Anisha</v>
      </c>
      <c r="AB45" s="45">
        <f t="shared" si="11"/>
        <v>0</v>
      </c>
      <c r="AC45" s="45">
        <f t="shared" si="8"/>
        <v>10</v>
      </c>
      <c r="AD45" s="45">
        <f t="shared" si="8"/>
        <v>15</v>
      </c>
      <c r="AE45" s="45">
        <f t="shared" si="8"/>
        <v>0</v>
      </c>
      <c r="AF45" s="45">
        <f t="shared" si="8"/>
        <v>0</v>
      </c>
      <c r="AG45" s="45">
        <f t="shared" si="8"/>
        <v>0</v>
      </c>
      <c r="AH45" s="52">
        <f t="shared" si="12"/>
        <v>0</v>
      </c>
      <c r="AI45" s="52">
        <f t="shared" si="13"/>
        <v>18.181818181818183</v>
      </c>
      <c r="AJ45" s="52">
        <f t="shared" si="14"/>
        <v>100</v>
      </c>
      <c r="AK45" s="52">
        <f t="shared" si="22"/>
        <v>0</v>
      </c>
      <c r="AL45" s="52">
        <f t="shared" si="15"/>
        <v>0</v>
      </c>
      <c r="AM45" s="52">
        <f t="shared" si="16"/>
        <v>0</v>
      </c>
      <c r="AN45" s="53" t="str">
        <f t="shared" si="23"/>
        <v>N</v>
      </c>
      <c r="AO45" s="53" t="str">
        <f t="shared" si="17"/>
        <v>N</v>
      </c>
      <c r="AP45" s="53" t="str">
        <f t="shared" si="18"/>
        <v>Y</v>
      </c>
      <c r="AQ45" s="53" t="str">
        <f t="shared" si="19"/>
        <v>N</v>
      </c>
      <c r="AR45" s="53" t="str">
        <f t="shared" si="20"/>
        <v>N</v>
      </c>
      <c r="AS45" s="53" t="str">
        <f t="shared" si="21"/>
        <v>N</v>
      </c>
      <c r="AT45" s="54" t="str">
        <f>IF('CO-PO Mapping'!O$2, IF(OR($AN45="-",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Mapping'!O$6, IF(OR($AR45="-",SUM(IF('CO-PO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Mapping'!O$7, IF(OR($AS45="-",SUM(IF('CO-PO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5" s="54" t="str">
        <f>IF('CO-PO Mapping'!P$2, IF(OR($AN45="-",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Mapping'!P$6, IF(OR($AR45="-",SUM(IF('CO-PO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Mapping'!P$7, IF(OR($AS45="-",SUM(IF('CO-PO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5" s="54" t="str">
        <f>IF('CO-PO Mapping'!Q$2, IF(OR($AN45="-",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Mapping'!Q$6, IF(OR($AR45="-",SUM(IF('CO-PO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Mapping'!Q$7, IF(OR($AS45="-",SUM(IF('CO-PO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5" s="54" t="str">
        <f>IF('CO-PO Mapping'!R$2, IF(OR($AN45="-",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Mapping'!R$6, IF(OR($AR45="-",SUM(IF('CO-PO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Mapping'!R$7, IF(OR($AS45="-",SUM(IF('CO-PO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5" s="54" t="str">
        <f>IF('CO-PO Mapping'!S$2, IF(OR($AN45="-",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Mapping'!S$6, IF(OR($AR45="-",SUM(IF('CO-PO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Mapping'!S$7, IF(OR($AS45="-",SUM(IF('CO-PO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5" s="54" t="str">
        <f>IF('CO-PO Mapping'!T$2, IF(OR($AN45="-",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Mapping'!T$6, IF(OR($AR45="-",SUM(IF('CO-PO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Mapping'!T$7, IF(OR($AS45="-",SUM(IF('CO-PO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5" s="54" t="str">
        <f>IF('CO-PO Mapping'!U$2, IF(OR($AN45="-",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Mapping'!U$6, IF(OR($AR45="-",SUM(IF('CO-PO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Mapping'!U$7, IF(OR($AS45="-",SUM(IF('CO-PO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5" s="54" t="str">
        <f>IF('CO-PO Mapping'!V$2, IF(OR($AN45="-",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Mapping'!V$6, IF(OR($AR45="-",SUM(IF('CO-PO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Mapping'!V$7, IF(OR($AS45="-",SUM(IF('CO-PO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5" s="54" t="str">
        <f>IF('CO-PO Mapping'!W$2, IF(OR($AN45="-",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Mapping'!W$6, IF(OR($AR45="-",SUM(IF('CO-PO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Mapping'!W$7, IF(OR($AS45="-",SUM(IF('CO-PO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5" s="54" t="str">
        <f>IF('CO-PO Mapping'!X$2, IF(OR($AN45="-",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Mapping'!X$6, IF(OR($AR45="-",SUM(IF('CO-PO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Mapping'!X$7, IF(OR($AS45="-",SUM(IF('CO-PO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5" s="54" t="str">
        <f>IF('CO-PO Mapping'!Y$2, IF(OR($AN45="-",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Mapping'!Y$6, IF(OR($AR45="-",SUM(IF('CO-PO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Mapping'!Y$7, IF(OR($AS45="-",SUM(IF('CO-PO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5" s="54" t="str">
        <f>IF('CO-PO Mapping'!Z$2, IF(OR($AN45="-",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Mapping'!Z$6, IF(OR($AR45="-",SUM(IF('CO-PO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Mapping'!Z$7, IF(OR($AS45="-",SUM(IF('CO-PO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6" spans="1:57" ht="15" customHeight="1" x14ac:dyDescent="0.2">
      <c r="A46" s="94">
        <v>20261103149</v>
      </c>
      <c r="B46" s="95" t="s">
        <v>166</v>
      </c>
      <c r="C46" s="96">
        <v>4</v>
      </c>
      <c r="D46" s="60"/>
      <c r="E46" s="96">
        <v>14.5</v>
      </c>
      <c r="F46" s="96">
        <v>9.5</v>
      </c>
      <c r="G46" s="61"/>
      <c r="H46" s="46">
        <f t="shared" si="2"/>
        <v>28</v>
      </c>
      <c r="I46" s="59"/>
      <c r="J46" s="59"/>
      <c r="K46" s="59"/>
      <c r="L46" s="59"/>
      <c r="M46" s="59"/>
      <c r="N46" s="59"/>
      <c r="O46" s="47">
        <f t="shared" si="3"/>
        <v>0</v>
      </c>
      <c r="P46" s="59"/>
      <c r="Q46" s="59"/>
      <c r="R46" s="59"/>
      <c r="S46" s="59"/>
      <c r="T46" s="59"/>
      <c r="U46" s="59"/>
      <c r="V46" s="48">
        <f t="shared" si="4"/>
        <v>0</v>
      </c>
      <c r="W46" s="49">
        <f t="shared" si="5"/>
        <v>28</v>
      </c>
      <c r="X46" s="50" t="str">
        <f>IF(ISNUMBER(W46),IF(A46&lt;&gt;"",IF(W46&gt;=80,"A (Plus)",IF(W46&gt;=75,"A",IF(W46&gt;=70,"A (Minus)",IF(W46&gt;=65,"B (Plus)",IF(W46&gt;=60,"B",IF(W46&gt;=55,"B (Minus)",IF(W46&gt;=50,"C (Plus)",IF(W46&gt;=45,"C",IF(W46&gt;=40,"D","F (Fail)"))))))))),"-"),IF(O46="A","F (Fail)",IF(V46="A","Incomplete","Error")))</f>
        <v>F (Fail)</v>
      </c>
      <c r="Y46" s="98"/>
      <c r="Z46" s="51">
        <f t="shared" si="6"/>
        <v>20261103149</v>
      </c>
      <c r="AA46" s="51" t="str">
        <f t="shared" si="7"/>
        <v>Tasnim Sultana Barsha</v>
      </c>
      <c r="AB46" s="45">
        <f t="shared" si="11"/>
        <v>0</v>
      </c>
      <c r="AC46" s="45">
        <f t="shared" si="11"/>
        <v>14.5</v>
      </c>
      <c r="AD46" s="45">
        <f t="shared" si="11"/>
        <v>13.5</v>
      </c>
      <c r="AE46" s="45">
        <f t="shared" si="11"/>
        <v>0</v>
      </c>
      <c r="AF46" s="45">
        <f t="shared" si="11"/>
        <v>0</v>
      </c>
      <c r="AG46" s="45">
        <f t="shared" ref="AG46:AG100" si="25">IF($W46="Absent",0,SUMIF($C$28:$U$28,SUBSTITUTE(SUBSTITUTE(AG$28,"[",""),"]",""),$C46:$U46))</f>
        <v>0</v>
      </c>
      <c r="AH46" s="52">
        <f t="shared" si="12"/>
        <v>0</v>
      </c>
      <c r="AI46" s="52">
        <f t="shared" si="13"/>
        <v>26.363636363636363</v>
      </c>
      <c r="AJ46" s="52">
        <f t="shared" si="14"/>
        <v>90</v>
      </c>
      <c r="AK46" s="52">
        <f t="shared" si="22"/>
        <v>0</v>
      </c>
      <c r="AL46" s="52">
        <f t="shared" si="15"/>
        <v>0</v>
      </c>
      <c r="AM46" s="52">
        <f>IF($AG$29=0,0,AG46*100/$AG$29)</f>
        <v>0</v>
      </c>
      <c r="AN46" s="53" t="str">
        <f t="shared" si="23"/>
        <v>N</v>
      </c>
      <c r="AO46" s="53" t="str">
        <f t="shared" si="17"/>
        <v>N</v>
      </c>
      <c r="AP46" s="53" t="str">
        <f t="shared" si="18"/>
        <v>Y</v>
      </c>
      <c r="AQ46" s="53" t="str">
        <f t="shared" si="19"/>
        <v>N</v>
      </c>
      <c r="AR46" s="53" t="str">
        <f t="shared" si="20"/>
        <v>N</v>
      </c>
      <c r="AS46" s="53" t="str">
        <f t="shared" si="21"/>
        <v>N</v>
      </c>
      <c r="AT46" s="54" t="str">
        <f>IF('CO-PO Mapping'!O$2, IF(OR($AN46="-",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Mapping'!O$6, IF(OR($AR46="-",SUM(IF('CO-PO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Mapping'!O$7, IF(OR($AS46="-",SUM(IF('CO-PO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6" s="54" t="str">
        <f>IF('CO-PO Mapping'!P$2, IF(OR($AN46="-",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Mapping'!P$6, IF(OR($AR46="-",SUM(IF('CO-PO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Mapping'!P$7, IF(OR($AS46="-",SUM(IF('CO-PO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6" s="54" t="str">
        <f>IF('CO-PO Mapping'!Q$2, IF(OR($AN46="-",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Mapping'!Q$6, IF(OR($AR46="-",SUM(IF('CO-PO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Mapping'!Q$7, IF(OR($AS46="-",SUM(IF('CO-PO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6" s="54" t="str">
        <f>IF('CO-PO Mapping'!R$2, IF(OR($AN46="-",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Mapping'!R$6, IF(OR($AR46="-",SUM(IF('CO-PO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Mapping'!R$7, IF(OR($AS46="-",SUM(IF('CO-PO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6" s="54" t="str">
        <f>IF('CO-PO Mapping'!S$2, IF(OR($AN46="-",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Mapping'!S$6, IF(OR($AR46="-",SUM(IF('CO-PO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Mapping'!S$7, IF(OR($AS46="-",SUM(IF('CO-PO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6" s="54" t="str">
        <f>IF('CO-PO Mapping'!T$2, IF(OR($AN46="-",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Mapping'!T$6, IF(OR($AR46="-",SUM(IF('CO-PO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Mapping'!T$7, IF(OR($AS46="-",SUM(IF('CO-PO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6" s="54" t="str">
        <f>IF('CO-PO Mapping'!U$2, IF(OR($AN46="-",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Mapping'!U$6, IF(OR($AR46="-",SUM(IF('CO-PO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Mapping'!U$7, IF(OR($AS46="-",SUM(IF('CO-PO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6" s="54" t="str">
        <f>IF('CO-PO Mapping'!V$2, IF(OR($AN46="-",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Mapping'!V$6, IF(OR($AR46="-",SUM(IF('CO-PO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Mapping'!V$7, IF(OR($AS46="-",SUM(IF('CO-PO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6" s="54" t="str">
        <f>IF('CO-PO Mapping'!W$2, IF(OR($AN46="-",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Mapping'!W$6, IF(OR($AR46="-",SUM(IF('CO-PO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Mapping'!W$7, IF(OR($AS46="-",SUM(IF('CO-PO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6" s="54" t="str">
        <f>IF('CO-PO Mapping'!X$2, IF(OR($AN46="-",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Mapping'!X$6, IF(OR($AR46="-",SUM(IF('CO-PO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Mapping'!X$7, IF(OR($AS46="-",SUM(IF('CO-PO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6" s="54" t="str">
        <f>IF('CO-PO Mapping'!Y$2, IF(OR($AN46="-",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Mapping'!Y$6, IF(OR($AR46="-",SUM(IF('CO-PO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Mapping'!Y$7, IF(OR($AS46="-",SUM(IF('CO-PO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6" s="54" t="str">
        <f>IF('CO-PO Mapping'!Z$2, IF(OR($AN46="-",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Mapping'!Z$6, IF(OR($AR46="-",SUM(IF('CO-PO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Mapping'!Z$7, IF(OR($AS46="-",SUM(IF('CO-PO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7" spans="1:57" ht="15" customHeight="1" x14ac:dyDescent="0.2">
      <c r="A47" s="94">
        <v>20261103150</v>
      </c>
      <c r="B47" s="95" t="s">
        <v>167</v>
      </c>
      <c r="C47" s="96">
        <v>5</v>
      </c>
      <c r="D47" s="61"/>
      <c r="E47" s="96">
        <v>9.5</v>
      </c>
      <c r="F47" s="96">
        <v>9.5</v>
      </c>
      <c r="G47" s="61"/>
      <c r="H47" s="46">
        <f t="shared" si="2"/>
        <v>24</v>
      </c>
      <c r="I47" s="59"/>
      <c r="J47" s="59"/>
      <c r="K47" s="59"/>
      <c r="L47" s="59"/>
      <c r="M47" s="59"/>
      <c r="N47" s="59"/>
      <c r="O47" s="47">
        <f t="shared" si="3"/>
        <v>0</v>
      </c>
      <c r="P47" s="59"/>
      <c r="Q47" s="59"/>
      <c r="R47" s="59"/>
      <c r="S47" s="59"/>
      <c r="T47" s="59"/>
      <c r="U47" s="59"/>
      <c r="V47" s="48">
        <f t="shared" si="4"/>
        <v>0</v>
      </c>
      <c r="W47" s="49">
        <f t="shared" si="5"/>
        <v>24</v>
      </c>
      <c r="X47" s="50" t="str">
        <f t="shared" si="10"/>
        <v>F (Fail)</v>
      </c>
      <c r="Y47" s="98"/>
      <c r="Z47" s="51">
        <f t="shared" si="6"/>
        <v>20261103150</v>
      </c>
      <c r="AA47" s="51" t="str">
        <f t="shared" si="7"/>
        <v>Md Tarek Hossen</v>
      </c>
      <c r="AB47" s="45">
        <f t="shared" si="11"/>
        <v>0</v>
      </c>
      <c r="AC47" s="45">
        <f t="shared" si="11"/>
        <v>9.5</v>
      </c>
      <c r="AD47" s="45">
        <f t="shared" si="11"/>
        <v>14.5</v>
      </c>
      <c r="AE47" s="45">
        <f t="shared" si="11"/>
        <v>0</v>
      </c>
      <c r="AF47" s="45">
        <f t="shared" si="11"/>
        <v>0</v>
      </c>
      <c r="AG47" s="45">
        <f t="shared" si="25"/>
        <v>0</v>
      </c>
      <c r="AH47" s="52">
        <f t="shared" si="12"/>
        <v>0</v>
      </c>
      <c r="AI47" s="52">
        <f t="shared" si="13"/>
        <v>17.272727272727273</v>
      </c>
      <c r="AJ47" s="52">
        <f t="shared" si="14"/>
        <v>96.666666666666671</v>
      </c>
      <c r="AK47" s="52">
        <f t="shared" si="22"/>
        <v>0</v>
      </c>
      <c r="AL47" s="52">
        <f t="shared" si="15"/>
        <v>0</v>
      </c>
      <c r="AM47" s="52">
        <f t="shared" si="16"/>
        <v>0</v>
      </c>
      <c r="AN47" s="53" t="str">
        <f t="shared" si="23"/>
        <v>N</v>
      </c>
      <c r="AO47" s="53" t="str">
        <f t="shared" si="17"/>
        <v>N</v>
      </c>
      <c r="AP47" s="53" t="str">
        <f t="shared" si="18"/>
        <v>Y</v>
      </c>
      <c r="AQ47" s="53" t="str">
        <f t="shared" si="19"/>
        <v>N</v>
      </c>
      <c r="AR47" s="53" t="str">
        <f t="shared" si="20"/>
        <v>N</v>
      </c>
      <c r="AS47" s="53" t="str">
        <f t="shared" si="21"/>
        <v>N</v>
      </c>
      <c r="AT47" s="54" t="str">
        <f>IF('CO-PO Mapping'!O$2, IF(OR($AN47="-",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Mapping'!O$6, IF(OR($AR47="-",SUM(IF('CO-PO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Mapping'!O$7, IF(OR($AS47="-",SUM(IF('CO-PO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7" s="54" t="str">
        <f>IF('CO-PO Mapping'!P$2, IF(OR($AN47="-",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Mapping'!P$6, IF(OR($AR47="-",SUM(IF('CO-PO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Mapping'!P$7, IF(OR($AS47="-",SUM(IF('CO-PO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7" s="54" t="str">
        <f>IF('CO-PO Mapping'!Q$2, IF(OR($AN47="-",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Mapping'!Q$6, IF(OR($AR47="-",SUM(IF('CO-PO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Mapping'!Q$7, IF(OR($AS47="-",SUM(IF('CO-PO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7" s="54" t="str">
        <f>IF('CO-PO Mapping'!R$2, IF(OR($AN47="-",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Mapping'!R$6, IF(OR($AR47="-",SUM(IF('CO-PO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Mapping'!R$7, IF(OR($AS47="-",SUM(IF('CO-PO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7" s="54" t="str">
        <f>IF('CO-PO Mapping'!S$2, IF(OR($AN47="-",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Mapping'!S$6, IF(OR($AR47="-",SUM(IF('CO-PO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Mapping'!S$7, IF(OR($AS47="-",SUM(IF('CO-PO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7" s="54" t="str">
        <f>IF('CO-PO Mapping'!T$2, IF(OR($AN47="-",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Mapping'!T$6, IF(OR($AR47="-",SUM(IF('CO-PO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Mapping'!T$7, IF(OR($AS47="-",SUM(IF('CO-PO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7" s="54" t="str">
        <f>IF('CO-PO Mapping'!U$2, IF(OR($AN47="-",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Mapping'!U$6, IF(OR($AR47="-",SUM(IF('CO-PO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Mapping'!U$7, IF(OR($AS47="-",SUM(IF('CO-PO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7" s="54" t="str">
        <f>IF('CO-PO Mapping'!V$2, IF(OR($AN47="-",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Mapping'!V$6, IF(OR($AR47="-",SUM(IF('CO-PO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Mapping'!V$7, IF(OR($AS47="-",SUM(IF('CO-PO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7" s="54" t="str">
        <f>IF('CO-PO Mapping'!W$2, IF(OR($AN47="-",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Mapping'!W$6, IF(OR($AR47="-",SUM(IF('CO-PO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Mapping'!W$7, IF(OR($AS47="-",SUM(IF('CO-PO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7" s="54" t="str">
        <f>IF('CO-PO Mapping'!X$2, IF(OR($AN47="-",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Mapping'!X$6, IF(OR($AR47="-",SUM(IF('CO-PO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Mapping'!X$7, IF(OR($AS47="-",SUM(IF('CO-PO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7" s="54" t="str">
        <f>IF('CO-PO Mapping'!Y$2, IF(OR($AN47="-",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Mapping'!Y$6, IF(OR($AR47="-",SUM(IF('CO-PO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Mapping'!Y$7, IF(OR($AS47="-",SUM(IF('CO-PO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7" s="54" t="str">
        <f>IF('CO-PO Mapping'!Z$2, IF(OR($AN47="-",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Mapping'!Z$6, IF(OR($AR47="-",SUM(IF('CO-PO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Mapping'!Z$7, IF(OR($AS47="-",SUM(IF('CO-PO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8" spans="1:57" ht="15" customHeight="1" x14ac:dyDescent="0.2">
      <c r="A48" s="94">
        <v>20261103153</v>
      </c>
      <c r="B48" s="95" t="s">
        <v>168</v>
      </c>
      <c r="C48" s="96">
        <v>5</v>
      </c>
      <c r="D48" s="58"/>
      <c r="E48" s="96">
        <v>15</v>
      </c>
      <c r="F48" s="96">
        <v>10</v>
      </c>
      <c r="G48" s="58"/>
      <c r="H48" s="46">
        <f t="shared" si="2"/>
        <v>30</v>
      </c>
      <c r="I48" s="59"/>
      <c r="J48" s="59"/>
      <c r="K48" s="59"/>
      <c r="L48" s="59"/>
      <c r="M48" s="59"/>
      <c r="N48" s="59"/>
      <c r="O48" s="47">
        <f t="shared" si="3"/>
        <v>0</v>
      </c>
      <c r="P48" s="59"/>
      <c r="Q48" s="59"/>
      <c r="R48" s="59"/>
      <c r="S48" s="59"/>
      <c r="T48" s="59"/>
      <c r="U48" s="59"/>
      <c r="V48" s="48">
        <f t="shared" si="4"/>
        <v>0</v>
      </c>
      <c r="W48" s="49">
        <f t="shared" si="5"/>
        <v>30</v>
      </c>
      <c r="X48" s="50" t="str">
        <f t="shared" si="10"/>
        <v>F (Fail)</v>
      </c>
      <c r="Y48" s="98"/>
      <c r="Z48" s="51">
        <f t="shared" si="6"/>
        <v>20261103153</v>
      </c>
      <c r="AA48" s="51" t="str">
        <f t="shared" si="7"/>
        <v>Sabrina Khanom</v>
      </c>
      <c r="AB48" s="45">
        <f t="shared" si="11"/>
        <v>0</v>
      </c>
      <c r="AC48" s="45">
        <f t="shared" si="11"/>
        <v>15</v>
      </c>
      <c r="AD48" s="45">
        <f t="shared" si="11"/>
        <v>15</v>
      </c>
      <c r="AE48" s="45">
        <f t="shared" si="11"/>
        <v>0</v>
      </c>
      <c r="AF48" s="45">
        <f t="shared" si="11"/>
        <v>0</v>
      </c>
      <c r="AG48" s="45">
        <f t="shared" si="25"/>
        <v>0</v>
      </c>
      <c r="AH48" s="52">
        <f t="shared" si="12"/>
        <v>0</v>
      </c>
      <c r="AI48" s="52">
        <f t="shared" si="13"/>
        <v>27.272727272727273</v>
      </c>
      <c r="AJ48" s="52">
        <f t="shared" si="14"/>
        <v>100</v>
      </c>
      <c r="AK48" s="52">
        <f t="shared" si="22"/>
        <v>0</v>
      </c>
      <c r="AL48" s="52">
        <f t="shared" si="15"/>
        <v>0</v>
      </c>
      <c r="AM48" s="52">
        <f t="shared" si="16"/>
        <v>0</v>
      </c>
      <c r="AN48" s="53" t="str">
        <f t="shared" si="23"/>
        <v>N</v>
      </c>
      <c r="AO48" s="53" t="str">
        <f t="shared" si="17"/>
        <v>N</v>
      </c>
      <c r="AP48" s="53" t="str">
        <f t="shared" si="18"/>
        <v>Y</v>
      </c>
      <c r="AQ48" s="53" t="str">
        <f t="shared" si="19"/>
        <v>N</v>
      </c>
      <c r="AR48" s="53" t="str">
        <f t="shared" si="20"/>
        <v>N</v>
      </c>
      <c r="AS48" s="53" t="str">
        <f t="shared" si="21"/>
        <v>N</v>
      </c>
      <c r="AT48" s="54" t="str">
        <f>IF('CO-PO Mapping'!O$2, IF(OR($AN48="-",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Mapping'!O$6, IF(OR($AR48="-",SUM(IF('CO-PO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Mapping'!O$7, IF(OR($AS48="-",SUM(IF('CO-PO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8" s="54" t="str">
        <f>IF('CO-PO Mapping'!P$2, IF(OR($AN48="-",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Mapping'!P$6, IF(OR($AR48="-",SUM(IF('CO-PO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Mapping'!P$7, IF(OR($AS48="-",SUM(IF('CO-PO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8" s="54" t="str">
        <f>IF('CO-PO Mapping'!Q$2, IF(OR($AN48="-",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Mapping'!Q$6, IF(OR($AR48="-",SUM(IF('CO-PO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Mapping'!Q$7, IF(OR($AS48="-",SUM(IF('CO-PO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8" s="54" t="str">
        <f>IF('CO-PO Mapping'!R$2, IF(OR($AN48="-",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Mapping'!R$6, IF(OR($AR48="-",SUM(IF('CO-PO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Mapping'!R$7, IF(OR($AS48="-",SUM(IF('CO-PO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8" s="54" t="str">
        <f>IF('CO-PO Mapping'!S$2, IF(OR($AN48="-",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Mapping'!S$6, IF(OR($AR48="-",SUM(IF('CO-PO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Mapping'!S$7, IF(OR($AS48="-",SUM(IF('CO-PO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8" s="54" t="str">
        <f>IF('CO-PO Mapping'!T$2, IF(OR($AN48="-",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Mapping'!T$6, IF(OR($AR48="-",SUM(IF('CO-PO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Mapping'!T$7, IF(OR($AS48="-",SUM(IF('CO-PO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8" s="54" t="str">
        <f>IF('CO-PO Mapping'!U$2, IF(OR($AN48="-",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Mapping'!U$6, IF(OR($AR48="-",SUM(IF('CO-PO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Mapping'!U$7, IF(OR($AS48="-",SUM(IF('CO-PO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8" s="54" t="str">
        <f>IF('CO-PO Mapping'!V$2, IF(OR($AN48="-",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Mapping'!V$6, IF(OR($AR48="-",SUM(IF('CO-PO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Mapping'!V$7, IF(OR($AS48="-",SUM(IF('CO-PO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8" s="54" t="str">
        <f>IF('CO-PO Mapping'!W$2, IF(OR($AN48="-",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Mapping'!W$6, IF(OR($AR48="-",SUM(IF('CO-PO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Mapping'!W$7, IF(OR($AS48="-",SUM(IF('CO-PO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8" s="54" t="str">
        <f>IF('CO-PO Mapping'!X$2, IF(OR($AN48="-",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Mapping'!X$6, IF(OR($AR48="-",SUM(IF('CO-PO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Mapping'!X$7, IF(OR($AS48="-",SUM(IF('CO-PO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8" s="54" t="str">
        <f>IF('CO-PO Mapping'!Y$2, IF(OR($AN48="-",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Mapping'!Y$6, IF(OR($AR48="-",SUM(IF('CO-PO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Mapping'!Y$7, IF(OR($AS48="-",SUM(IF('CO-PO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8" s="54" t="str">
        <f>IF('CO-PO Mapping'!Z$2, IF(OR($AN48="-",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Mapping'!Z$6, IF(OR($AR48="-",SUM(IF('CO-PO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Mapping'!Z$7, IF(OR($AS48="-",SUM(IF('CO-PO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9" spans="1:57" ht="15" customHeight="1" x14ac:dyDescent="0.2">
      <c r="A49" s="94">
        <v>20261103155</v>
      </c>
      <c r="B49" s="95" t="s">
        <v>169</v>
      </c>
      <c r="C49" s="96">
        <v>3</v>
      </c>
      <c r="D49" s="60"/>
      <c r="E49" s="96">
        <v>13</v>
      </c>
      <c r="F49" s="96">
        <v>9</v>
      </c>
      <c r="G49" s="61"/>
      <c r="H49" s="46">
        <f t="shared" si="2"/>
        <v>25</v>
      </c>
      <c r="I49" s="59"/>
      <c r="J49" s="59"/>
      <c r="K49" s="59"/>
      <c r="L49" s="59"/>
      <c r="M49" s="59"/>
      <c r="N49" s="59"/>
      <c r="O49" s="47">
        <f t="shared" si="3"/>
        <v>0</v>
      </c>
      <c r="P49" s="55"/>
      <c r="Q49" s="55"/>
      <c r="R49" s="55"/>
      <c r="S49" s="55"/>
      <c r="T49" s="55"/>
      <c r="U49" s="55"/>
      <c r="V49" s="48">
        <f t="shared" si="4"/>
        <v>0</v>
      </c>
      <c r="W49" s="49">
        <f t="shared" si="5"/>
        <v>25</v>
      </c>
      <c r="X49" s="50" t="str">
        <f t="shared" si="10"/>
        <v>F (Fail)</v>
      </c>
      <c r="Y49" s="98"/>
      <c r="Z49" s="51">
        <f t="shared" si="6"/>
        <v>20261103155</v>
      </c>
      <c r="AA49" s="51" t="str">
        <f t="shared" si="7"/>
        <v>Sobarna Akter</v>
      </c>
      <c r="AB49" s="45">
        <f t="shared" si="11"/>
        <v>0</v>
      </c>
      <c r="AC49" s="45">
        <f t="shared" si="11"/>
        <v>13</v>
      </c>
      <c r="AD49" s="45">
        <f t="shared" si="11"/>
        <v>12</v>
      </c>
      <c r="AE49" s="45">
        <f t="shared" si="11"/>
        <v>0</v>
      </c>
      <c r="AF49" s="45">
        <f t="shared" si="11"/>
        <v>0</v>
      </c>
      <c r="AG49" s="45">
        <f t="shared" si="25"/>
        <v>0</v>
      </c>
      <c r="AH49" s="52">
        <f t="shared" si="12"/>
        <v>0</v>
      </c>
      <c r="AI49" s="52">
        <f t="shared" si="13"/>
        <v>23.636363636363637</v>
      </c>
      <c r="AJ49" s="52">
        <f t="shared" si="14"/>
        <v>80</v>
      </c>
      <c r="AK49" s="52">
        <f t="shared" si="22"/>
        <v>0</v>
      </c>
      <c r="AL49" s="52">
        <f t="shared" si="15"/>
        <v>0</v>
      </c>
      <c r="AM49" s="52">
        <f t="shared" si="16"/>
        <v>0</v>
      </c>
      <c r="AN49" s="53" t="str">
        <f t="shared" si="23"/>
        <v>N</v>
      </c>
      <c r="AO49" s="53" t="str">
        <f t="shared" si="17"/>
        <v>N</v>
      </c>
      <c r="AP49" s="53" t="str">
        <f t="shared" si="18"/>
        <v>Y</v>
      </c>
      <c r="AQ49" s="53" t="str">
        <f t="shared" si="19"/>
        <v>N</v>
      </c>
      <c r="AR49" s="53" t="str">
        <f t="shared" si="20"/>
        <v>N</v>
      </c>
      <c r="AS49" s="53" t="str">
        <f t="shared" si="21"/>
        <v>N</v>
      </c>
      <c r="AT49" s="54" t="str">
        <f>IF('CO-PO Mapping'!O$2, IF(OR($AN49="-",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Mapping'!O$6, IF(OR($AR49="-",SUM(IF('CO-PO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Mapping'!O$7, IF(OR($AS49="-",SUM(IF('CO-PO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49" s="54" t="str">
        <f>IF('CO-PO Mapping'!P$2, IF(OR($AN49="-",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Mapping'!P$6, IF(OR($AR49="-",SUM(IF('CO-PO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Mapping'!P$7, IF(OR($AS49="-",SUM(IF('CO-PO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9" s="54" t="str">
        <f>IF('CO-PO Mapping'!Q$2, IF(OR($AN49="-",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Mapping'!Q$6, IF(OR($AR49="-",SUM(IF('CO-PO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Mapping'!Q$7, IF(OR($AS49="-",SUM(IF('CO-PO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49" s="54" t="str">
        <f>IF('CO-PO Mapping'!R$2, IF(OR($AN49="-",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Mapping'!R$6, IF(OR($AR49="-",SUM(IF('CO-PO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Mapping'!R$7, IF(OR($AS49="-",SUM(IF('CO-PO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9" s="54" t="str">
        <f>IF('CO-PO Mapping'!S$2, IF(OR($AN49="-",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Mapping'!S$6, IF(OR($AR49="-",SUM(IF('CO-PO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Mapping'!S$7, IF(OR($AS49="-",SUM(IF('CO-PO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9" s="54" t="str">
        <f>IF('CO-PO Mapping'!T$2, IF(OR($AN49="-",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Mapping'!T$6, IF(OR($AR49="-",SUM(IF('CO-PO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Mapping'!T$7, IF(OR($AS49="-",SUM(IF('CO-PO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9" s="54" t="str">
        <f>IF('CO-PO Mapping'!U$2, IF(OR($AN49="-",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Mapping'!U$6, IF(OR($AR49="-",SUM(IF('CO-PO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Mapping'!U$7, IF(OR($AS49="-",SUM(IF('CO-PO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9" s="54" t="str">
        <f>IF('CO-PO Mapping'!V$2, IF(OR($AN49="-",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Mapping'!V$6, IF(OR($AR49="-",SUM(IF('CO-PO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Mapping'!V$7, IF(OR($AS49="-",SUM(IF('CO-PO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9" s="54" t="str">
        <f>IF('CO-PO Mapping'!W$2, IF(OR($AN49="-",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Mapping'!W$6, IF(OR($AR49="-",SUM(IF('CO-PO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Mapping'!W$7, IF(OR($AS49="-",SUM(IF('CO-PO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9" s="54" t="str">
        <f>IF('CO-PO Mapping'!X$2, IF(OR($AN49="-",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Mapping'!X$6, IF(OR($AR49="-",SUM(IF('CO-PO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Mapping'!X$7, IF(OR($AS49="-",SUM(IF('CO-PO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9" s="54" t="str">
        <f>IF('CO-PO Mapping'!Y$2, IF(OR($AN49="-",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Mapping'!Y$6, IF(OR($AR49="-",SUM(IF('CO-PO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Mapping'!Y$7, IF(OR($AS49="-",SUM(IF('CO-PO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9" s="54" t="str">
        <f>IF('CO-PO Mapping'!Z$2, IF(OR($AN49="-",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Mapping'!Z$6, IF(OR($AR49="-",SUM(IF('CO-PO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Mapping'!Z$7, IF(OR($AS49="-",SUM(IF('CO-PO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0" spans="1:57" ht="15" customHeight="1" x14ac:dyDescent="0.2">
      <c r="A50" s="94">
        <v>20261103156</v>
      </c>
      <c r="B50" s="95" t="s">
        <v>170</v>
      </c>
      <c r="C50" s="96">
        <v>5</v>
      </c>
      <c r="D50" s="61"/>
      <c r="E50" s="96">
        <v>15</v>
      </c>
      <c r="F50" s="96">
        <v>10</v>
      </c>
      <c r="G50" s="61"/>
      <c r="H50" s="46">
        <f t="shared" si="2"/>
        <v>30</v>
      </c>
      <c r="I50" s="59"/>
      <c r="J50" s="59"/>
      <c r="K50" s="59"/>
      <c r="L50" s="59"/>
      <c r="M50" s="59"/>
      <c r="N50" s="59"/>
      <c r="O50" s="47">
        <f t="shared" si="3"/>
        <v>0</v>
      </c>
      <c r="P50" s="59"/>
      <c r="Q50" s="59"/>
      <c r="R50" s="59"/>
      <c r="S50" s="59"/>
      <c r="T50" s="59"/>
      <c r="U50" s="59"/>
      <c r="V50" s="48">
        <f t="shared" si="4"/>
        <v>0</v>
      </c>
      <c r="W50" s="49">
        <f t="shared" si="5"/>
        <v>30</v>
      </c>
      <c r="X50" s="50" t="str">
        <f t="shared" si="10"/>
        <v>F (Fail)</v>
      </c>
      <c r="Y50" s="98"/>
      <c r="Z50" s="51">
        <f t="shared" si="6"/>
        <v>20261103156</v>
      </c>
      <c r="AA50" s="51" t="str">
        <f t="shared" si="7"/>
        <v>Md.   Nurullah Nahid</v>
      </c>
      <c r="AB50" s="45">
        <f t="shared" si="11"/>
        <v>0</v>
      </c>
      <c r="AC50" s="45">
        <f t="shared" si="11"/>
        <v>15</v>
      </c>
      <c r="AD50" s="45">
        <f t="shared" si="11"/>
        <v>15</v>
      </c>
      <c r="AE50" s="45">
        <f t="shared" si="11"/>
        <v>0</v>
      </c>
      <c r="AF50" s="45">
        <f t="shared" si="11"/>
        <v>0</v>
      </c>
      <c r="AG50" s="45">
        <f t="shared" si="25"/>
        <v>0</v>
      </c>
      <c r="AH50" s="52">
        <f t="shared" si="12"/>
        <v>0</v>
      </c>
      <c r="AI50" s="52">
        <f t="shared" si="13"/>
        <v>27.272727272727273</v>
      </c>
      <c r="AJ50" s="52">
        <f t="shared" si="14"/>
        <v>100</v>
      </c>
      <c r="AK50" s="52">
        <f t="shared" si="22"/>
        <v>0</v>
      </c>
      <c r="AL50" s="52">
        <f t="shared" si="15"/>
        <v>0</v>
      </c>
      <c r="AM50" s="52">
        <f t="shared" si="16"/>
        <v>0</v>
      </c>
      <c r="AN50" s="53" t="str">
        <f t="shared" si="23"/>
        <v>N</v>
      </c>
      <c r="AO50" s="53" t="str">
        <f t="shared" si="17"/>
        <v>N</v>
      </c>
      <c r="AP50" s="53" t="str">
        <f t="shared" si="18"/>
        <v>Y</v>
      </c>
      <c r="AQ50" s="53" t="str">
        <f t="shared" si="19"/>
        <v>N</v>
      </c>
      <c r="AR50" s="53" t="str">
        <f t="shared" si="20"/>
        <v>N</v>
      </c>
      <c r="AS50" s="53" t="str">
        <f t="shared" si="21"/>
        <v>N</v>
      </c>
      <c r="AT50" s="54" t="str">
        <f>IF('CO-PO Mapping'!O$2, IF(OR($AN50="-",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Mapping'!O$6, IF(OR($AR50="-",SUM(IF('CO-PO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Mapping'!O$7, IF(OR($AS50="-",SUM(IF('CO-PO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0" s="54" t="str">
        <f>IF('CO-PO Mapping'!P$2, IF(OR($AN50="-",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Mapping'!P$6, IF(OR($AR50="-",SUM(IF('CO-PO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Mapping'!P$7, IF(OR($AS50="-",SUM(IF('CO-PO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0" s="54" t="str">
        <f>IF('CO-PO Mapping'!Q$2, IF(OR($AN50="-",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Mapping'!Q$6, IF(OR($AR50="-",SUM(IF('CO-PO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Mapping'!Q$7, IF(OR($AS50="-",SUM(IF('CO-PO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0" s="54" t="str">
        <f>IF('CO-PO Mapping'!R$2, IF(OR($AN50="-",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Mapping'!R$6, IF(OR($AR50="-",SUM(IF('CO-PO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Mapping'!R$7, IF(OR($AS50="-",SUM(IF('CO-PO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0" s="54" t="str">
        <f>IF('CO-PO Mapping'!S$2, IF(OR($AN50="-",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Mapping'!S$6, IF(OR($AR50="-",SUM(IF('CO-PO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Mapping'!S$7, IF(OR($AS50="-",SUM(IF('CO-PO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0" s="54" t="str">
        <f>IF('CO-PO Mapping'!T$2, IF(OR($AN50="-",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Mapping'!T$6, IF(OR($AR50="-",SUM(IF('CO-PO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Mapping'!T$7, IF(OR($AS50="-",SUM(IF('CO-PO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0" s="54" t="str">
        <f>IF('CO-PO Mapping'!U$2, IF(OR($AN50="-",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Mapping'!U$6, IF(OR($AR50="-",SUM(IF('CO-PO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Mapping'!U$7, IF(OR($AS50="-",SUM(IF('CO-PO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0" s="54" t="str">
        <f>IF('CO-PO Mapping'!V$2, IF(OR($AN50="-",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Mapping'!V$6, IF(OR($AR50="-",SUM(IF('CO-PO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Mapping'!V$7, IF(OR($AS50="-",SUM(IF('CO-PO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0" s="54" t="str">
        <f>IF('CO-PO Mapping'!W$2, IF(OR($AN50="-",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Mapping'!W$6, IF(OR($AR50="-",SUM(IF('CO-PO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Mapping'!W$7, IF(OR($AS50="-",SUM(IF('CO-PO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0" s="54" t="str">
        <f>IF('CO-PO Mapping'!X$2, IF(OR($AN50="-",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Mapping'!X$6, IF(OR($AR50="-",SUM(IF('CO-PO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Mapping'!X$7, IF(OR($AS50="-",SUM(IF('CO-PO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0" s="54" t="str">
        <f>IF('CO-PO Mapping'!Y$2, IF(OR($AN50="-",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Mapping'!Y$6, IF(OR($AR50="-",SUM(IF('CO-PO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Mapping'!Y$7, IF(OR($AS50="-",SUM(IF('CO-PO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0" s="54" t="str">
        <f>IF('CO-PO Mapping'!Z$2, IF(OR($AN50="-",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Mapping'!Z$6, IF(OR($AR50="-",SUM(IF('CO-PO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Mapping'!Z$7, IF(OR($AS50="-",SUM(IF('CO-PO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1" spans="1:57" ht="15" customHeight="1" x14ac:dyDescent="0.2">
      <c r="A51" s="94">
        <v>20261103157</v>
      </c>
      <c r="B51" s="95" t="s">
        <v>171</v>
      </c>
      <c r="C51" s="96">
        <v>4</v>
      </c>
      <c r="D51" s="60"/>
      <c r="E51" s="96">
        <v>10</v>
      </c>
      <c r="F51" s="96">
        <v>10</v>
      </c>
      <c r="G51" s="61"/>
      <c r="H51" s="46">
        <f t="shared" si="2"/>
        <v>24</v>
      </c>
      <c r="I51" s="59"/>
      <c r="J51" s="59"/>
      <c r="K51" s="59"/>
      <c r="L51" s="59"/>
      <c r="M51" s="59"/>
      <c r="N51" s="59"/>
      <c r="O51" s="47">
        <f t="shared" si="3"/>
        <v>0</v>
      </c>
      <c r="P51" s="59"/>
      <c r="Q51" s="59"/>
      <c r="R51" s="59"/>
      <c r="S51" s="59"/>
      <c r="T51" s="59"/>
      <c r="U51" s="59"/>
      <c r="V51" s="48">
        <f t="shared" si="4"/>
        <v>0</v>
      </c>
      <c r="W51" s="49">
        <f t="shared" si="5"/>
        <v>24</v>
      </c>
      <c r="X51" s="50" t="str">
        <f t="shared" si="10"/>
        <v>F (Fail)</v>
      </c>
      <c r="Y51" s="98"/>
      <c r="Z51" s="51">
        <f t="shared" si="6"/>
        <v>20261103157</v>
      </c>
      <c r="AA51" s="51" t="str">
        <f t="shared" si="7"/>
        <v>Ahnaf Ahmed</v>
      </c>
      <c r="AB51" s="45">
        <f t="shared" si="11"/>
        <v>0</v>
      </c>
      <c r="AC51" s="45">
        <f t="shared" si="11"/>
        <v>10</v>
      </c>
      <c r="AD51" s="45">
        <f t="shared" si="11"/>
        <v>14</v>
      </c>
      <c r="AE51" s="45">
        <f t="shared" si="11"/>
        <v>0</v>
      </c>
      <c r="AF51" s="45">
        <f t="shared" si="11"/>
        <v>0</v>
      </c>
      <c r="AG51" s="45">
        <f t="shared" si="25"/>
        <v>0</v>
      </c>
      <c r="AH51" s="52">
        <f t="shared" si="12"/>
        <v>0</v>
      </c>
      <c r="AI51" s="52">
        <f t="shared" si="13"/>
        <v>18.181818181818183</v>
      </c>
      <c r="AJ51" s="52">
        <f t="shared" si="14"/>
        <v>93.333333333333329</v>
      </c>
      <c r="AK51" s="52">
        <f t="shared" si="22"/>
        <v>0</v>
      </c>
      <c r="AL51" s="52">
        <f t="shared" si="15"/>
        <v>0</v>
      </c>
      <c r="AM51" s="52">
        <f t="shared" si="16"/>
        <v>0</v>
      </c>
      <c r="AN51" s="53" t="str">
        <f t="shared" si="23"/>
        <v>N</v>
      </c>
      <c r="AO51" s="53" t="str">
        <f t="shared" si="17"/>
        <v>N</v>
      </c>
      <c r="AP51" s="53" t="str">
        <f t="shared" si="18"/>
        <v>Y</v>
      </c>
      <c r="AQ51" s="53" t="str">
        <f t="shared" si="19"/>
        <v>N</v>
      </c>
      <c r="AR51" s="53" t="str">
        <f t="shared" si="20"/>
        <v>N</v>
      </c>
      <c r="AS51" s="53" t="str">
        <f t="shared" si="21"/>
        <v>N</v>
      </c>
      <c r="AT51" s="54" t="str">
        <f>IF('CO-PO Mapping'!O$2, IF(OR($AN51="-",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Mapping'!O$6, IF(OR($AR51="-",SUM(IF('CO-PO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Mapping'!O$7, IF(OR($AS51="-",SUM(IF('CO-PO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1" s="54" t="str">
        <f>IF('CO-PO Mapping'!P$2, IF(OR($AN51="-",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Mapping'!P$6, IF(OR($AR51="-",SUM(IF('CO-PO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Mapping'!P$7, IF(OR($AS51="-",SUM(IF('CO-PO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1" s="54" t="str">
        <f>IF('CO-PO Mapping'!Q$2, IF(OR($AN51="-",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Mapping'!Q$6, IF(OR($AR51="-",SUM(IF('CO-PO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Mapping'!Q$7, IF(OR($AS51="-",SUM(IF('CO-PO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1" s="54" t="str">
        <f>IF('CO-PO Mapping'!R$2, IF(OR($AN51="-",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Mapping'!R$6, IF(OR($AR51="-",SUM(IF('CO-PO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Mapping'!R$7, IF(OR($AS51="-",SUM(IF('CO-PO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1" s="54" t="str">
        <f>IF('CO-PO Mapping'!S$2, IF(OR($AN51="-",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Mapping'!S$6, IF(OR($AR51="-",SUM(IF('CO-PO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Mapping'!S$7, IF(OR($AS51="-",SUM(IF('CO-PO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1" s="54" t="str">
        <f>IF('CO-PO Mapping'!T$2, IF(OR($AN51="-",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Mapping'!T$6, IF(OR($AR51="-",SUM(IF('CO-PO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Mapping'!T$7, IF(OR($AS51="-",SUM(IF('CO-PO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1" s="54" t="str">
        <f>IF('CO-PO Mapping'!U$2, IF(OR($AN51="-",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Mapping'!U$6, IF(OR($AR51="-",SUM(IF('CO-PO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Mapping'!U$7, IF(OR($AS51="-",SUM(IF('CO-PO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1" s="54" t="str">
        <f>IF('CO-PO Mapping'!V$2, IF(OR($AN51="-",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Mapping'!V$6, IF(OR($AR51="-",SUM(IF('CO-PO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Mapping'!V$7, IF(OR($AS51="-",SUM(IF('CO-PO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1" s="54" t="str">
        <f>IF('CO-PO Mapping'!W$2, IF(OR($AN51="-",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Mapping'!W$6, IF(OR($AR51="-",SUM(IF('CO-PO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Mapping'!W$7, IF(OR($AS51="-",SUM(IF('CO-PO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1" s="54" t="str">
        <f>IF('CO-PO Mapping'!X$2, IF(OR($AN51="-",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Mapping'!X$6, IF(OR($AR51="-",SUM(IF('CO-PO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Mapping'!X$7, IF(OR($AS51="-",SUM(IF('CO-PO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1" s="54" t="str">
        <f>IF('CO-PO Mapping'!Y$2, IF(OR($AN51="-",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Mapping'!Y$6, IF(OR($AR51="-",SUM(IF('CO-PO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Mapping'!Y$7, IF(OR($AS51="-",SUM(IF('CO-PO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1" s="54" t="str">
        <f>IF('CO-PO Mapping'!Z$2, IF(OR($AN51="-",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Mapping'!Z$6, IF(OR($AR51="-",SUM(IF('CO-PO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Mapping'!Z$7, IF(OR($AS51="-",SUM(IF('CO-PO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2" spans="1:57" ht="15" customHeight="1" x14ac:dyDescent="0.2">
      <c r="A52" s="94">
        <v>20261103161</v>
      </c>
      <c r="B52" s="95" t="s">
        <v>172</v>
      </c>
      <c r="C52" s="96">
        <v>5</v>
      </c>
      <c r="D52" s="61"/>
      <c r="E52" s="96">
        <v>15</v>
      </c>
      <c r="F52" s="96">
        <v>10</v>
      </c>
      <c r="G52" s="61"/>
      <c r="H52" s="46">
        <f t="shared" si="2"/>
        <v>30</v>
      </c>
      <c r="I52" s="59"/>
      <c r="J52" s="59"/>
      <c r="K52" s="59"/>
      <c r="L52" s="59"/>
      <c r="M52" s="59"/>
      <c r="N52" s="59"/>
      <c r="O52" s="47">
        <f t="shared" si="3"/>
        <v>0</v>
      </c>
      <c r="P52" s="59"/>
      <c r="Q52" s="59"/>
      <c r="R52" s="59"/>
      <c r="S52" s="59"/>
      <c r="T52" s="59"/>
      <c r="U52" s="59"/>
      <c r="V52" s="48">
        <f t="shared" si="4"/>
        <v>0</v>
      </c>
      <c r="W52" s="49">
        <f t="shared" si="5"/>
        <v>30</v>
      </c>
      <c r="X52" s="50" t="str">
        <f t="shared" si="10"/>
        <v>F (Fail)</v>
      </c>
      <c r="Y52" s="98"/>
      <c r="Z52" s="51">
        <f t="shared" si="6"/>
        <v>20261103161</v>
      </c>
      <c r="AA52" s="51" t="str">
        <f t="shared" si="7"/>
        <v>Biplob Hossain</v>
      </c>
      <c r="AB52" s="45">
        <f t="shared" si="11"/>
        <v>0</v>
      </c>
      <c r="AC52" s="45">
        <f t="shared" si="11"/>
        <v>15</v>
      </c>
      <c r="AD52" s="45">
        <f t="shared" si="11"/>
        <v>15</v>
      </c>
      <c r="AE52" s="45">
        <f t="shared" si="11"/>
        <v>0</v>
      </c>
      <c r="AF52" s="45">
        <f t="shared" si="11"/>
        <v>0</v>
      </c>
      <c r="AG52" s="45">
        <f t="shared" si="25"/>
        <v>0</v>
      </c>
      <c r="AH52" s="52">
        <f t="shared" si="12"/>
        <v>0</v>
      </c>
      <c r="AI52" s="52">
        <f t="shared" si="13"/>
        <v>27.272727272727273</v>
      </c>
      <c r="AJ52" s="52">
        <f t="shared" si="14"/>
        <v>100</v>
      </c>
      <c r="AK52" s="52">
        <f t="shared" si="22"/>
        <v>0</v>
      </c>
      <c r="AL52" s="52">
        <f t="shared" si="15"/>
        <v>0</v>
      </c>
      <c r="AM52" s="52">
        <f t="shared" si="16"/>
        <v>0</v>
      </c>
      <c r="AN52" s="53" t="str">
        <f t="shared" si="23"/>
        <v>N</v>
      </c>
      <c r="AO52" s="53" t="str">
        <f t="shared" si="17"/>
        <v>N</v>
      </c>
      <c r="AP52" s="53" t="str">
        <f t="shared" si="18"/>
        <v>Y</v>
      </c>
      <c r="AQ52" s="53" t="str">
        <f t="shared" si="19"/>
        <v>N</v>
      </c>
      <c r="AR52" s="53" t="str">
        <f t="shared" si="20"/>
        <v>N</v>
      </c>
      <c r="AS52" s="53" t="str">
        <f t="shared" si="21"/>
        <v>N</v>
      </c>
      <c r="AT52" s="54" t="str">
        <f>IF('CO-PO Mapping'!O$2, IF(OR($AN52="-",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Mapping'!O$6, IF(OR($AR52="-",SUM(IF('CO-PO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Mapping'!O$7, IF(OR($AS52="-",SUM(IF('CO-PO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2" s="54" t="str">
        <f>IF('CO-PO Mapping'!P$2, IF(OR($AN52="-",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Mapping'!P$6, IF(OR($AR52="-",SUM(IF('CO-PO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Mapping'!P$7, IF(OR($AS52="-",SUM(IF('CO-PO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2" s="54" t="str">
        <f>IF('CO-PO Mapping'!Q$2, IF(OR($AN52="-",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Mapping'!Q$6, IF(OR($AR52="-",SUM(IF('CO-PO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Mapping'!Q$7, IF(OR($AS52="-",SUM(IF('CO-PO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2" s="54" t="str">
        <f>IF('CO-PO Mapping'!R$2, IF(OR($AN52="-",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Mapping'!R$6, IF(OR($AR52="-",SUM(IF('CO-PO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Mapping'!R$7, IF(OR($AS52="-",SUM(IF('CO-PO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2" s="54" t="str">
        <f>IF('CO-PO Mapping'!S$2, IF(OR($AN52="-",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Mapping'!S$6, IF(OR($AR52="-",SUM(IF('CO-PO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Mapping'!S$7, IF(OR($AS52="-",SUM(IF('CO-PO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2" s="54" t="str">
        <f>IF('CO-PO Mapping'!T$2, IF(OR($AN52="-",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Mapping'!T$6, IF(OR($AR52="-",SUM(IF('CO-PO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Mapping'!T$7, IF(OR($AS52="-",SUM(IF('CO-PO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2" s="54" t="str">
        <f>IF('CO-PO Mapping'!U$2, IF(OR($AN52="-",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Mapping'!U$6, IF(OR($AR52="-",SUM(IF('CO-PO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Mapping'!U$7, IF(OR($AS52="-",SUM(IF('CO-PO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2" s="54" t="str">
        <f>IF('CO-PO Mapping'!V$2, IF(OR($AN52="-",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Mapping'!V$6, IF(OR($AR52="-",SUM(IF('CO-PO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Mapping'!V$7, IF(OR($AS52="-",SUM(IF('CO-PO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2" s="54" t="str">
        <f>IF('CO-PO Mapping'!W$2, IF(OR($AN52="-",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Mapping'!W$6, IF(OR($AR52="-",SUM(IF('CO-PO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Mapping'!W$7, IF(OR($AS52="-",SUM(IF('CO-PO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2" s="54" t="str">
        <f>IF('CO-PO Mapping'!X$2, IF(OR($AN52="-",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Mapping'!X$6, IF(OR($AR52="-",SUM(IF('CO-PO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Mapping'!X$7, IF(OR($AS52="-",SUM(IF('CO-PO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2" s="54" t="str">
        <f>IF('CO-PO Mapping'!Y$2, IF(OR($AN52="-",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Mapping'!Y$6, IF(OR($AR52="-",SUM(IF('CO-PO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Mapping'!Y$7, IF(OR($AS52="-",SUM(IF('CO-PO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2" s="54" t="str">
        <f>IF('CO-PO Mapping'!Z$2, IF(OR($AN52="-",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Mapping'!Z$6, IF(OR($AR52="-",SUM(IF('CO-PO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Mapping'!Z$7, IF(OR($AS52="-",SUM(IF('CO-PO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3" spans="1:57" ht="15" customHeight="1" x14ac:dyDescent="0.2">
      <c r="A53" s="94">
        <v>20261103183</v>
      </c>
      <c r="B53" s="95" t="s">
        <v>173</v>
      </c>
      <c r="C53" s="96">
        <v>5</v>
      </c>
      <c r="D53" s="60"/>
      <c r="E53" s="96">
        <v>11</v>
      </c>
      <c r="F53" s="96">
        <v>10</v>
      </c>
      <c r="G53" s="61"/>
      <c r="H53" s="46">
        <f t="shared" si="2"/>
        <v>26</v>
      </c>
      <c r="I53" s="59"/>
      <c r="J53" s="59"/>
      <c r="K53" s="59"/>
      <c r="L53" s="59"/>
      <c r="M53" s="59"/>
      <c r="N53" s="59"/>
      <c r="O53" s="47">
        <f t="shared" si="3"/>
        <v>0</v>
      </c>
      <c r="P53" s="59"/>
      <c r="Q53" s="59"/>
      <c r="R53" s="59"/>
      <c r="S53" s="59"/>
      <c r="T53" s="59"/>
      <c r="U53" s="59"/>
      <c r="V53" s="48">
        <f t="shared" si="4"/>
        <v>0</v>
      </c>
      <c r="W53" s="49">
        <f t="shared" si="5"/>
        <v>26</v>
      </c>
      <c r="X53" s="50" t="str">
        <f t="shared" si="10"/>
        <v>F (Fail)</v>
      </c>
      <c r="Y53" s="98"/>
      <c r="Z53" s="51">
        <f t="shared" si="6"/>
        <v>20261103183</v>
      </c>
      <c r="AA53" s="51" t="str">
        <f t="shared" si="7"/>
        <v>Abdullah Al Ibrahim</v>
      </c>
      <c r="AB53" s="45">
        <f t="shared" si="11"/>
        <v>0</v>
      </c>
      <c r="AC53" s="45">
        <f t="shared" si="11"/>
        <v>11</v>
      </c>
      <c r="AD53" s="45">
        <f t="shared" si="11"/>
        <v>15</v>
      </c>
      <c r="AE53" s="45">
        <f t="shared" si="11"/>
        <v>0</v>
      </c>
      <c r="AF53" s="45">
        <f t="shared" si="11"/>
        <v>0</v>
      </c>
      <c r="AG53" s="45">
        <f t="shared" si="25"/>
        <v>0</v>
      </c>
      <c r="AH53" s="52">
        <f t="shared" si="12"/>
        <v>0</v>
      </c>
      <c r="AI53" s="52">
        <f t="shared" si="13"/>
        <v>20</v>
      </c>
      <c r="AJ53" s="52">
        <f t="shared" si="14"/>
        <v>100</v>
      </c>
      <c r="AK53" s="52">
        <f t="shared" si="22"/>
        <v>0</v>
      </c>
      <c r="AL53" s="52">
        <f t="shared" si="15"/>
        <v>0</v>
      </c>
      <c r="AM53" s="52">
        <f t="shared" si="16"/>
        <v>0</v>
      </c>
      <c r="AN53" s="53" t="str">
        <f t="shared" si="23"/>
        <v>N</v>
      </c>
      <c r="AO53" s="53" t="str">
        <f t="shared" si="17"/>
        <v>N</v>
      </c>
      <c r="AP53" s="53" t="str">
        <f t="shared" si="18"/>
        <v>Y</v>
      </c>
      <c r="AQ53" s="53" t="str">
        <f t="shared" si="19"/>
        <v>N</v>
      </c>
      <c r="AR53" s="53" t="str">
        <f t="shared" si="20"/>
        <v>N</v>
      </c>
      <c r="AS53" s="53" t="str">
        <f t="shared" si="21"/>
        <v>N</v>
      </c>
      <c r="AT53" s="54" t="str">
        <f>IF('CO-PO Mapping'!O$2, IF(OR($AN53="-",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Mapping'!O$6, IF(OR($AR53="-",SUM(IF('CO-PO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Mapping'!O$7, IF(OR($AS53="-",SUM(IF('CO-PO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3" s="54" t="str">
        <f>IF('CO-PO Mapping'!P$2, IF(OR($AN53="-",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Mapping'!P$6, IF(OR($AR53="-",SUM(IF('CO-PO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Mapping'!P$7, IF(OR($AS53="-",SUM(IF('CO-PO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3" s="54" t="str">
        <f>IF('CO-PO Mapping'!Q$2, IF(OR($AN53="-",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Mapping'!Q$6, IF(OR($AR53="-",SUM(IF('CO-PO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Mapping'!Q$7, IF(OR($AS53="-",SUM(IF('CO-PO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3" s="54" t="str">
        <f>IF('CO-PO Mapping'!R$2, IF(OR($AN53="-",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Mapping'!R$6, IF(OR($AR53="-",SUM(IF('CO-PO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Mapping'!R$7, IF(OR($AS53="-",SUM(IF('CO-PO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3" s="54" t="str">
        <f>IF('CO-PO Mapping'!S$2, IF(OR($AN53="-",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Mapping'!S$6, IF(OR($AR53="-",SUM(IF('CO-PO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Mapping'!S$7, IF(OR($AS53="-",SUM(IF('CO-PO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3" s="54" t="str">
        <f>IF('CO-PO Mapping'!T$2, IF(OR($AN53="-",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Mapping'!T$6, IF(OR($AR53="-",SUM(IF('CO-PO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Mapping'!T$7, IF(OR($AS53="-",SUM(IF('CO-PO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3" s="54" t="str">
        <f>IF('CO-PO Mapping'!U$2, IF(OR($AN53="-",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Mapping'!U$6, IF(OR($AR53="-",SUM(IF('CO-PO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Mapping'!U$7, IF(OR($AS53="-",SUM(IF('CO-PO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3" s="54" t="str">
        <f>IF('CO-PO Mapping'!V$2, IF(OR($AN53="-",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Mapping'!V$6, IF(OR($AR53="-",SUM(IF('CO-PO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Mapping'!V$7, IF(OR($AS53="-",SUM(IF('CO-PO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3" s="54" t="str">
        <f>IF('CO-PO Mapping'!W$2, IF(OR($AN53="-",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Mapping'!W$6, IF(OR($AR53="-",SUM(IF('CO-PO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Mapping'!W$7, IF(OR($AS53="-",SUM(IF('CO-PO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3" s="54" t="str">
        <f>IF('CO-PO Mapping'!X$2, IF(OR($AN53="-",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Mapping'!X$6, IF(OR($AR53="-",SUM(IF('CO-PO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Mapping'!X$7, IF(OR($AS53="-",SUM(IF('CO-PO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3" s="54" t="str">
        <f>IF('CO-PO Mapping'!Y$2, IF(OR($AN53="-",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Mapping'!Y$6, IF(OR($AR53="-",SUM(IF('CO-PO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Mapping'!Y$7, IF(OR($AS53="-",SUM(IF('CO-PO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3" s="54" t="str">
        <f>IF('CO-PO Mapping'!Z$2, IF(OR($AN53="-",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Mapping'!Z$6, IF(OR($AR53="-",SUM(IF('CO-PO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Mapping'!Z$7, IF(OR($AS53="-",SUM(IF('CO-PO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4" spans="1:57" ht="15" customHeight="1" x14ac:dyDescent="0.2">
      <c r="A54" s="94">
        <v>20261103193</v>
      </c>
      <c r="B54" s="95" t="s">
        <v>174</v>
      </c>
      <c r="C54" s="96">
        <v>3</v>
      </c>
      <c r="D54" s="61"/>
      <c r="E54" s="96">
        <v>11</v>
      </c>
      <c r="F54" s="96">
        <v>0</v>
      </c>
      <c r="G54" s="61"/>
      <c r="H54" s="46">
        <f t="shared" si="2"/>
        <v>14</v>
      </c>
      <c r="I54" s="59"/>
      <c r="J54" s="59"/>
      <c r="K54" s="59"/>
      <c r="L54" s="59"/>
      <c r="M54" s="59"/>
      <c r="N54" s="59"/>
      <c r="O54" s="47">
        <f t="shared" si="3"/>
        <v>0</v>
      </c>
      <c r="P54" s="59"/>
      <c r="Q54" s="59"/>
      <c r="R54" s="59"/>
      <c r="S54" s="59"/>
      <c r="T54" s="59"/>
      <c r="U54" s="59"/>
      <c r="V54" s="48">
        <f t="shared" si="4"/>
        <v>0</v>
      </c>
      <c r="W54" s="49">
        <f t="shared" si="5"/>
        <v>14</v>
      </c>
      <c r="X54" s="50" t="str">
        <f t="shared" si="10"/>
        <v>F (Fail)</v>
      </c>
      <c r="Y54" s="98"/>
      <c r="Z54" s="51">
        <f t="shared" si="6"/>
        <v>20261103193</v>
      </c>
      <c r="AA54" s="51" t="str">
        <f t="shared" si="7"/>
        <v>Md. Redwan Islam</v>
      </c>
      <c r="AB54" s="45">
        <f t="shared" si="11"/>
        <v>0</v>
      </c>
      <c r="AC54" s="45">
        <f t="shared" si="11"/>
        <v>11</v>
      </c>
      <c r="AD54" s="45">
        <f t="shared" si="11"/>
        <v>3</v>
      </c>
      <c r="AE54" s="45">
        <f t="shared" si="11"/>
        <v>0</v>
      </c>
      <c r="AF54" s="45">
        <f t="shared" si="11"/>
        <v>0</v>
      </c>
      <c r="AG54" s="45">
        <f t="shared" si="25"/>
        <v>0</v>
      </c>
      <c r="AH54" s="52">
        <f t="shared" si="12"/>
        <v>0</v>
      </c>
      <c r="AI54" s="52">
        <f t="shared" si="13"/>
        <v>20</v>
      </c>
      <c r="AJ54" s="52">
        <f t="shared" si="14"/>
        <v>20</v>
      </c>
      <c r="AK54" s="52">
        <f t="shared" si="22"/>
        <v>0</v>
      </c>
      <c r="AL54" s="52">
        <f t="shared" si="15"/>
        <v>0</v>
      </c>
      <c r="AM54" s="52">
        <f t="shared" si="16"/>
        <v>0</v>
      </c>
      <c r="AN54" s="53" t="str">
        <f t="shared" si="23"/>
        <v>N</v>
      </c>
      <c r="AO54" s="53" t="str">
        <f t="shared" si="17"/>
        <v>N</v>
      </c>
      <c r="AP54" s="53" t="str">
        <f t="shared" si="18"/>
        <v>N</v>
      </c>
      <c r="AQ54" s="53" t="str">
        <f t="shared" si="19"/>
        <v>N</v>
      </c>
      <c r="AR54" s="53" t="str">
        <f t="shared" si="20"/>
        <v>N</v>
      </c>
      <c r="AS54" s="53" t="str">
        <f t="shared" si="21"/>
        <v>N</v>
      </c>
      <c r="AT54" s="54" t="str">
        <f>IF('CO-PO Mapping'!O$2, IF(OR($AN54="-",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Mapping'!O$6, IF(OR($AR54="-",SUM(IF('CO-PO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Mapping'!O$7, IF(OR($AS54="-",SUM(IF('CO-PO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4" s="54" t="str">
        <f>IF('CO-PO Mapping'!P$2, IF(OR($AN54="-",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Mapping'!P$6, IF(OR($AR54="-",SUM(IF('CO-PO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Mapping'!P$7, IF(OR($AS54="-",SUM(IF('CO-PO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4" s="54" t="str">
        <f>IF('CO-PO Mapping'!Q$2, IF(OR($AN54="-",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Mapping'!Q$6, IF(OR($AR54="-",SUM(IF('CO-PO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Mapping'!Q$7, IF(OR($AS54="-",SUM(IF('CO-PO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4" s="54" t="str">
        <f>IF('CO-PO Mapping'!R$2, IF(OR($AN54="-",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Mapping'!R$6, IF(OR($AR54="-",SUM(IF('CO-PO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Mapping'!R$7, IF(OR($AS54="-",SUM(IF('CO-PO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4" s="54" t="str">
        <f>IF('CO-PO Mapping'!S$2, IF(OR($AN54="-",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Mapping'!S$6, IF(OR($AR54="-",SUM(IF('CO-PO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Mapping'!S$7, IF(OR($AS54="-",SUM(IF('CO-PO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4" s="54" t="str">
        <f>IF('CO-PO Mapping'!T$2, IF(OR($AN54="-",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Mapping'!T$6, IF(OR($AR54="-",SUM(IF('CO-PO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Mapping'!T$7, IF(OR($AS54="-",SUM(IF('CO-PO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4" s="54" t="str">
        <f>IF('CO-PO Mapping'!U$2, IF(OR($AN54="-",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Mapping'!U$6, IF(OR($AR54="-",SUM(IF('CO-PO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Mapping'!U$7, IF(OR($AS54="-",SUM(IF('CO-PO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4" s="54" t="str">
        <f>IF('CO-PO Mapping'!V$2, IF(OR($AN54="-",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Mapping'!V$6, IF(OR($AR54="-",SUM(IF('CO-PO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Mapping'!V$7, IF(OR($AS54="-",SUM(IF('CO-PO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4" s="54" t="str">
        <f>IF('CO-PO Mapping'!W$2, IF(OR($AN54="-",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Mapping'!W$6, IF(OR($AR54="-",SUM(IF('CO-PO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Mapping'!W$7, IF(OR($AS54="-",SUM(IF('CO-PO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4" s="54" t="str">
        <f>IF('CO-PO Mapping'!X$2, IF(OR($AN54="-",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Mapping'!X$6, IF(OR($AR54="-",SUM(IF('CO-PO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Mapping'!X$7, IF(OR($AS54="-",SUM(IF('CO-PO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4" s="54" t="str">
        <f>IF('CO-PO Mapping'!Y$2, IF(OR($AN54="-",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Mapping'!Y$6, IF(OR($AR54="-",SUM(IF('CO-PO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Mapping'!Y$7, IF(OR($AS54="-",SUM(IF('CO-PO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4" s="54" t="str">
        <f>IF('CO-PO Mapping'!Z$2, IF(OR($AN54="-",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Mapping'!Z$6, IF(OR($AR54="-",SUM(IF('CO-PO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Mapping'!Z$7, IF(OR($AS54="-",SUM(IF('CO-PO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5" spans="1:57" ht="15" customHeight="1" x14ac:dyDescent="0.2">
      <c r="A55" s="94">
        <v>20261103200</v>
      </c>
      <c r="B55" s="95" t="s">
        <v>175</v>
      </c>
      <c r="C55" s="96">
        <v>5</v>
      </c>
      <c r="D55" s="58"/>
      <c r="E55" s="96">
        <v>13</v>
      </c>
      <c r="F55" s="96">
        <v>10</v>
      </c>
      <c r="G55" s="58"/>
      <c r="H55" s="46">
        <f t="shared" si="2"/>
        <v>28</v>
      </c>
      <c r="I55" s="59"/>
      <c r="J55" s="59"/>
      <c r="K55" s="59"/>
      <c r="L55" s="59"/>
      <c r="M55" s="59"/>
      <c r="N55" s="59"/>
      <c r="O55" s="47">
        <f t="shared" si="3"/>
        <v>0</v>
      </c>
      <c r="P55" s="59"/>
      <c r="Q55" s="59"/>
      <c r="R55" s="59"/>
      <c r="S55" s="59"/>
      <c r="T55" s="59"/>
      <c r="U55" s="59"/>
      <c r="V55" s="48">
        <f t="shared" si="4"/>
        <v>0</v>
      </c>
      <c r="W55" s="49">
        <f t="shared" si="5"/>
        <v>28</v>
      </c>
      <c r="X55" s="50" t="str">
        <f t="shared" si="10"/>
        <v>F (Fail)</v>
      </c>
      <c r="Y55" s="98"/>
      <c r="Z55" s="51">
        <f t="shared" si="6"/>
        <v>20261103200</v>
      </c>
      <c r="AA55" s="51" t="str">
        <f t="shared" si="7"/>
        <v>Md. Nastayeen Chowdhury Sahitto</v>
      </c>
      <c r="AB55" s="45">
        <f t="shared" si="11"/>
        <v>0</v>
      </c>
      <c r="AC55" s="45">
        <f t="shared" si="11"/>
        <v>13</v>
      </c>
      <c r="AD55" s="45">
        <f t="shared" si="11"/>
        <v>15</v>
      </c>
      <c r="AE55" s="45">
        <f t="shared" si="11"/>
        <v>0</v>
      </c>
      <c r="AF55" s="45">
        <f t="shared" si="11"/>
        <v>0</v>
      </c>
      <c r="AG55" s="45">
        <f t="shared" si="25"/>
        <v>0</v>
      </c>
      <c r="AH55" s="52">
        <f t="shared" si="12"/>
        <v>0</v>
      </c>
      <c r="AI55" s="52">
        <f t="shared" si="13"/>
        <v>23.636363636363637</v>
      </c>
      <c r="AJ55" s="52">
        <f t="shared" si="14"/>
        <v>100</v>
      </c>
      <c r="AK55" s="52">
        <f t="shared" si="22"/>
        <v>0</v>
      </c>
      <c r="AL55" s="52">
        <f t="shared" si="15"/>
        <v>0</v>
      </c>
      <c r="AM55" s="52">
        <f t="shared" si="16"/>
        <v>0</v>
      </c>
      <c r="AN55" s="53" t="str">
        <f t="shared" si="23"/>
        <v>N</v>
      </c>
      <c r="AO55" s="53" t="str">
        <f t="shared" si="17"/>
        <v>N</v>
      </c>
      <c r="AP55" s="53" t="str">
        <f t="shared" si="18"/>
        <v>Y</v>
      </c>
      <c r="AQ55" s="53" t="str">
        <f t="shared" si="19"/>
        <v>N</v>
      </c>
      <c r="AR55" s="53" t="str">
        <f t="shared" si="20"/>
        <v>N</v>
      </c>
      <c r="AS55" s="53" t="str">
        <f>IF(OR($Z55="",AND(AM55=0,$Z55="")),"-",IF(AM55&gt;=$AQ$27,"Y","N"))</f>
        <v>N</v>
      </c>
      <c r="AT55" s="54" t="str">
        <f>IF('CO-PO Mapping'!O$2, IF(OR($AN55="-",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Mapping'!O$6, IF(OR($AR55="-",SUM(IF('CO-PO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Mapping'!O$7, IF(OR($AS55="-",SUM(IF('CO-PO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5" s="54" t="str">
        <f>IF('CO-PO Mapping'!P$2, IF(OR($AN55="-",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Mapping'!P$6, IF(OR($AR55="-",SUM(IF('CO-PO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Mapping'!P$7, IF(OR($AS55="-",SUM(IF('CO-PO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5" s="54" t="str">
        <f>IF('CO-PO Mapping'!Q$2, IF(OR($AN55="-",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Mapping'!Q$6, IF(OR($AR55="-",SUM(IF('CO-PO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Mapping'!Q$7, IF(OR($AS55="-",SUM(IF('CO-PO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5" s="54" t="str">
        <f>IF('CO-PO Mapping'!R$2, IF(OR($AN55="-",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Mapping'!R$6, IF(OR($AR55="-",SUM(IF('CO-PO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Mapping'!R$7, IF(OR($AS55="-",SUM(IF('CO-PO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5" s="54" t="str">
        <f>IF('CO-PO Mapping'!S$2, IF(OR($AN55="-",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Mapping'!S$6, IF(OR($AR55="-",SUM(IF('CO-PO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Mapping'!S$7, IF(OR($AS55="-",SUM(IF('CO-PO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5" s="54" t="str">
        <f>IF('CO-PO Mapping'!T$2, IF(OR($AN55="-",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Mapping'!T$6, IF(OR($AR55="-",SUM(IF('CO-PO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Mapping'!T$7, IF(OR($AS55="-",SUM(IF('CO-PO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5" s="54" t="str">
        <f>IF('CO-PO Mapping'!U$2, IF(OR($AN55="-",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Mapping'!U$6, IF(OR($AR55="-",SUM(IF('CO-PO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Mapping'!U$7, IF(OR($AS55="-",SUM(IF('CO-PO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5" s="54" t="str">
        <f>IF('CO-PO Mapping'!V$2, IF(OR($AN55="-",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Mapping'!V$6, IF(OR($AR55="-",SUM(IF('CO-PO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Mapping'!V$7, IF(OR($AS55="-",SUM(IF('CO-PO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5" s="54" t="str">
        <f>IF('CO-PO Mapping'!W$2, IF(OR($AN55="-",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Mapping'!W$6, IF(OR($AR55="-",SUM(IF('CO-PO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Mapping'!W$7, IF(OR($AS55="-",SUM(IF('CO-PO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5" s="54" t="str">
        <f>IF('CO-PO Mapping'!X$2, IF(OR($AN55="-",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Mapping'!X$6, IF(OR($AR55="-",SUM(IF('CO-PO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Mapping'!X$7, IF(OR($AS55="-",SUM(IF('CO-PO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5" s="54" t="str">
        <f>IF('CO-PO Mapping'!Y$2, IF(OR($AN55="-",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Mapping'!Y$6, IF(OR($AR55="-",SUM(IF('CO-PO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Mapping'!Y$7, IF(OR($AS55="-",SUM(IF('CO-PO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5" s="54" t="str">
        <f>IF('CO-PO Mapping'!Z$2, IF(OR($AN55="-",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Mapping'!Z$6, IF(OR($AR55="-",SUM(IF('CO-PO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Mapping'!Z$7, IF(OR($AS55="-",SUM(IF('CO-PO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6" spans="1:57" ht="15" customHeight="1" x14ac:dyDescent="0.2">
      <c r="A56" s="94">
        <v>20261103247</v>
      </c>
      <c r="B56" s="95" t="s">
        <v>157</v>
      </c>
      <c r="C56" s="96">
        <v>4</v>
      </c>
      <c r="D56" s="60"/>
      <c r="E56" s="96">
        <v>14</v>
      </c>
      <c r="F56" s="96">
        <v>10</v>
      </c>
      <c r="G56" s="61"/>
      <c r="H56" s="46">
        <f t="shared" si="2"/>
        <v>28</v>
      </c>
      <c r="I56" s="59"/>
      <c r="J56" s="59"/>
      <c r="K56" s="59"/>
      <c r="L56" s="59"/>
      <c r="M56" s="59"/>
      <c r="N56" s="59"/>
      <c r="O56" s="47">
        <f t="shared" si="3"/>
        <v>0</v>
      </c>
      <c r="P56" s="59"/>
      <c r="Q56" s="59"/>
      <c r="R56" s="59"/>
      <c r="S56" s="59"/>
      <c r="T56" s="59"/>
      <c r="U56" s="59"/>
      <c r="V56" s="48">
        <f t="shared" si="4"/>
        <v>0</v>
      </c>
      <c r="W56" s="49">
        <f t="shared" si="5"/>
        <v>28</v>
      </c>
      <c r="X56" s="50" t="str">
        <f t="shared" si="10"/>
        <v>F (Fail)</v>
      </c>
      <c r="Y56" s="98"/>
      <c r="Z56" s="51">
        <f t="shared" si="6"/>
        <v>20261103247</v>
      </c>
      <c r="AA56" s="51" t="str">
        <f t="shared" si="7"/>
        <v>Farhan Tanvir</v>
      </c>
      <c r="AB56" s="45">
        <f t="shared" si="11"/>
        <v>0</v>
      </c>
      <c r="AC56" s="45">
        <f t="shared" si="11"/>
        <v>14</v>
      </c>
      <c r="AD56" s="45">
        <f t="shared" si="11"/>
        <v>14</v>
      </c>
      <c r="AE56" s="45">
        <f t="shared" si="11"/>
        <v>0</v>
      </c>
      <c r="AF56" s="45">
        <f t="shared" si="11"/>
        <v>0</v>
      </c>
      <c r="AG56" s="45">
        <f t="shared" si="25"/>
        <v>0</v>
      </c>
      <c r="AH56" s="52">
        <f t="shared" si="12"/>
        <v>0</v>
      </c>
      <c r="AI56" s="52">
        <f t="shared" si="13"/>
        <v>25.454545454545453</v>
      </c>
      <c r="AJ56" s="52">
        <f t="shared" si="14"/>
        <v>93.333333333333329</v>
      </c>
      <c r="AK56" s="52">
        <f t="shared" si="22"/>
        <v>0</v>
      </c>
      <c r="AL56" s="52">
        <f t="shared" si="15"/>
        <v>0</v>
      </c>
      <c r="AM56" s="52">
        <f t="shared" si="16"/>
        <v>0</v>
      </c>
      <c r="AN56" s="53" t="str">
        <f t="shared" si="23"/>
        <v>N</v>
      </c>
      <c r="AO56" s="53" t="str">
        <f t="shared" si="17"/>
        <v>N</v>
      </c>
      <c r="AP56" s="53" t="str">
        <f t="shared" si="18"/>
        <v>Y</v>
      </c>
      <c r="AQ56" s="53" t="str">
        <f t="shared" si="19"/>
        <v>N</v>
      </c>
      <c r="AR56" s="53" t="str">
        <f t="shared" si="20"/>
        <v>N</v>
      </c>
      <c r="AS56" s="53" t="str">
        <f t="shared" si="21"/>
        <v>N</v>
      </c>
      <c r="AT56" s="54" t="str">
        <f>IF('CO-PO Mapping'!O$2, IF(OR($AN56="-",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Mapping'!O$6, IF(OR($AR56="-",SUM(IF('CO-PO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Mapping'!O$7, IF(OR($AS56="-",SUM(IF('CO-PO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"-"))))))</f>
        <v>N</v>
      </c>
      <c r="AU56" s="54" t="str">
        <f>IF('CO-PO Mapping'!P$2, IF(OR($AN56="-",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Mapping'!P$6, IF(OR($AR56="-",SUM(IF('CO-PO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Mapping'!P$7, IF(OR($AS56="-",SUM(IF('CO-PO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6" s="54" t="str">
        <f>IF('CO-PO Mapping'!Q$2, IF(OR($AN56="-",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Mapping'!Q$6, IF(OR($AR56="-",SUM(IF('CO-PO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Mapping'!Q$7, IF(OR($AS56="-",SUM(IF('CO-PO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6" s="54" t="str">
        <f>IF('CO-PO Mapping'!R$2, IF(OR($AN56="-",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Mapping'!R$6, IF(OR($AR56="-",SUM(IF('CO-PO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Mapping'!R$7, IF(OR($AS56="-",SUM(IF('CO-PO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6" s="54" t="str">
        <f>IF('CO-PO Mapping'!S$2, IF(OR($AN56="-",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Mapping'!S$6, IF(OR($AR56="-",SUM(IF('CO-PO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Mapping'!S$7, IF(OR($AS56="-",SUM(IF('CO-PO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6" s="54" t="str">
        <f>IF('CO-PO Mapping'!T$2, IF(OR($AN56="-",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Mapping'!T$6, IF(OR($AR56="-",SUM(IF('CO-PO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Mapping'!T$7, IF(OR($AS56="-",SUM(IF('CO-PO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6" s="54" t="str">
        <f>IF('CO-PO Mapping'!U$2, IF(OR($AN56="-",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Mapping'!U$6, IF(OR($AR56="-",SUM(IF('CO-PO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Mapping'!U$7, IF(OR($AS56="-",SUM(IF('CO-PO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6" s="54" t="str">
        <f>IF('CO-PO Mapping'!V$2, IF(OR($AN56="-",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Mapping'!V$6, IF(OR($AR56="-",SUM(IF('CO-PO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Mapping'!V$7, IF(OR($AS56="-",SUM(IF('CO-PO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6" s="54" t="str">
        <f>IF('CO-PO Mapping'!W$2, IF(OR($AN56="-",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Mapping'!W$6, IF(OR($AR56="-",SUM(IF('CO-PO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Mapping'!W$7, IF(OR($AS56="-",SUM(IF('CO-PO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6" s="54" t="str">
        <f>IF('CO-PO Mapping'!X$2, IF(OR($AN56="-",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Mapping'!X$6, IF(OR($AR56="-",SUM(IF('CO-PO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Mapping'!X$7, IF(OR($AS56="-",SUM(IF('CO-PO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6" s="54" t="str">
        <f>IF('CO-PO Mapping'!Y$2, IF(OR($AN56="-",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Mapping'!Y$6, IF(OR($AR56="-",SUM(IF('CO-PO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Mapping'!Y$7, IF(OR($AS56="-",SUM(IF('CO-PO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6" s="54" t="str">
        <f>IF('CO-PO Mapping'!Z$2, IF(OR($AN56="-",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Mapping'!Z$6, IF(OR($AR56="-",SUM(IF('CO-PO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Mapping'!Z$7, IF(OR($AS56="-",SUM(IF('CO-PO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7" spans="1:57" ht="15" customHeight="1" x14ac:dyDescent="0.2">
      <c r="A57" s="29"/>
      <c r="B57" s="65"/>
      <c r="C57" s="60"/>
      <c r="D57" s="61"/>
      <c r="E57" s="61"/>
      <c r="F57" s="61"/>
      <c r="G57" s="61"/>
      <c r="H57" s="46" t="str">
        <f t="shared" si="2"/>
        <v>-</v>
      </c>
      <c r="I57" s="59"/>
      <c r="J57" s="59"/>
      <c r="K57" s="59"/>
      <c r="L57" s="59"/>
      <c r="M57" s="59"/>
      <c r="N57" s="59"/>
      <c r="O57" s="47" t="str">
        <f t="shared" si="3"/>
        <v>-</v>
      </c>
      <c r="P57" s="59"/>
      <c r="Q57" s="59"/>
      <c r="R57" s="59"/>
      <c r="S57" s="59"/>
      <c r="T57" s="59"/>
      <c r="U57" s="59"/>
      <c r="V57" s="48" t="str">
        <f t="shared" si="4"/>
        <v>-</v>
      </c>
      <c r="W57" s="49" t="str">
        <f t="shared" si="5"/>
        <v>-</v>
      </c>
      <c r="X57" s="50" t="str">
        <f t="shared" si="10"/>
        <v>Error</v>
      </c>
      <c r="Y57" s="98"/>
      <c r="Z57" s="51" t="str">
        <f t="shared" si="6"/>
        <v/>
      </c>
      <c r="AA57" s="51" t="str">
        <f t="shared" si="7"/>
        <v/>
      </c>
      <c r="AB57" s="45">
        <f t="shared" si="11"/>
        <v>0</v>
      </c>
      <c r="AC57" s="45">
        <f t="shared" si="11"/>
        <v>0</v>
      </c>
      <c r="AD57" s="45">
        <f t="shared" si="11"/>
        <v>0</v>
      </c>
      <c r="AE57" s="45">
        <f t="shared" si="11"/>
        <v>0</v>
      </c>
      <c r="AF57" s="45">
        <f t="shared" si="11"/>
        <v>0</v>
      </c>
      <c r="AG57" s="45">
        <f t="shared" si="25"/>
        <v>0</v>
      </c>
      <c r="AH57" s="52">
        <f t="shared" si="12"/>
        <v>0</v>
      </c>
      <c r="AI57" s="52">
        <f t="shared" si="13"/>
        <v>0</v>
      </c>
      <c r="AJ57" s="52">
        <f t="shared" si="14"/>
        <v>0</v>
      </c>
      <c r="AK57" s="52">
        <f t="shared" si="22"/>
        <v>0</v>
      </c>
      <c r="AL57" s="52">
        <f t="shared" si="15"/>
        <v>0</v>
      </c>
      <c r="AM57" s="52">
        <f t="shared" si="16"/>
        <v>0</v>
      </c>
      <c r="AN57" s="53" t="str">
        <f t="shared" si="23"/>
        <v>-</v>
      </c>
      <c r="AO57" s="53" t="str">
        <f t="shared" si="17"/>
        <v>-</v>
      </c>
      <c r="AP57" s="53" t="str">
        <f t="shared" si="18"/>
        <v>-</v>
      </c>
      <c r="AQ57" s="53" t="str">
        <f t="shared" si="19"/>
        <v>-</v>
      </c>
      <c r="AR57" s="53" t="str">
        <f t="shared" si="20"/>
        <v>-</v>
      </c>
      <c r="AS57" s="53" t="str">
        <f t="shared" si="21"/>
        <v>-</v>
      </c>
      <c r="AT57" s="54" t="str">
        <f>IF('CO-PO Mapping'!O$2, IF(OR($AN57="-",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Mapping'!O$6, IF(OR($AR57="-",SUM(IF('CO-PO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Mapping'!O$7, IF(OR($AS57="-",SUM(IF('CO-PO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7" s="54" t="str">
        <f>IF('CO-PO Mapping'!P$2, IF(OR($AN57="-",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Mapping'!P$6, IF(OR($AR57="-",SUM(IF('CO-PO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Mapping'!P$7, IF(OR($AS57="-",SUM(IF('CO-PO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7" s="54" t="str">
        <f>IF('CO-PO Mapping'!Q$2, IF(OR($AN57="-",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Mapping'!Q$6, IF(OR($AR57="-",SUM(IF('CO-PO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Mapping'!Q$7, IF(OR($AS57="-",SUM(IF('CO-PO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7" s="54" t="str">
        <f>IF('CO-PO Mapping'!R$2, IF(OR($AN57="-",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Mapping'!R$6, IF(OR($AR57="-",SUM(IF('CO-PO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Mapping'!R$7, IF(OR($AS57="-",SUM(IF('CO-PO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7" s="54" t="str">
        <f>IF('CO-PO Mapping'!S$2, IF(OR($AN57="-",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Mapping'!S$6, IF(OR($AR57="-",SUM(IF('CO-PO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Mapping'!S$7, IF(OR($AS57="-",SUM(IF('CO-PO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7" s="54" t="str">
        <f>IF('CO-PO Mapping'!T$2, IF(OR($AN57="-",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Mapping'!T$6, IF(OR($AR57="-",SUM(IF('CO-PO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Mapping'!T$7, IF(OR($AS57="-",SUM(IF('CO-PO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7" s="54" t="str">
        <f>IF('CO-PO Mapping'!U$2, IF(OR($AN57="-",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Mapping'!U$6, IF(OR($AR57="-",SUM(IF('CO-PO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Mapping'!U$7, IF(OR($AS57="-",SUM(IF('CO-PO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7" s="54" t="str">
        <f>IF('CO-PO Mapping'!V$2, IF(OR($AN57="-",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Mapping'!V$6, IF(OR($AR57="-",SUM(IF('CO-PO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Mapping'!V$7, IF(OR($AS57="-",SUM(IF('CO-PO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7" s="54" t="str">
        <f>IF('CO-PO Mapping'!W$2, IF(OR($AN57="-",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Mapping'!W$6, IF(OR($AR57="-",SUM(IF('CO-PO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Mapping'!W$7, IF(OR($AS57="-",SUM(IF('CO-PO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7" s="54" t="str">
        <f>IF('CO-PO Mapping'!X$2, IF(OR($AN57="-",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Mapping'!X$6, IF(OR($AR57="-",SUM(IF('CO-PO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Mapping'!X$7, IF(OR($AS57="-",SUM(IF('CO-PO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7" s="54" t="str">
        <f>IF('CO-PO Mapping'!Y$2, IF(OR($AN57="-",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Mapping'!Y$6, IF(OR($AR57="-",SUM(IF('CO-PO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Mapping'!Y$7, IF(OR($AS57="-",SUM(IF('CO-PO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7" s="54" t="str">
        <f>IF('CO-PO Mapping'!Z$2, IF(OR($AN57="-",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Mapping'!Z$6, IF(OR($AR57="-",SUM(IF('CO-PO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Mapping'!Z$7, IF(OR($AS57="-",SUM(IF('CO-PO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8" spans="1:57" ht="15" customHeight="1" x14ac:dyDescent="0.2">
      <c r="A58" s="29"/>
      <c r="B58" s="65"/>
      <c r="C58" s="60"/>
      <c r="D58" s="60"/>
      <c r="E58" s="61"/>
      <c r="F58" s="60"/>
      <c r="G58" s="61"/>
      <c r="H58" s="46" t="str">
        <f t="shared" si="2"/>
        <v>-</v>
      </c>
      <c r="I58" s="59"/>
      <c r="J58" s="59"/>
      <c r="K58" s="59"/>
      <c r="L58" s="59"/>
      <c r="M58" s="59"/>
      <c r="N58" s="59"/>
      <c r="O58" s="47" t="str">
        <f t="shared" si="3"/>
        <v>-</v>
      </c>
      <c r="P58" s="59"/>
      <c r="Q58" s="59"/>
      <c r="R58" s="59"/>
      <c r="S58" s="59"/>
      <c r="T58" s="59"/>
      <c r="U58" s="59"/>
      <c r="V58" s="48" t="str">
        <f t="shared" si="4"/>
        <v>-</v>
      </c>
      <c r="W58" s="49" t="str">
        <f t="shared" si="5"/>
        <v>-</v>
      </c>
      <c r="X58" s="50" t="str">
        <f t="shared" si="10"/>
        <v>Error</v>
      </c>
      <c r="Y58" s="98"/>
      <c r="Z58" s="51" t="str">
        <f t="shared" si="6"/>
        <v/>
      </c>
      <c r="AA58" s="51" t="str">
        <f t="shared" si="7"/>
        <v/>
      </c>
      <c r="AB58" s="45">
        <f t="shared" si="11"/>
        <v>0</v>
      </c>
      <c r="AC58" s="45">
        <f t="shared" si="11"/>
        <v>0</v>
      </c>
      <c r="AD58" s="45">
        <f t="shared" si="11"/>
        <v>0</v>
      </c>
      <c r="AE58" s="45">
        <f t="shared" si="11"/>
        <v>0</v>
      </c>
      <c r="AF58" s="45">
        <f t="shared" si="11"/>
        <v>0</v>
      </c>
      <c r="AG58" s="45">
        <f t="shared" si="25"/>
        <v>0</v>
      </c>
      <c r="AH58" s="52">
        <f t="shared" si="12"/>
        <v>0</v>
      </c>
      <c r="AI58" s="52">
        <f t="shared" si="13"/>
        <v>0</v>
      </c>
      <c r="AJ58" s="52">
        <f t="shared" si="14"/>
        <v>0</v>
      </c>
      <c r="AK58" s="52">
        <f t="shared" si="22"/>
        <v>0</v>
      </c>
      <c r="AL58" s="52">
        <f t="shared" si="15"/>
        <v>0</v>
      </c>
      <c r="AM58" s="52">
        <f t="shared" si="16"/>
        <v>0</v>
      </c>
      <c r="AN58" s="53" t="str">
        <f t="shared" si="23"/>
        <v>-</v>
      </c>
      <c r="AO58" s="53" t="str">
        <f t="shared" si="17"/>
        <v>-</v>
      </c>
      <c r="AP58" s="53" t="str">
        <f t="shared" si="18"/>
        <v>-</v>
      </c>
      <c r="AQ58" s="53" t="str">
        <f t="shared" si="19"/>
        <v>-</v>
      </c>
      <c r="AR58" s="53" t="str">
        <f t="shared" si="20"/>
        <v>-</v>
      </c>
      <c r="AS58" s="53" t="str">
        <f t="shared" si="21"/>
        <v>-</v>
      </c>
      <c r="AT58" s="54" t="str">
        <f>IF('CO-PO Mapping'!O$2, IF(OR($AN58="-",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Mapping'!O$6, IF(OR($AR58="-",SUM(IF('CO-PO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Mapping'!O$7, IF(OR($AS58="-",SUM(IF('CO-PO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8" s="54" t="str">
        <f>IF('CO-PO Mapping'!P$2, IF(OR($AN58="-",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Mapping'!P$6, IF(OR($AR58="-",SUM(IF('CO-PO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Mapping'!P$7, IF(OR($AS58="-",SUM(IF('CO-PO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8" s="54" t="str">
        <f>IF('CO-PO Mapping'!Q$2, IF(OR($AN58="-",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Mapping'!Q$6, IF(OR($AR58="-",SUM(IF('CO-PO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Mapping'!Q$7, IF(OR($AS58="-",SUM(IF('CO-PO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8" s="54" t="str">
        <f>IF('CO-PO Mapping'!R$2, IF(OR($AN58="-",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Mapping'!R$6, IF(OR($AR58="-",SUM(IF('CO-PO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Mapping'!R$7, IF(OR($AS58="-",SUM(IF('CO-PO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8" s="54" t="str">
        <f>IF('CO-PO Mapping'!S$2, IF(OR($AN58="-",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Mapping'!S$6, IF(OR($AR58="-",SUM(IF('CO-PO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Mapping'!S$7, IF(OR($AS58="-",SUM(IF('CO-PO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8" s="54" t="str">
        <f>IF('CO-PO Mapping'!T$2, IF(OR($AN58="-",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Mapping'!T$6, IF(OR($AR58="-",SUM(IF('CO-PO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Mapping'!T$7, IF(OR($AS58="-",SUM(IF('CO-PO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8" s="54" t="str">
        <f>IF('CO-PO Mapping'!U$2, IF(OR($AN58="-",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Mapping'!U$6, IF(OR($AR58="-",SUM(IF('CO-PO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Mapping'!U$7, IF(OR($AS58="-",SUM(IF('CO-PO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8" s="54" t="str">
        <f>IF('CO-PO Mapping'!V$2, IF(OR($AN58="-",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Mapping'!V$6, IF(OR($AR58="-",SUM(IF('CO-PO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Mapping'!V$7, IF(OR($AS58="-",SUM(IF('CO-PO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8" s="54" t="str">
        <f>IF('CO-PO Mapping'!W$2, IF(OR($AN58="-",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Mapping'!W$6, IF(OR($AR58="-",SUM(IF('CO-PO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Mapping'!W$7, IF(OR($AS58="-",SUM(IF('CO-PO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8" s="54" t="str">
        <f>IF('CO-PO Mapping'!X$2, IF(OR($AN58="-",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Mapping'!X$6, IF(OR($AR58="-",SUM(IF('CO-PO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Mapping'!X$7, IF(OR($AS58="-",SUM(IF('CO-PO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8" s="54" t="str">
        <f>IF('CO-PO Mapping'!Y$2, IF(OR($AN58="-",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Mapping'!Y$6, IF(OR($AR58="-",SUM(IF('CO-PO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Mapping'!Y$7, IF(OR($AS58="-",SUM(IF('CO-PO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8" s="54" t="str">
        <f>IF('CO-PO Mapping'!Z$2, IF(OR($AN58="-",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Mapping'!Z$6, IF(OR($AR58="-",SUM(IF('CO-PO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Mapping'!Z$7, IF(OR($AS58="-",SUM(IF('CO-PO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9" spans="1:57" ht="15" customHeight="1" x14ac:dyDescent="0.2">
      <c r="A59" s="29"/>
      <c r="B59" s="65"/>
      <c r="C59" s="60"/>
      <c r="D59" s="61"/>
      <c r="E59" s="61"/>
      <c r="F59" s="61"/>
      <c r="G59" s="61"/>
      <c r="H59" s="46" t="str">
        <f t="shared" si="2"/>
        <v>-</v>
      </c>
      <c r="I59" s="59"/>
      <c r="J59" s="59"/>
      <c r="K59" s="59"/>
      <c r="L59" s="59"/>
      <c r="M59" s="59"/>
      <c r="N59" s="59"/>
      <c r="O59" s="47" t="str">
        <f t="shared" si="3"/>
        <v>-</v>
      </c>
      <c r="P59" s="59"/>
      <c r="Q59" s="59"/>
      <c r="R59" s="59"/>
      <c r="S59" s="59"/>
      <c r="T59" s="59"/>
      <c r="U59" s="59"/>
      <c r="V59" s="48" t="str">
        <f t="shared" si="4"/>
        <v>-</v>
      </c>
      <c r="W59" s="49" t="str">
        <f t="shared" si="5"/>
        <v>-</v>
      </c>
      <c r="X59" s="50" t="str">
        <f t="shared" si="10"/>
        <v>Error</v>
      </c>
      <c r="Y59" s="98"/>
      <c r="Z59" s="51" t="str">
        <f t="shared" si="6"/>
        <v/>
      </c>
      <c r="AA59" s="51" t="str">
        <f t="shared" si="7"/>
        <v/>
      </c>
      <c r="AB59" s="45">
        <f t="shared" si="11"/>
        <v>0</v>
      </c>
      <c r="AC59" s="45">
        <f t="shared" si="11"/>
        <v>0</v>
      </c>
      <c r="AD59" s="45">
        <f t="shared" si="11"/>
        <v>0</v>
      </c>
      <c r="AE59" s="45">
        <f t="shared" si="11"/>
        <v>0</v>
      </c>
      <c r="AF59" s="45">
        <f t="shared" si="11"/>
        <v>0</v>
      </c>
      <c r="AG59" s="45">
        <f t="shared" si="25"/>
        <v>0</v>
      </c>
      <c r="AH59" s="52">
        <f t="shared" si="12"/>
        <v>0</v>
      </c>
      <c r="AI59" s="52">
        <f t="shared" si="13"/>
        <v>0</v>
      </c>
      <c r="AJ59" s="52">
        <f t="shared" si="14"/>
        <v>0</v>
      </c>
      <c r="AK59" s="52">
        <f t="shared" si="22"/>
        <v>0</v>
      </c>
      <c r="AL59" s="52">
        <f t="shared" si="15"/>
        <v>0</v>
      </c>
      <c r="AM59" s="52">
        <f t="shared" si="16"/>
        <v>0</v>
      </c>
      <c r="AN59" s="53" t="str">
        <f t="shared" si="23"/>
        <v>-</v>
      </c>
      <c r="AO59" s="53" t="str">
        <f t="shared" si="17"/>
        <v>-</v>
      </c>
      <c r="AP59" s="53" t="str">
        <f t="shared" si="18"/>
        <v>-</v>
      </c>
      <c r="AQ59" s="53" t="str">
        <f t="shared" si="19"/>
        <v>-</v>
      </c>
      <c r="AR59" s="53" t="str">
        <f t="shared" si="20"/>
        <v>-</v>
      </c>
      <c r="AS59" s="53" t="str">
        <f t="shared" si="21"/>
        <v>-</v>
      </c>
      <c r="AT59" s="54" t="str">
        <f>IF('CO-PO Mapping'!O$2, IF(OR($AN59="-",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Mapping'!O$6, IF(OR($AR59="-",SUM(IF('CO-PO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Mapping'!O$7, IF(OR($AS59="-",SUM(IF('CO-PO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59" s="54" t="str">
        <f>IF('CO-PO Mapping'!P$2, IF(OR($AN59="-",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Mapping'!P$6, IF(OR($AR59="-",SUM(IF('CO-PO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Mapping'!P$7, IF(OR($AS59="-",SUM(IF('CO-PO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59" s="54" t="str">
        <f>IF('CO-PO Mapping'!Q$2, IF(OR($AN59="-",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Mapping'!Q$6, IF(OR($AR59="-",SUM(IF('CO-PO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Mapping'!Q$7, IF(OR($AS59="-",SUM(IF('CO-PO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59" s="54" t="str">
        <f>IF('CO-PO Mapping'!R$2, IF(OR($AN59="-",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Mapping'!R$6, IF(OR($AR59="-",SUM(IF('CO-PO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Mapping'!R$7, IF(OR($AS59="-",SUM(IF('CO-PO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9" s="54" t="str">
        <f>IF('CO-PO Mapping'!S$2, IF(OR($AN59="-",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Mapping'!S$6, IF(OR($AR59="-",SUM(IF('CO-PO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Mapping'!S$7, IF(OR($AS59="-",SUM(IF('CO-PO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9" s="54" t="str">
        <f>IF('CO-PO Mapping'!T$2, IF(OR($AN59="-",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Mapping'!T$6, IF(OR($AR59="-",SUM(IF('CO-PO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Mapping'!T$7, IF(OR($AS59="-",SUM(IF('CO-PO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9" s="54" t="str">
        <f>IF('CO-PO Mapping'!U$2, IF(OR($AN59="-",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Mapping'!U$6, IF(OR($AR59="-",SUM(IF('CO-PO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Mapping'!U$7, IF(OR($AS59="-",SUM(IF('CO-PO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9" s="54" t="str">
        <f>IF('CO-PO Mapping'!V$2, IF(OR($AN59="-",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Mapping'!V$6, IF(OR($AR59="-",SUM(IF('CO-PO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Mapping'!V$7, IF(OR($AS59="-",SUM(IF('CO-PO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9" s="54" t="str">
        <f>IF('CO-PO Mapping'!W$2, IF(OR($AN59="-",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Mapping'!W$6, IF(OR($AR59="-",SUM(IF('CO-PO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Mapping'!W$7, IF(OR($AS59="-",SUM(IF('CO-PO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9" s="54" t="str">
        <f>IF('CO-PO Mapping'!X$2, IF(OR($AN59="-",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Mapping'!X$6, IF(OR($AR59="-",SUM(IF('CO-PO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Mapping'!X$7, IF(OR($AS59="-",SUM(IF('CO-PO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9" s="54" t="str">
        <f>IF('CO-PO Mapping'!Y$2, IF(OR($AN59="-",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Mapping'!Y$6, IF(OR($AR59="-",SUM(IF('CO-PO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Mapping'!Y$7, IF(OR($AS59="-",SUM(IF('CO-PO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9" s="54" t="str">
        <f>IF('CO-PO Mapping'!Z$2, IF(OR($AN59="-",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Mapping'!Z$6, IF(OR($AR59="-",SUM(IF('CO-PO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Mapping'!Z$7, IF(OR($AS59="-",SUM(IF('CO-PO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0" spans="1:57" ht="15" customHeight="1" x14ac:dyDescent="0.2">
      <c r="A60" s="29"/>
      <c r="B60" s="65"/>
      <c r="C60" s="60"/>
      <c r="D60" s="60"/>
      <c r="E60" s="61"/>
      <c r="F60" s="60"/>
      <c r="G60" s="61"/>
      <c r="H60" s="46" t="str">
        <f t="shared" si="2"/>
        <v>-</v>
      </c>
      <c r="I60" s="59"/>
      <c r="J60" s="59"/>
      <c r="K60" s="59"/>
      <c r="L60" s="59"/>
      <c r="M60" s="59"/>
      <c r="N60" s="59"/>
      <c r="O60" s="47" t="str">
        <f t="shared" si="3"/>
        <v>-</v>
      </c>
      <c r="P60" s="59"/>
      <c r="Q60" s="59"/>
      <c r="R60" s="59"/>
      <c r="S60" s="59"/>
      <c r="T60" s="59"/>
      <c r="U60" s="59"/>
      <c r="V60" s="48" t="str">
        <f t="shared" si="4"/>
        <v>-</v>
      </c>
      <c r="W60" s="49" t="str">
        <f t="shared" si="5"/>
        <v>-</v>
      </c>
      <c r="X60" s="50" t="str">
        <f t="shared" si="10"/>
        <v>Error</v>
      </c>
      <c r="Y60" s="98"/>
      <c r="Z60" s="51" t="str">
        <f t="shared" si="6"/>
        <v/>
      </c>
      <c r="AA60" s="51" t="str">
        <f t="shared" si="7"/>
        <v/>
      </c>
      <c r="AB60" s="45">
        <f t="shared" si="11"/>
        <v>0</v>
      </c>
      <c r="AC60" s="45">
        <f t="shared" si="11"/>
        <v>0</v>
      </c>
      <c r="AD60" s="45">
        <f t="shared" si="11"/>
        <v>0</v>
      </c>
      <c r="AE60" s="45">
        <f t="shared" si="11"/>
        <v>0</v>
      </c>
      <c r="AF60" s="45">
        <f t="shared" si="11"/>
        <v>0</v>
      </c>
      <c r="AG60" s="45">
        <f t="shared" si="25"/>
        <v>0</v>
      </c>
      <c r="AH60" s="52">
        <f t="shared" si="12"/>
        <v>0</v>
      </c>
      <c r="AI60" s="52">
        <f t="shared" si="13"/>
        <v>0</v>
      </c>
      <c r="AJ60" s="52">
        <f t="shared" si="14"/>
        <v>0</v>
      </c>
      <c r="AK60" s="52">
        <f t="shared" si="22"/>
        <v>0</v>
      </c>
      <c r="AL60" s="52">
        <f t="shared" si="15"/>
        <v>0</v>
      </c>
      <c r="AM60" s="52">
        <f>IF($AG$29=0,0,AG60*100/$AG$29)</f>
        <v>0</v>
      </c>
      <c r="AN60" s="53" t="str">
        <f t="shared" si="23"/>
        <v>-</v>
      </c>
      <c r="AO60" s="53" t="str">
        <f t="shared" si="17"/>
        <v>-</v>
      </c>
      <c r="AP60" s="53" t="str">
        <f t="shared" si="18"/>
        <v>-</v>
      </c>
      <c r="AQ60" s="53" t="str">
        <f t="shared" si="19"/>
        <v>-</v>
      </c>
      <c r="AR60" s="53" t="str">
        <f t="shared" si="20"/>
        <v>-</v>
      </c>
      <c r="AS60" s="53" t="str">
        <f t="shared" si="21"/>
        <v>-</v>
      </c>
      <c r="AT60" s="54" t="str">
        <f>IF('CO-PO Mapping'!O$2, IF(OR($AN60="-",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Mapping'!O$6, IF(OR($AR60="-",SUM(IF('CO-PO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Mapping'!O$7, IF(OR($AS60="-",SUM(IF('CO-PO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0" s="54" t="str">
        <f>IF('CO-PO Mapping'!P$2, IF(OR($AN60="-",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Mapping'!P$6, IF(OR($AR60="-",SUM(IF('CO-PO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Mapping'!P$7, IF(OR($AS60="-",SUM(IF('CO-PO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0" s="54" t="str">
        <f>IF('CO-PO Mapping'!Q$2, IF(OR($AN60="-",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Mapping'!Q$6, IF(OR($AR60="-",SUM(IF('CO-PO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Mapping'!Q$7, IF(OR($AS60="-",SUM(IF('CO-PO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0" s="54" t="str">
        <f>IF('CO-PO Mapping'!R$2, IF(OR($AN60="-",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Mapping'!R$6, IF(OR($AR60="-",SUM(IF('CO-PO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Mapping'!R$7, IF(OR($AS60="-",SUM(IF('CO-PO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0" s="54" t="str">
        <f>IF('CO-PO Mapping'!S$2, IF(OR($AN60="-",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Mapping'!S$6, IF(OR($AR60="-",SUM(IF('CO-PO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Mapping'!S$7, IF(OR($AS60="-",SUM(IF('CO-PO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0" s="54" t="str">
        <f>IF('CO-PO Mapping'!T$2, IF(OR($AN60="-",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Mapping'!T$6, IF(OR($AR60="-",SUM(IF('CO-PO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Mapping'!T$7, IF(OR($AS60="-",SUM(IF('CO-PO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0" s="54" t="str">
        <f>IF('CO-PO Mapping'!U$2, IF(OR($AN60="-",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Mapping'!U$6, IF(OR($AR60="-",SUM(IF('CO-PO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Mapping'!U$7, IF(OR($AS60="-",SUM(IF('CO-PO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0" s="54" t="str">
        <f>IF('CO-PO Mapping'!V$2, IF(OR($AN60="-",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Mapping'!V$6, IF(OR($AR60="-",SUM(IF('CO-PO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Mapping'!V$7, IF(OR($AS60="-",SUM(IF('CO-PO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0" s="54" t="str">
        <f>IF('CO-PO Mapping'!W$2, IF(OR($AN60="-",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Mapping'!W$6, IF(OR($AR60="-",SUM(IF('CO-PO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Mapping'!W$7, IF(OR($AS60="-",SUM(IF('CO-PO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0" s="54" t="str">
        <f>IF('CO-PO Mapping'!X$2, IF(OR($AN60="-",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Mapping'!X$6, IF(OR($AR60="-",SUM(IF('CO-PO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Mapping'!X$7, IF(OR($AS60="-",SUM(IF('CO-PO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0" s="54" t="str">
        <f>IF('CO-PO Mapping'!Y$2, IF(OR($AN60="-",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Mapping'!Y$6, IF(OR($AR60="-",SUM(IF('CO-PO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Mapping'!Y$7, IF(OR($AS60="-",SUM(IF('CO-PO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0" s="54" t="str">
        <f>IF('CO-PO Mapping'!Z$2, IF(OR($AN60="-",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Mapping'!Z$6, IF(OR($AR60="-",SUM(IF('CO-PO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Mapping'!Z$7, IF(OR($AS60="-",SUM(IF('CO-PO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1" spans="1:57" ht="15" customHeight="1" x14ac:dyDescent="0.2">
      <c r="A61" s="29"/>
      <c r="B61" s="66"/>
      <c r="C61" s="60"/>
      <c r="D61" s="61"/>
      <c r="E61" s="61"/>
      <c r="F61" s="61"/>
      <c r="G61" s="61"/>
      <c r="H61" s="46" t="str">
        <f t="shared" si="2"/>
        <v>-</v>
      </c>
      <c r="I61" s="59"/>
      <c r="J61" s="59"/>
      <c r="K61" s="59"/>
      <c r="L61" s="59"/>
      <c r="M61" s="59"/>
      <c r="N61" s="59"/>
      <c r="O61" s="47" t="str">
        <f t="shared" si="3"/>
        <v>-</v>
      </c>
      <c r="P61" s="59"/>
      <c r="Q61" s="59"/>
      <c r="R61" s="59"/>
      <c r="S61" s="59"/>
      <c r="T61" s="59"/>
      <c r="U61" s="59"/>
      <c r="V61" s="48" t="str">
        <f t="shared" si="4"/>
        <v>-</v>
      </c>
      <c r="W61" s="49" t="str">
        <f t="shared" si="5"/>
        <v>-</v>
      </c>
      <c r="X61" s="50" t="str">
        <f t="shared" si="10"/>
        <v>Error</v>
      </c>
      <c r="Y61" s="98"/>
      <c r="Z61" s="51" t="str">
        <f t="shared" si="6"/>
        <v/>
      </c>
      <c r="AA61" s="51" t="str">
        <f t="shared" si="7"/>
        <v/>
      </c>
      <c r="AB61" s="45">
        <f t="shared" si="11"/>
        <v>0</v>
      </c>
      <c r="AC61" s="45">
        <f t="shared" si="11"/>
        <v>0</v>
      </c>
      <c r="AD61" s="45">
        <f t="shared" si="11"/>
        <v>0</v>
      </c>
      <c r="AE61" s="45">
        <f t="shared" si="11"/>
        <v>0</v>
      </c>
      <c r="AF61" s="45">
        <f t="shared" si="11"/>
        <v>0</v>
      </c>
      <c r="AG61" s="45">
        <f t="shared" si="25"/>
        <v>0</v>
      </c>
      <c r="AH61" s="52">
        <f t="shared" si="12"/>
        <v>0</v>
      </c>
      <c r="AI61" s="52">
        <f t="shared" si="13"/>
        <v>0</v>
      </c>
      <c r="AJ61" s="52">
        <f t="shared" si="14"/>
        <v>0</v>
      </c>
      <c r="AK61" s="52">
        <f t="shared" si="22"/>
        <v>0</v>
      </c>
      <c r="AL61" s="52">
        <f t="shared" si="15"/>
        <v>0</v>
      </c>
      <c r="AM61" s="52">
        <f t="shared" si="16"/>
        <v>0</v>
      </c>
      <c r="AN61" s="53" t="str">
        <f t="shared" si="23"/>
        <v>-</v>
      </c>
      <c r="AO61" s="53" t="str">
        <f t="shared" si="17"/>
        <v>-</v>
      </c>
      <c r="AP61" s="53" t="str">
        <f t="shared" si="18"/>
        <v>-</v>
      </c>
      <c r="AQ61" s="53" t="str">
        <f t="shared" si="19"/>
        <v>-</v>
      </c>
      <c r="AR61" s="53" t="str">
        <f t="shared" si="20"/>
        <v>-</v>
      </c>
      <c r="AS61" s="53" t="str">
        <f t="shared" si="21"/>
        <v>-</v>
      </c>
      <c r="AT61" s="54" t="str">
        <f>IF('CO-PO Mapping'!O$2, IF(OR($AN61="-",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Mapping'!O$6, IF(OR($AR61="-",SUM(IF('CO-PO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Mapping'!O$7, IF(OR($AS61="-",SUM(IF('CO-PO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1" s="54" t="str">
        <f>IF('CO-PO Mapping'!P$2, IF(OR($AN61="-",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Mapping'!P$6, IF(OR($AR61="-",SUM(IF('CO-PO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Mapping'!P$7, IF(OR($AS61="-",SUM(IF('CO-PO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1" s="54" t="str">
        <f>IF('CO-PO Mapping'!Q$2, IF(OR($AN61="-",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Mapping'!Q$6, IF(OR($AR61="-",SUM(IF('CO-PO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Mapping'!Q$7, IF(OR($AS61="-",SUM(IF('CO-PO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1" s="54" t="str">
        <f>IF('CO-PO Mapping'!R$2, IF(OR($AN61="-",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Mapping'!R$6, IF(OR($AR61="-",SUM(IF('CO-PO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Mapping'!R$7, IF(OR($AS61="-",SUM(IF('CO-PO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1" s="54" t="str">
        <f>IF('CO-PO Mapping'!S$2, IF(OR($AN61="-",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Mapping'!S$6, IF(OR($AR61="-",SUM(IF('CO-PO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Mapping'!S$7, IF(OR($AS61="-",SUM(IF('CO-PO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1" s="54" t="str">
        <f>IF('CO-PO Mapping'!T$2, IF(OR($AN61="-",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Mapping'!T$6, IF(OR($AR61="-",SUM(IF('CO-PO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Mapping'!T$7, IF(OR($AS61="-",SUM(IF('CO-PO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1" s="54" t="str">
        <f>IF('CO-PO Mapping'!U$2, IF(OR($AN61="-",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Mapping'!U$6, IF(OR($AR61="-",SUM(IF('CO-PO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Mapping'!U$7, IF(OR($AS61="-",SUM(IF('CO-PO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1" s="54" t="str">
        <f>IF('CO-PO Mapping'!V$2, IF(OR($AN61="-",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Mapping'!V$6, IF(OR($AR61="-",SUM(IF('CO-PO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Mapping'!V$7, IF(OR($AS61="-",SUM(IF('CO-PO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1" s="54" t="str">
        <f>IF('CO-PO Mapping'!W$2, IF(OR($AN61="-",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Mapping'!W$6, IF(OR($AR61="-",SUM(IF('CO-PO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Mapping'!W$7, IF(OR($AS61="-",SUM(IF('CO-PO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1" s="54" t="str">
        <f>IF('CO-PO Mapping'!X$2, IF(OR($AN61="-",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Mapping'!X$6, IF(OR($AR61="-",SUM(IF('CO-PO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Mapping'!X$7, IF(OR($AS61="-",SUM(IF('CO-PO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1" s="54" t="str">
        <f>IF('CO-PO Mapping'!Y$2, IF(OR($AN61="-",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Mapping'!Y$6, IF(OR($AR61="-",SUM(IF('CO-PO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Mapping'!Y$7, IF(OR($AS61="-",SUM(IF('CO-PO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1" s="54" t="str">
        <f>IF('CO-PO Mapping'!Z$2, IF(OR($AN61="-",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Mapping'!Z$6, IF(OR($AR61="-",SUM(IF('CO-PO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Mapping'!Z$7, IF(OR($AS61="-",SUM(IF('CO-PO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2" spans="1:57" ht="15" customHeight="1" x14ac:dyDescent="0.2">
      <c r="A62" s="29"/>
      <c r="B62" s="67"/>
      <c r="C62" s="60"/>
      <c r="D62" s="58"/>
      <c r="E62" s="58"/>
      <c r="F62" s="58"/>
      <c r="G62" s="58"/>
      <c r="H62" s="46" t="str">
        <f t="shared" si="2"/>
        <v>-</v>
      </c>
      <c r="I62" s="59"/>
      <c r="J62" s="59"/>
      <c r="K62" s="59"/>
      <c r="L62" s="59"/>
      <c r="M62" s="59"/>
      <c r="N62" s="59"/>
      <c r="O62" s="47" t="str">
        <f t="shared" si="3"/>
        <v>-</v>
      </c>
      <c r="P62" s="59"/>
      <c r="Q62" s="59"/>
      <c r="R62" s="59"/>
      <c r="S62" s="59"/>
      <c r="T62" s="59"/>
      <c r="U62" s="59"/>
      <c r="V62" s="48" t="str">
        <f t="shared" si="4"/>
        <v>-</v>
      </c>
      <c r="W62" s="49" t="str">
        <f t="shared" si="5"/>
        <v>-</v>
      </c>
      <c r="X62" s="50" t="str">
        <f t="shared" si="10"/>
        <v>Error</v>
      </c>
      <c r="Y62" s="98"/>
      <c r="Z62" s="51" t="str">
        <f t="shared" ref="Z62:Z93" si="26">IF(A62="","",A62)</f>
        <v/>
      </c>
      <c r="AA62" s="51" t="str">
        <f t="shared" ref="AA62:AA93" si="27">IF(B62="","",B62)</f>
        <v/>
      </c>
      <c r="AB62" s="45">
        <f t="shared" si="11"/>
        <v>0</v>
      </c>
      <c r="AC62" s="45">
        <f t="shared" si="11"/>
        <v>0</v>
      </c>
      <c r="AD62" s="45">
        <f t="shared" si="11"/>
        <v>0</v>
      </c>
      <c r="AE62" s="45">
        <f t="shared" si="11"/>
        <v>0</v>
      </c>
      <c r="AF62" s="45">
        <f t="shared" si="11"/>
        <v>0</v>
      </c>
      <c r="AG62" s="45">
        <f t="shared" si="25"/>
        <v>0</v>
      </c>
      <c r="AH62" s="52">
        <f t="shared" si="12"/>
        <v>0</v>
      </c>
      <c r="AI62" s="52">
        <f t="shared" si="13"/>
        <v>0</v>
      </c>
      <c r="AJ62" s="52">
        <f t="shared" si="14"/>
        <v>0</v>
      </c>
      <c r="AK62" s="52">
        <f t="shared" si="22"/>
        <v>0</v>
      </c>
      <c r="AL62" s="52">
        <f t="shared" si="15"/>
        <v>0</v>
      </c>
      <c r="AM62" s="52">
        <f t="shared" si="16"/>
        <v>0</v>
      </c>
      <c r="AN62" s="53" t="str">
        <f t="shared" si="23"/>
        <v>-</v>
      </c>
      <c r="AO62" s="53" t="str">
        <f t="shared" si="17"/>
        <v>-</v>
      </c>
      <c r="AP62" s="53" t="str">
        <f t="shared" si="18"/>
        <v>-</v>
      </c>
      <c r="AQ62" s="53" t="str">
        <f t="shared" si="19"/>
        <v>-</v>
      </c>
      <c r="AR62" s="53" t="str">
        <f t="shared" si="20"/>
        <v>-</v>
      </c>
      <c r="AS62" s="53" t="str">
        <f t="shared" si="21"/>
        <v>-</v>
      </c>
      <c r="AT62" s="54" t="str">
        <f>IF('CO-PO Mapping'!O$2, IF(OR($AN62="-",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Mapping'!O$6, IF(OR($AR62="-",SUM(IF('CO-PO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Mapping'!O$7, IF(OR($AS62="-",SUM(IF('CO-PO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2" s="54" t="str">
        <f>IF('CO-PO Mapping'!P$2, IF(OR($AN62="-",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Mapping'!P$6, IF(OR($AR62="-",SUM(IF('CO-PO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Mapping'!P$7, IF(OR($AS62="-",SUM(IF('CO-PO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2" s="54" t="str">
        <f>IF('CO-PO Mapping'!Q$2, IF(OR($AN62="-",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Mapping'!Q$6, IF(OR($AR62="-",SUM(IF('CO-PO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Mapping'!Q$7, IF(OR($AS62="-",SUM(IF('CO-PO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2" s="54" t="str">
        <f>IF('CO-PO Mapping'!R$2, IF(OR($AN62="-",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Mapping'!R$6, IF(OR($AR62="-",SUM(IF('CO-PO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Mapping'!R$7, IF(OR($AS62="-",SUM(IF('CO-PO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2" s="54" t="str">
        <f>IF('CO-PO Mapping'!S$2, IF(OR($AN62="-",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Mapping'!S$6, IF(OR($AR62="-",SUM(IF('CO-PO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Mapping'!S$7, IF(OR($AS62="-",SUM(IF('CO-PO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2" s="54" t="str">
        <f>IF('CO-PO Mapping'!T$2, IF(OR($AN62="-",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Mapping'!T$6, IF(OR($AR62="-",SUM(IF('CO-PO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Mapping'!T$7, IF(OR($AS62="-",SUM(IF('CO-PO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2" s="54" t="str">
        <f>IF('CO-PO Mapping'!U$2, IF(OR($AN62="-",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Mapping'!U$6, IF(OR($AR62="-",SUM(IF('CO-PO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Mapping'!U$7, IF(OR($AS62="-",SUM(IF('CO-PO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2" s="54" t="str">
        <f>IF('CO-PO Mapping'!V$2, IF(OR($AN62="-",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Mapping'!V$6, IF(OR($AR62="-",SUM(IF('CO-PO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Mapping'!V$7, IF(OR($AS62="-",SUM(IF('CO-PO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2" s="54" t="str">
        <f>IF('CO-PO Mapping'!W$2, IF(OR($AN62="-",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Mapping'!W$6, IF(OR($AR62="-",SUM(IF('CO-PO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Mapping'!W$7, IF(OR($AS62="-",SUM(IF('CO-PO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2" s="54" t="str">
        <f>IF('CO-PO Mapping'!X$2, IF(OR($AN62="-",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Mapping'!X$6, IF(OR($AR62="-",SUM(IF('CO-PO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Mapping'!X$7, IF(OR($AS62="-",SUM(IF('CO-PO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2" s="54" t="str">
        <f>IF('CO-PO Mapping'!Y$2, IF(OR($AN62="-",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Mapping'!Y$6, IF(OR($AR62="-",SUM(IF('CO-PO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Mapping'!Y$7, IF(OR($AS62="-",SUM(IF('CO-PO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2" s="54" t="str">
        <f>IF('CO-PO Mapping'!Z$2, IF(OR($AN62="-",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Mapping'!Z$6, IF(OR($AR62="-",SUM(IF('CO-PO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Mapping'!Z$7, IF(OR($AS62="-",SUM(IF('CO-PO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3" spans="1:57" ht="15" customHeight="1" x14ac:dyDescent="0.2">
      <c r="A63" s="29"/>
      <c r="B63" s="67"/>
      <c r="C63" s="60"/>
      <c r="D63" s="60"/>
      <c r="E63" s="61"/>
      <c r="F63" s="60"/>
      <c r="G63" s="61"/>
      <c r="H63" s="46" t="str">
        <f t="shared" si="2"/>
        <v>-</v>
      </c>
      <c r="I63" s="59"/>
      <c r="J63" s="59"/>
      <c r="K63" s="59"/>
      <c r="L63" s="59"/>
      <c r="M63" s="59"/>
      <c r="N63" s="59"/>
      <c r="O63" s="47" t="str">
        <f t="shared" si="3"/>
        <v>-</v>
      </c>
      <c r="P63" s="59"/>
      <c r="Q63" s="59"/>
      <c r="R63" s="59"/>
      <c r="S63" s="59"/>
      <c r="T63" s="59"/>
      <c r="U63" s="59"/>
      <c r="V63" s="48" t="str">
        <f t="shared" si="4"/>
        <v>-</v>
      </c>
      <c r="W63" s="49" t="str">
        <f t="shared" si="5"/>
        <v>-</v>
      </c>
      <c r="X63" s="50" t="str">
        <f t="shared" si="10"/>
        <v>Error</v>
      </c>
      <c r="Y63" s="98"/>
      <c r="Z63" s="51" t="str">
        <f t="shared" si="26"/>
        <v/>
      </c>
      <c r="AA63" s="51" t="str">
        <f t="shared" si="27"/>
        <v/>
      </c>
      <c r="AB63" s="45">
        <f t="shared" si="11"/>
        <v>0</v>
      </c>
      <c r="AC63" s="45">
        <f t="shared" si="11"/>
        <v>0</v>
      </c>
      <c r="AD63" s="45">
        <f t="shared" si="11"/>
        <v>0</v>
      </c>
      <c r="AE63" s="45">
        <f t="shared" si="11"/>
        <v>0</v>
      </c>
      <c r="AF63" s="45">
        <f t="shared" si="11"/>
        <v>0</v>
      </c>
      <c r="AG63" s="45">
        <f t="shared" si="25"/>
        <v>0</v>
      </c>
      <c r="AH63" s="52">
        <f t="shared" si="12"/>
        <v>0</v>
      </c>
      <c r="AI63" s="52">
        <f t="shared" si="13"/>
        <v>0</v>
      </c>
      <c r="AJ63" s="52">
        <f t="shared" si="14"/>
        <v>0</v>
      </c>
      <c r="AK63" s="52">
        <f t="shared" si="22"/>
        <v>0</v>
      </c>
      <c r="AL63" s="52">
        <f t="shared" si="15"/>
        <v>0</v>
      </c>
      <c r="AM63" s="52">
        <f t="shared" si="16"/>
        <v>0</v>
      </c>
      <c r="AN63" s="53" t="str">
        <f t="shared" si="23"/>
        <v>-</v>
      </c>
      <c r="AO63" s="53" t="str">
        <f t="shared" si="17"/>
        <v>-</v>
      </c>
      <c r="AP63" s="53" t="str">
        <f t="shared" si="18"/>
        <v>-</v>
      </c>
      <c r="AQ63" s="53" t="str">
        <f t="shared" si="19"/>
        <v>-</v>
      </c>
      <c r="AR63" s="53" t="str">
        <f t="shared" si="20"/>
        <v>-</v>
      </c>
      <c r="AS63" s="53" t="str">
        <f t="shared" si="21"/>
        <v>-</v>
      </c>
      <c r="AT63" s="54" t="str">
        <f>IF('CO-PO Mapping'!O$2, IF(OR($AN63="-",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Mapping'!O$6, IF(OR($AR63="-",SUM(IF('CO-PO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Mapping'!O$7, IF(OR($AS63="-",SUM(IF('CO-PO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3" s="54" t="str">
        <f>IF('CO-PO Mapping'!P$2, IF(OR($AN63="-",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Mapping'!P$6, IF(OR($AR63="-",SUM(IF('CO-PO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Mapping'!P$7, IF(OR($AS63="-",SUM(IF('CO-PO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3" s="54" t="str">
        <f>IF('CO-PO Mapping'!Q$2, IF(OR($AN63="-",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Mapping'!Q$6, IF(OR($AR63="-",SUM(IF('CO-PO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Mapping'!Q$7, IF(OR($AS63="-",SUM(IF('CO-PO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3" s="54" t="str">
        <f>IF('CO-PO Mapping'!R$2, IF(OR($AN63="-",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Mapping'!R$6, IF(OR($AR63="-",SUM(IF('CO-PO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Mapping'!R$7, IF(OR($AS63="-",SUM(IF('CO-PO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3" s="54" t="str">
        <f>IF('CO-PO Mapping'!S$2, IF(OR($AN63="-",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Mapping'!S$6, IF(OR($AR63="-",SUM(IF('CO-PO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Mapping'!S$7, IF(OR($AS63="-",SUM(IF('CO-PO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3" s="54" t="str">
        <f>IF('CO-PO Mapping'!T$2, IF(OR($AN63="-",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Mapping'!T$6, IF(OR($AR63="-",SUM(IF('CO-PO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Mapping'!T$7, IF(OR($AS63="-",SUM(IF('CO-PO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3" s="54" t="str">
        <f>IF('CO-PO Mapping'!U$2, IF(OR($AN63="-",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Mapping'!U$6, IF(OR($AR63="-",SUM(IF('CO-PO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Mapping'!U$7, IF(OR($AS63="-",SUM(IF('CO-PO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3" s="54" t="str">
        <f>IF('CO-PO Mapping'!V$2, IF(OR($AN63="-",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Mapping'!V$6, IF(OR($AR63="-",SUM(IF('CO-PO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Mapping'!V$7, IF(OR($AS63="-",SUM(IF('CO-PO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3" s="54" t="str">
        <f>IF('CO-PO Mapping'!W$2, IF(OR($AN63="-",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Mapping'!W$6, IF(OR($AR63="-",SUM(IF('CO-PO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Mapping'!W$7, IF(OR($AS63="-",SUM(IF('CO-PO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3" s="54" t="str">
        <f>IF('CO-PO Mapping'!X$2, IF(OR($AN63="-",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Mapping'!X$6, IF(OR($AR63="-",SUM(IF('CO-PO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Mapping'!X$7, IF(OR($AS63="-",SUM(IF('CO-PO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3" s="54" t="str">
        <f>IF('CO-PO Mapping'!Y$2, IF(OR($AN63="-",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Mapping'!Y$6, IF(OR($AR63="-",SUM(IF('CO-PO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Mapping'!Y$7, IF(OR($AS63="-",SUM(IF('CO-PO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3" s="54" t="str">
        <f>IF('CO-PO Mapping'!Z$2, IF(OR($AN63="-",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Mapping'!Z$6, IF(OR($AR63="-",SUM(IF('CO-PO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Mapping'!Z$7, IF(OR($AS63="-",SUM(IF('CO-PO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4" spans="1:57" ht="15" customHeight="1" x14ac:dyDescent="0.2">
      <c r="A64" s="29"/>
      <c r="B64" s="67"/>
      <c r="C64" s="60"/>
      <c r="D64" s="61"/>
      <c r="E64" s="61"/>
      <c r="F64" s="61"/>
      <c r="G64" s="61"/>
      <c r="H64" s="46" t="str">
        <f t="shared" si="2"/>
        <v>-</v>
      </c>
      <c r="I64" s="59"/>
      <c r="J64" s="59"/>
      <c r="K64" s="59"/>
      <c r="L64" s="59"/>
      <c r="M64" s="59"/>
      <c r="N64" s="59"/>
      <c r="O64" s="47" t="str">
        <f t="shared" si="3"/>
        <v>-</v>
      </c>
      <c r="P64" s="59"/>
      <c r="Q64" s="59"/>
      <c r="R64" s="59"/>
      <c r="S64" s="59"/>
      <c r="T64" s="59"/>
      <c r="U64" s="59"/>
      <c r="V64" s="48" t="str">
        <f t="shared" si="4"/>
        <v>-</v>
      </c>
      <c r="W64" s="49" t="str">
        <f t="shared" si="5"/>
        <v>-</v>
      </c>
      <c r="X64" s="50" t="str">
        <f t="shared" si="10"/>
        <v>Error</v>
      </c>
      <c r="Y64" s="98"/>
      <c r="Z64" s="51" t="str">
        <f t="shared" si="26"/>
        <v/>
      </c>
      <c r="AA64" s="51" t="str">
        <f t="shared" si="27"/>
        <v/>
      </c>
      <c r="AB64" s="45">
        <f t="shared" si="11"/>
        <v>0</v>
      </c>
      <c r="AC64" s="45">
        <f t="shared" si="11"/>
        <v>0</v>
      </c>
      <c r="AD64" s="45">
        <f t="shared" si="11"/>
        <v>0</v>
      </c>
      <c r="AE64" s="45">
        <f t="shared" si="11"/>
        <v>0</v>
      </c>
      <c r="AF64" s="45">
        <f t="shared" si="11"/>
        <v>0</v>
      </c>
      <c r="AG64" s="45">
        <f t="shared" si="25"/>
        <v>0</v>
      </c>
      <c r="AH64" s="52">
        <f t="shared" si="12"/>
        <v>0</v>
      </c>
      <c r="AI64" s="52">
        <f t="shared" si="13"/>
        <v>0</v>
      </c>
      <c r="AJ64" s="52">
        <f t="shared" si="14"/>
        <v>0</v>
      </c>
      <c r="AK64" s="52">
        <f t="shared" si="22"/>
        <v>0</v>
      </c>
      <c r="AL64" s="52">
        <f t="shared" si="15"/>
        <v>0</v>
      </c>
      <c r="AM64" s="52">
        <f t="shared" si="16"/>
        <v>0</v>
      </c>
      <c r="AN64" s="53" t="str">
        <f t="shared" si="23"/>
        <v>-</v>
      </c>
      <c r="AO64" s="53" t="str">
        <f t="shared" si="17"/>
        <v>-</v>
      </c>
      <c r="AP64" s="53" t="str">
        <f t="shared" si="18"/>
        <v>-</v>
      </c>
      <c r="AQ64" s="53" t="str">
        <f t="shared" si="19"/>
        <v>-</v>
      </c>
      <c r="AR64" s="53" t="str">
        <f t="shared" si="20"/>
        <v>-</v>
      </c>
      <c r="AS64" s="53" t="str">
        <f t="shared" si="21"/>
        <v>-</v>
      </c>
      <c r="AT64" s="54" t="str">
        <f>IF('CO-PO Mapping'!O$2, IF(OR($AN64="-",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Mapping'!O$6, IF(OR($AR64="-",SUM(IF('CO-PO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Mapping'!O$7, IF(OR($AS64="-",SUM(IF('CO-PO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4" s="54" t="str">
        <f>IF('CO-PO Mapping'!P$2, IF(OR($AN64="-",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Mapping'!P$6, IF(OR($AR64="-",SUM(IF('CO-PO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Mapping'!P$7, IF(OR($AS64="-",SUM(IF('CO-PO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4" s="54" t="str">
        <f>IF('CO-PO Mapping'!Q$2, IF(OR($AN64="-",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Mapping'!Q$6, IF(OR($AR64="-",SUM(IF('CO-PO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Mapping'!Q$7, IF(OR($AS64="-",SUM(IF('CO-PO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4" s="54" t="str">
        <f>IF('CO-PO Mapping'!R$2, IF(OR($AN64="-",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Mapping'!R$6, IF(OR($AR64="-",SUM(IF('CO-PO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Mapping'!R$7, IF(OR($AS64="-",SUM(IF('CO-PO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4" s="54" t="str">
        <f>IF('CO-PO Mapping'!S$2, IF(OR($AN64="-",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Mapping'!S$6, IF(OR($AR64="-",SUM(IF('CO-PO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Mapping'!S$7, IF(OR($AS64="-",SUM(IF('CO-PO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4" s="54" t="str">
        <f>IF('CO-PO Mapping'!T$2, IF(OR($AN64="-",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Mapping'!T$6, IF(OR($AR64="-",SUM(IF('CO-PO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Mapping'!T$7, IF(OR($AS64="-",SUM(IF('CO-PO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4" s="54" t="str">
        <f>IF('CO-PO Mapping'!U$2, IF(OR($AN64="-",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Mapping'!U$6, IF(OR($AR64="-",SUM(IF('CO-PO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Mapping'!U$7, IF(OR($AS64="-",SUM(IF('CO-PO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4" s="54" t="str">
        <f>IF('CO-PO Mapping'!V$2, IF(OR($AN64="-",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Mapping'!V$6, IF(OR($AR64="-",SUM(IF('CO-PO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Mapping'!V$7, IF(OR($AS64="-",SUM(IF('CO-PO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4" s="54" t="str">
        <f>IF('CO-PO Mapping'!W$2, IF(OR($AN64="-",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Mapping'!W$6, IF(OR($AR64="-",SUM(IF('CO-PO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Mapping'!W$7, IF(OR($AS64="-",SUM(IF('CO-PO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4" s="54" t="str">
        <f>IF('CO-PO Mapping'!X$2, IF(OR($AN64="-",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Mapping'!X$6, IF(OR($AR64="-",SUM(IF('CO-PO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Mapping'!X$7, IF(OR($AS64="-",SUM(IF('CO-PO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4" s="54" t="str">
        <f>IF('CO-PO Mapping'!Y$2, IF(OR($AN64="-",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Mapping'!Y$6, IF(OR($AR64="-",SUM(IF('CO-PO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Mapping'!Y$7, IF(OR($AS64="-",SUM(IF('CO-PO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4" s="54" t="str">
        <f>IF('CO-PO Mapping'!Z$2, IF(OR($AN64="-",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Mapping'!Z$6, IF(OR($AR64="-",SUM(IF('CO-PO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Mapping'!Z$7, IF(OR($AS64="-",SUM(IF('CO-PO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5" spans="1:57" ht="15" customHeight="1" x14ac:dyDescent="0.2">
      <c r="A65" s="29"/>
      <c r="B65" s="67"/>
      <c r="C65" s="60"/>
      <c r="D65" s="60"/>
      <c r="E65" s="61"/>
      <c r="F65" s="60"/>
      <c r="G65" s="61"/>
      <c r="H65" s="46" t="str">
        <f t="shared" si="2"/>
        <v>-</v>
      </c>
      <c r="I65" s="59"/>
      <c r="J65" s="59"/>
      <c r="K65" s="59"/>
      <c r="L65" s="59"/>
      <c r="M65" s="59"/>
      <c r="N65" s="59"/>
      <c r="O65" s="47" t="str">
        <f t="shared" si="3"/>
        <v>-</v>
      </c>
      <c r="P65" s="59"/>
      <c r="Q65" s="59"/>
      <c r="R65" s="59"/>
      <c r="S65" s="59"/>
      <c r="T65" s="59"/>
      <c r="U65" s="59"/>
      <c r="V65" s="48" t="str">
        <f t="shared" si="4"/>
        <v>-</v>
      </c>
      <c r="W65" s="49" t="str">
        <f t="shared" si="5"/>
        <v>-</v>
      </c>
      <c r="X65" s="50" t="str">
        <f t="shared" si="10"/>
        <v>Error</v>
      </c>
      <c r="Y65" s="98"/>
      <c r="Z65" s="51" t="str">
        <f t="shared" si="26"/>
        <v/>
      </c>
      <c r="AA65" s="51" t="str">
        <f t="shared" si="27"/>
        <v/>
      </c>
      <c r="AB65" s="45">
        <f t="shared" si="11"/>
        <v>0</v>
      </c>
      <c r="AC65" s="45">
        <f t="shared" si="11"/>
        <v>0</v>
      </c>
      <c r="AD65" s="45">
        <f t="shared" si="11"/>
        <v>0</v>
      </c>
      <c r="AE65" s="45">
        <f t="shared" si="11"/>
        <v>0</v>
      </c>
      <c r="AF65" s="45">
        <f t="shared" si="11"/>
        <v>0</v>
      </c>
      <c r="AG65" s="45">
        <f t="shared" si="25"/>
        <v>0</v>
      </c>
      <c r="AH65" s="52">
        <f t="shared" si="12"/>
        <v>0</v>
      </c>
      <c r="AI65" s="52">
        <f t="shared" si="13"/>
        <v>0</v>
      </c>
      <c r="AJ65" s="52">
        <f t="shared" si="14"/>
        <v>0</v>
      </c>
      <c r="AK65" s="52">
        <f t="shared" si="22"/>
        <v>0</v>
      </c>
      <c r="AL65" s="52">
        <f t="shared" si="15"/>
        <v>0</v>
      </c>
      <c r="AM65" s="52">
        <f t="shared" si="16"/>
        <v>0</v>
      </c>
      <c r="AN65" s="53" t="str">
        <f t="shared" si="23"/>
        <v>-</v>
      </c>
      <c r="AO65" s="53" t="str">
        <f t="shared" si="17"/>
        <v>-</v>
      </c>
      <c r="AP65" s="53" t="str">
        <f t="shared" si="18"/>
        <v>-</v>
      </c>
      <c r="AQ65" s="53" t="str">
        <f t="shared" si="19"/>
        <v>-</v>
      </c>
      <c r="AR65" s="53" t="str">
        <f t="shared" si="20"/>
        <v>-</v>
      </c>
      <c r="AS65" s="53" t="str">
        <f t="shared" si="21"/>
        <v>-</v>
      </c>
      <c r="AT65" s="54" t="str">
        <f>IF('CO-PO Mapping'!O$2, IF(OR($AN65="-",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Mapping'!O$6, IF(OR($AR65="-",SUM(IF('CO-PO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Mapping'!O$7, IF(OR($AS65="-",SUM(IF('CO-PO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5" s="54" t="str">
        <f>IF('CO-PO Mapping'!P$2, IF(OR($AN65="-",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Mapping'!P$6, IF(OR($AR65="-",SUM(IF('CO-PO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Mapping'!P$7, IF(OR($AS65="-",SUM(IF('CO-PO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5" s="54" t="str">
        <f>IF('CO-PO Mapping'!Q$2, IF(OR($AN65="-",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Mapping'!Q$6, IF(OR($AR65="-",SUM(IF('CO-PO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Mapping'!Q$7, IF(OR($AS65="-",SUM(IF('CO-PO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5" s="54" t="str">
        <f>IF('CO-PO Mapping'!R$2, IF(OR($AN65="-",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Mapping'!R$6, IF(OR($AR65="-",SUM(IF('CO-PO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Mapping'!R$7, IF(OR($AS65="-",SUM(IF('CO-PO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5" s="54" t="str">
        <f>IF('CO-PO Mapping'!S$2, IF(OR($AN65="-",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Mapping'!S$6, IF(OR($AR65="-",SUM(IF('CO-PO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Mapping'!S$7, IF(OR($AS65="-",SUM(IF('CO-PO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5" s="54" t="str">
        <f>IF('CO-PO Mapping'!T$2, IF(OR($AN65="-",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Mapping'!T$6, IF(OR($AR65="-",SUM(IF('CO-PO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Mapping'!T$7, IF(OR($AS65="-",SUM(IF('CO-PO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5" s="54" t="str">
        <f>IF('CO-PO Mapping'!U$2, IF(OR($AN65="-",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Mapping'!U$6, IF(OR($AR65="-",SUM(IF('CO-PO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Mapping'!U$7, IF(OR($AS65="-",SUM(IF('CO-PO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5" s="54" t="str">
        <f>IF('CO-PO Mapping'!V$2, IF(OR($AN65="-",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Mapping'!V$6, IF(OR($AR65="-",SUM(IF('CO-PO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Mapping'!V$7, IF(OR($AS65="-",SUM(IF('CO-PO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5" s="54" t="str">
        <f>IF('CO-PO Mapping'!W$2, IF(OR($AN65="-",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Mapping'!W$6, IF(OR($AR65="-",SUM(IF('CO-PO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Mapping'!W$7, IF(OR($AS65="-",SUM(IF('CO-PO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5" s="54" t="str">
        <f>IF('CO-PO Mapping'!X$2, IF(OR($AN65="-",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Mapping'!X$6, IF(OR($AR65="-",SUM(IF('CO-PO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Mapping'!X$7, IF(OR($AS65="-",SUM(IF('CO-PO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5" s="54" t="str">
        <f>IF('CO-PO Mapping'!Y$2, IF(OR($AN65="-",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Mapping'!Y$6, IF(OR($AR65="-",SUM(IF('CO-PO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Mapping'!Y$7, IF(OR($AS65="-",SUM(IF('CO-PO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5" s="54" t="str">
        <f>IF('CO-PO Mapping'!Z$2, IF(OR($AN65="-",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Mapping'!Z$6, IF(OR($AR65="-",SUM(IF('CO-PO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Mapping'!Z$7, IF(OR($AS65="-",SUM(IF('CO-PO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6" spans="1:57" ht="15" customHeight="1" x14ac:dyDescent="0.2">
      <c r="A66" s="29"/>
      <c r="B66" s="67"/>
      <c r="C66" s="60"/>
      <c r="D66" s="61"/>
      <c r="E66" s="61"/>
      <c r="F66" s="61"/>
      <c r="G66" s="61"/>
      <c r="H66" s="46" t="str">
        <f t="shared" si="2"/>
        <v>-</v>
      </c>
      <c r="I66" s="59"/>
      <c r="J66" s="59"/>
      <c r="K66" s="59"/>
      <c r="L66" s="59"/>
      <c r="M66" s="59"/>
      <c r="N66" s="59"/>
      <c r="O66" s="47" t="str">
        <f t="shared" si="3"/>
        <v>-</v>
      </c>
      <c r="P66" s="59"/>
      <c r="Q66" s="59"/>
      <c r="R66" s="59"/>
      <c r="S66" s="59"/>
      <c r="T66" s="59"/>
      <c r="U66" s="59"/>
      <c r="V66" s="48" t="str">
        <f t="shared" si="4"/>
        <v>-</v>
      </c>
      <c r="W66" s="49" t="str">
        <f t="shared" si="5"/>
        <v>-</v>
      </c>
      <c r="X66" s="50" t="str">
        <f t="shared" si="10"/>
        <v>Error</v>
      </c>
      <c r="Y66" s="98"/>
      <c r="Z66" s="51" t="str">
        <f t="shared" si="26"/>
        <v/>
      </c>
      <c r="AA66" s="51" t="str">
        <f t="shared" si="27"/>
        <v/>
      </c>
      <c r="AB66" s="45">
        <f t="shared" si="11"/>
        <v>0</v>
      </c>
      <c r="AC66" s="45">
        <f t="shared" si="11"/>
        <v>0</v>
      </c>
      <c r="AD66" s="45">
        <f t="shared" si="11"/>
        <v>0</v>
      </c>
      <c r="AE66" s="45">
        <f t="shared" si="11"/>
        <v>0</v>
      </c>
      <c r="AF66" s="45">
        <f t="shared" si="11"/>
        <v>0</v>
      </c>
      <c r="AG66" s="45">
        <f t="shared" si="25"/>
        <v>0</v>
      </c>
      <c r="AH66" s="52">
        <f t="shared" si="12"/>
        <v>0</v>
      </c>
      <c r="AI66" s="52">
        <f t="shared" si="13"/>
        <v>0</v>
      </c>
      <c r="AJ66" s="52">
        <f t="shared" si="14"/>
        <v>0</v>
      </c>
      <c r="AK66" s="52">
        <f t="shared" si="22"/>
        <v>0</v>
      </c>
      <c r="AL66" s="52">
        <f t="shared" si="15"/>
        <v>0</v>
      </c>
      <c r="AM66" s="52">
        <f t="shared" si="16"/>
        <v>0</v>
      </c>
      <c r="AN66" s="53" t="str">
        <f t="shared" si="23"/>
        <v>-</v>
      </c>
      <c r="AO66" s="53" t="str">
        <f t="shared" si="17"/>
        <v>-</v>
      </c>
      <c r="AP66" s="53" t="str">
        <f t="shared" si="18"/>
        <v>-</v>
      </c>
      <c r="AQ66" s="53" t="str">
        <f t="shared" si="19"/>
        <v>-</v>
      </c>
      <c r="AR66" s="53" t="str">
        <f t="shared" si="20"/>
        <v>-</v>
      </c>
      <c r="AS66" s="53" t="str">
        <f t="shared" si="21"/>
        <v>-</v>
      </c>
      <c r="AT66" s="54" t="str">
        <f>IF('CO-PO Mapping'!O$2, IF(OR($AN66="-",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Mapping'!O$6, IF(OR($AR66="-",SUM(IF('CO-PO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Mapping'!O$7, IF(OR($AS66="-",SUM(IF('CO-PO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6" s="54" t="str">
        <f>IF('CO-PO Mapping'!P$2, IF(OR($AN66="-",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Mapping'!P$6, IF(OR($AR66="-",SUM(IF('CO-PO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Mapping'!P$7, IF(OR($AS66="-",SUM(IF('CO-PO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6" s="54" t="str">
        <f>IF('CO-PO Mapping'!Q$2, IF(OR($AN66="-",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Mapping'!Q$6, IF(OR($AR66="-",SUM(IF('CO-PO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Mapping'!Q$7, IF(OR($AS66="-",SUM(IF('CO-PO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6" s="54" t="str">
        <f>IF('CO-PO Mapping'!R$2, IF(OR($AN66="-",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Mapping'!R$6, IF(OR($AR66="-",SUM(IF('CO-PO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Mapping'!R$7, IF(OR($AS66="-",SUM(IF('CO-PO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6" s="54" t="str">
        <f>IF('CO-PO Mapping'!S$2, IF(OR($AN66="-",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Mapping'!S$6, IF(OR($AR66="-",SUM(IF('CO-PO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Mapping'!S$7, IF(OR($AS66="-",SUM(IF('CO-PO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6" s="54" t="str">
        <f>IF('CO-PO Mapping'!T$2, IF(OR($AN66="-",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Mapping'!T$6, IF(OR($AR66="-",SUM(IF('CO-PO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Mapping'!T$7, IF(OR($AS66="-",SUM(IF('CO-PO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6" s="54" t="str">
        <f>IF('CO-PO Mapping'!U$2, IF(OR($AN66="-",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Mapping'!U$6, IF(OR($AR66="-",SUM(IF('CO-PO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Mapping'!U$7, IF(OR($AS66="-",SUM(IF('CO-PO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6" s="54" t="str">
        <f>IF('CO-PO Mapping'!V$2, IF(OR($AN66="-",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Mapping'!V$6, IF(OR($AR66="-",SUM(IF('CO-PO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Mapping'!V$7, IF(OR($AS66="-",SUM(IF('CO-PO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6" s="54" t="str">
        <f>IF('CO-PO Mapping'!W$2, IF(OR($AN66="-",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Mapping'!W$6, IF(OR($AR66="-",SUM(IF('CO-PO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Mapping'!W$7, IF(OR($AS66="-",SUM(IF('CO-PO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6" s="54" t="str">
        <f>IF('CO-PO Mapping'!X$2, IF(OR($AN66="-",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Mapping'!X$6, IF(OR($AR66="-",SUM(IF('CO-PO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Mapping'!X$7, IF(OR($AS66="-",SUM(IF('CO-PO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6" s="54" t="str">
        <f>IF('CO-PO Mapping'!Y$2, IF(OR($AN66="-",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Mapping'!Y$6, IF(OR($AR66="-",SUM(IF('CO-PO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Mapping'!Y$7, IF(OR($AS66="-",SUM(IF('CO-PO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6" s="54" t="str">
        <f>IF('CO-PO Mapping'!Z$2, IF(OR($AN66="-",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Mapping'!Z$6, IF(OR($AR66="-",SUM(IF('CO-PO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Mapping'!Z$7, IF(OR($AS66="-",SUM(IF('CO-PO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7" spans="1:57" ht="15" customHeight="1" x14ac:dyDescent="0.2">
      <c r="A67" s="29"/>
      <c r="B67" s="67"/>
      <c r="C67" s="60"/>
      <c r="D67" s="61"/>
      <c r="E67" s="61"/>
      <c r="F67" s="61"/>
      <c r="G67" s="61"/>
      <c r="H67" s="46" t="str">
        <f t="shared" si="2"/>
        <v>-</v>
      </c>
      <c r="I67" s="59"/>
      <c r="J67" s="59"/>
      <c r="K67" s="59"/>
      <c r="L67" s="59"/>
      <c r="M67" s="59"/>
      <c r="N67" s="59"/>
      <c r="O67" s="47" t="str">
        <f t="shared" si="3"/>
        <v>-</v>
      </c>
      <c r="P67" s="59"/>
      <c r="Q67" s="59"/>
      <c r="R67" s="59"/>
      <c r="S67" s="59"/>
      <c r="T67" s="59"/>
      <c r="U67" s="59"/>
      <c r="V67" s="48" t="str">
        <f t="shared" si="4"/>
        <v>-</v>
      </c>
      <c r="W67" s="49" t="str">
        <f t="shared" si="5"/>
        <v>-</v>
      </c>
      <c r="X67" s="50" t="str">
        <f t="shared" si="10"/>
        <v>Error</v>
      </c>
      <c r="Y67" s="98"/>
      <c r="Z67" s="51" t="str">
        <f t="shared" si="26"/>
        <v/>
      </c>
      <c r="AA67" s="51" t="str">
        <f t="shared" si="27"/>
        <v/>
      </c>
      <c r="AB67" s="45">
        <f t="shared" si="11"/>
        <v>0</v>
      </c>
      <c r="AC67" s="45">
        <f t="shared" si="11"/>
        <v>0</v>
      </c>
      <c r="AD67" s="45">
        <f t="shared" si="11"/>
        <v>0</v>
      </c>
      <c r="AE67" s="45">
        <f t="shared" si="11"/>
        <v>0</v>
      </c>
      <c r="AF67" s="45">
        <f t="shared" si="11"/>
        <v>0</v>
      </c>
      <c r="AG67" s="45">
        <f t="shared" si="25"/>
        <v>0</v>
      </c>
      <c r="AH67" s="52">
        <f t="shared" si="12"/>
        <v>0</v>
      </c>
      <c r="AI67" s="52">
        <f t="shared" si="13"/>
        <v>0</v>
      </c>
      <c r="AJ67" s="52">
        <f t="shared" si="14"/>
        <v>0</v>
      </c>
      <c r="AK67" s="52">
        <f t="shared" si="22"/>
        <v>0</v>
      </c>
      <c r="AL67" s="52">
        <f t="shared" si="15"/>
        <v>0</v>
      </c>
      <c r="AM67" s="52">
        <f t="shared" si="16"/>
        <v>0</v>
      </c>
      <c r="AN67" s="53" t="str">
        <f t="shared" si="23"/>
        <v>-</v>
      </c>
      <c r="AO67" s="53" t="str">
        <f t="shared" si="17"/>
        <v>-</v>
      </c>
      <c r="AP67" s="53" t="str">
        <f t="shared" si="18"/>
        <v>-</v>
      </c>
      <c r="AQ67" s="53" t="str">
        <f t="shared" si="19"/>
        <v>-</v>
      </c>
      <c r="AR67" s="53" t="str">
        <f t="shared" si="20"/>
        <v>-</v>
      </c>
      <c r="AS67" s="53" t="str">
        <f t="shared" si="21"/>
        <v>-</v>
      </c>
      <c r="AT67" s="54" t="str">
        <f>IF('CO-PO Mapping'!O$2, IF(OR($AN67="-",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Mapping'!O$6, IF(OR($AR67="-",SUM(IF('CO-PO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Mapping'!O$7, IF(OR($AS67="-",SUM(IF('CO-PO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7" s="54" t="str">
        <f>IF('CO-PO Mapping'!P$2, IF(OR($AN67="-",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Mapping'!P$6, IF(OR($AR67="-",SUM(IF('CO-PO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Mapping'!P$7, IF(OR($AS67="-",SUM(IF('CO-PO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7" s="54" t="str">
        <f>IF('CO-PO Mapping'!Q$2, IF(OR($AN67="-",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Mapping'!Q$6, IF(OR($AR67="-",SUM(IF('CO-PO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Mapping'!Q$7, IF(OR($AS67="-",SUM(IF('CO-PO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7" s="54" t="str">
        <f>IF('CO-PO Mapping'!R$2, IF(OR($AN67="-",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Mapping'!R$6, IF(OR($AR67="-",SUM(IF('CO-PO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Mapping'!R$7, IF(OR($AS67="-",SUM(IF('CO-PO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7" s="54" t="str">
        <f>IF('CO-PO Mapping'!S$2, IF(OR($AN67="-",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Mapping'!S$6, IF(OR($AR67="-",SUM(IF('CO-PO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Mapping'!S$7, IF(OR($AS67="-",SUM(IF('CO-PO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7" s="54" t="str">
        <f>IF('CO-PO Mapping'!T$2, IF(OR($AN67="-",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Mapping'!T$6, IF(OR($AR67="-",SUM(IF('CO-PO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Mapping'!T$7, IF(OR($AS67="-",SUM(IF('CO-PO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7" s="54" t="str">
        <f>IF('CO-PO Mapping'!U$2, IF(OR($AN67="-",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Mapping'!U$6, IF(OR($AR67="-",SUM(IF('CO-PO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Mapping'!U$7, IF(OR($AS67="-",SUM(IF('CO-PO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7" s="54" t="str">
        <f>IF('CO-PO Mapping'!V$2, IF(OR($AN67="-",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Mapping'!V$6, IF(OR($AR67="-",SUM(IF('CO-PO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Mapping'!V$7, IF(OR($AS67="-",SUM(IF('CO-PO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7" s="54" t="str">
        <f>IF('CO-PO Mapping'!W$2, IF(OR($AN67="-",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Mapping'!W$6, IF(OR($AR67="-",SUM(IF('CO-PO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Mapping'!W$7, IF(OR($AS67="-",SUM(IF('CO-PO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7" s="54" t="str">
        <f>IF('CO-PO Mapping'!X$2, IF(OR($AN67="-",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Mapping'!X$6, IF(OR($AR67="-",SUM(IF('CO-PO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Mapping'!X$7, IF(OR($AS67="-",SUM(IF('CO-PO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7" s="54" t="str">
        <f>IF('CO-PO Mapping'!Y$2, IF(OR($AN67="-",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Mapping'!Y$6, IF(OR($AR67="-",SUM(IF('CO-PO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Mapping'!Y$7, IF(OR($AS67="-",SUM(IF('CO-PO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7" s="54" t="str">
        <f>IF('CO-PO Mapping'!Z$2, IF(OR($AN67="-",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Mapping'!Z$6, IF(OR($AR67="-",SUM(IF('CO-PO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Mapping'!Z$7, IF(OR($AS67="-",SUM(IF('CO-PO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8" spans="1:57" ht="15" customHeight="1" x14ac:dyDescent="0.2">
      <c r="A68" s="29"/>
      <c r="B68" s="68"/>
      <c r="C68" s="69"/>
      <c r="D68" s="69"/>
      <c r="E68" s="70"/>
      <c r="F68" s="69"/>
      <c r="G68" s="70"/>
      <c r="H68" s="46" t="str">
        <f t="shared" si="2"/>
        <v>-</v>
      </c>
      <c r="I68" s="59"/>
      <c r="J68" s="59"/>
      <c r="K68" s="59"/>
      <c r="L68" s="59"/>
      <c r="M68" s="59"/>
      <c r="N68" s="59"/>
      <c r="O68" s="47" t="str">
        <f t="shared" si="3"/>
        <v>-</v>
      </c>
      <c r="P68" s="59"/>
      <c r="Q68" s="59"/>
      <c r="R68" s="59"/>
      <c r="S68" s="59"/>
      <c r="T68" s="59"/>
      <c r="U68" s="59"/>
      <c r="V68" s="48" t="str">
        <f t="shared" si="4"/>
        <v>-</v>
      </c>
      <c r="W68" s="49" t="str">
        <f t="shared" si="5"/>
        <v>-</v>
      </c>
      <c r="X68" s="50" t="str">
        <f t="shared" si="10"/>
        <v>Error</v>
      </c>
      <c r="Y68" s="98"/>
      <c r="Z68" s="51" t="str">
        <f t="shared" si="26"/>
        <v/>
      </c>
      <c r="AA68" s="51" t="str">
        <f t="shared" si="27"/>
        <v/>
      </c>
      <c r="AB68" s="45">
        <f t="shared" si="11"/>
        <v>0</v>
      </c>
      <c r="AC68" s="45">
        <f t="shared" si="11"/>
        <v>0</v>
      </c>
      <c r="AD68" s="45">
        <f t="shared" si="11"/>
        <v>0</v>
      </c>
      <c r="AE68" s="45">
        <f t="shared" si="11"/>
        <v>0</v>
      </c>
      <c r="AF68" s="45">
        <f t="shared" si="11"/>
        <v>0</v>
      </c>
      <c r="AG68" s="45">
        <f t="shared" si="25"/>
        <v>0</v>
      </c>
      <c r="AH68" s="52">
        <f t="shared" si="12"/>
        <v>0</v>
      </c>
      <c r="AI68" s="52">
        <f t="shared" si="13"/>
        <v>0</v>
      </c>
      <c r="AJ68" s="52">
        <f t="shared" si="14"/>
        <v>0</v>
      </c>
      <c r="AK68" s="52">
        <f t="shared" si="22"/>
        <v>0</v>
      </c>
      <c r="AL68" s="52">
        <f t="shared" si="15"/>
        <v>0</v>
      </c>
      <c r="AM68" s="52">
        <f t="shared" si="16"/>
        <v>0</v>
      </c>
      <c r="AN68" s="53" t="str">
        <f t="shared" si="23"/>
        <v>-</v>
      </c>
      <c r="AO68" s="53" t="str">
        <f t="shared" si="17"/>
        <v>-</v>
      </c>
      <c r="AP68" s="53" t="str">
        <f t="shared" si="18"/>
        <v>-</v>
      </c>
      <c r="AQ68" s="53" t="str">
        <f t="shared" si="19"/>
        <v>-</v>
      </c>
      <c r="AR68" s="53" t="str">
        <f t="shared" si="20"/>
        <v>-</v>
      </c>
      <c r="AS68" s="53" t="str">
        <f t="shared" si="21"/>
        <v>-</v>
      </c>
      <c r="AT68" s="54" t="str">
        <f>IF('CO-PO Mapping'!O$2, IF(OR($AN68="-",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Mapping'!O$6, IF(OR($AR68="-",SUM(IF('CO-PO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Mapping'!O$7, IF(OR($AS68="-",SUM(IF('CO-PO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8" s="54" t="str">
        <f>IF('CO-PO Mapping'!P$2, IF(OR($AN68="-",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Mapping'!P$6, IF(OR($AR68="-",SUM(IF('CO-PO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Mapping'!P$7, IF(OR($AS68="-",SUM(IF('CO-PO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8" s="54" t="str">
        <f>IF('CO-PO Mapping'!Q$2, IF(OR($AN68="-",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Mapping'!Q$6, IF(OR($AR68="-",SUM(IF('CO-PO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Mapping'!Q$7, IF(OR($AS68="-",SUM(IF('CO-PO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8" s="54" t="str">
        <f>IF('CO-PO Mapping'!R$2, IF(OR($AN68="-",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Mapping'!R$6, IF(OR($AR68="-",SUM(IF('CO-PO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Mapping'!R$7, IF(OR($AS68="-",SUM(IF('CO-PO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8" s="54" t="str">
        <f>IF('CO-PO Mapping'!S$2, IF(OR($AN68="-",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Mapping'!S$6, IF(OR($AR68="-",SUM(IF('CO-PO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Mapping'!S$7, IF(OR($AS68="-",SUM(IF('CO-PO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8" s="54" t="str">
        <f>IF('CO-PO Mapping'!T$2, IF(OR($AN68="-",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Mapping'!T$6, IF(OR($AR68="-",SUM(IF('CO-PO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Mapping'!T$7, IF(OR($AS68="-",SUM(IF('CO-PO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8" s="54" t="str">
        <f>IF('CO-PO Mapping'!U$2, IF(OR($AN68="-",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Mapping'!U$6, IF(OR($AR68="-",SUM(IF('CO-PO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Mapping'!U$7, IF(OR($AS68="-",SUM(IF('CO-PO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8" s="54" t="str">
        <f>IF('CO-PO Mapping'!V$2, IF(OR($AN68="-",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Mapping'!V$6, IF(OR($AR68="-",SUM(IF('CO-PO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Mapping'!V$7, IF(OR($AS68="-",SUM(IF('CO-PO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8" s="54" t="str">
        <f>IF('CO-PO Mapping'!W$2, IF(OR($AN68="-",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Mapping'!W$6, IF(OR($AR68="-",SUM(IF('CO-PO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Mapping'!W$7, IF(OR($AS68="-",SUM(IF('CO-PO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8" s="54" t="str">
        <f>IF('CO-PO Mapping'!X$2, IF(OR($AN68="-",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Mapping'!X$6, IF(OR($AR68="-",SUM(IF('CO-PO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Mapping'!X$7, IF(OR($AS68="-",SUM(IF('CO-PO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8" s="54" t="str">
        <f>IF('CO-PO Mapping'!Y$2, IF(OR($AN68="-",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Mapping'!Y$6, IF(OR($AR68="-",SUM(IF('CO-PO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Mapping'!Y$7, IF(OR($AS68="-",SUM(IF('CO-PO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8" s="54" t="str">
        <f>IF('CO-PO Mapping'!Z$2, IF(OR($AN68="-",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Mapping'!Z$6, IF(OR($AR68="-",SUM(IF('CO-PO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Mapping'!Z$7, IF(OR($AS68="-",SUM(IF('CO-PO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9" spans="1:57" ht="15" customHeight="1" x14ac:dyDescent="0.2">
      <c r="A69" s="29"/>
      <c r="B69" s="71"/>
      <c r="C69" s="72"/>
      <c r="D69" s="59"/>
      <c r="E69" s="59"/>
      <c r="F69" s="59"/>
      <c r="G69" s="59"/>
      <c r="H69" s="46" t="str">
        <f t="shared" si="2"/>
        <v>-</v>
      </c>
      <c r="I69" s="59"/>
      <c r="J69" s="59"/>
      <c r="K69" s="59"/>
      <c r="L69" s="59"/>
      <c r="M69" s="59"/>
      <c r="N69" s="59"/>
      <c r="O69" s="47" t="str">
        <f t="shared" si="3"/>
        <v>-</v>
      </c>
      <c r="P69" s="59"/>
      <c r="Q69" s="59"/>
      <c r="R69" s="59"/>
      <c r="S69" s="59"/>
      <c r="T69" s="59"/>
      <c r="U69" s="59"/>
      <c r="V69" s="48" t="str">
        <f t="shared" si="4"/>
        <v>-</v>
      </c>
      <c r="W69" s="49" t="str">
        <f t="shared" si="5"/>
        <v>-</v>
      </c>
      <c r="X69" s="50" t="str">
        <f t="shared" si="10"/>
        <v>Error</v>
      </c>
      <c r="Y69" s="99"/>
      <c r="Z69" s="51" t="str">
        <f t="shared" si="26"/>
        <v/>
      </c>
      <c r="AA69" s="51" t="str">
        <f t="shared" si="27"/>
        <v/>
      </c>
      <c r="AB69" s="45">
        <f t="shared" si="11"/>
        <v>0</v>
      </c>
      <c r="AC69" s="45">
        <f t="shared" si="11"/>
        <v>0</v>
      </c>
      <c r="AD69" s="45">
        <f t="shared" si="11"/>
        <v>0</v>
      </c>
      <c r="AE69" s="45">
        <f t="shared" si="11"/>
        <v>0</v>
      </c>
      <c r="AF69" s="45">
        <f t="shared" si="11"/>
        <v>0</v>
      </c>
      <c r="AG69" s="45">
        <f t="shared" si="25"/>
        <v>0</v>
      </c>
      <c r="AH69" s="52">
        <f t="shared" si="12"/>
        <v>0</v>
      </c>
      <c r="AI69" s="52">
        <f t="shared" si="13"/>
        <v>0</v>
      </c>
      <c r="AJ69" s="52">
        <f t="shared" si="14"/>
        <v>0</v>
      </c>
      <c r="AK69" s="52">
        <f t="shared" si="22"/>
        <v>0</v>
      </c>
      <c r="AL69" s="52">
        <f t="shared" si="15"/>
        <v>0</v>
      </c>
      <c r="AM69" s="52">
        <f t="shared" si="16"/>
        <v>0</v>
      </c>
      <c r="AN69" s="53" t="str">
        <f t="shared" si="23"/>
        <v>-</v>
      </c>
      <c r="AO69" s="53" t="str">
        <f t="shared" si="17"/>
        <v>-</v>
      </c>
      <c r="AP69" s="53" t="str">
        <f t="shared" si="18"/>
        <v>-</v>
      </c>
      <c r="AQ69" s="53" t="str">
        <f t="shared" si="19"/>
        <v>-</v>
      </c>
      <c r="AR69" s="53" t="str">
        <f t="shared" si="20"/>
        <v>-</v>
      </c>
      <c r="AS69" s="53" t="str">
        <f>IF(OR($Z69="",AND(AM69=0,$Z69="")),"-",IF(AM69&gt;=$AQ$27,"Y","N"))</f>
        <v>-</v>
      </c>
      <c r="AT69" s="54" t="str">
        <f>IF('CO-PO Mapping'!O$2, IF(OR($AN69="-",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Mapping'!O$6, IF(OR($AR69="-",SUM(IF('CO-PO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Mapping'!O$7, IF(OR($AS69="-",SUM(IF('CO-PO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69" s="54" t="str">
        <f>IF('CO-PO Mapping'!P$2, IF(OR($AN69="-",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Mapping'!P$6, IF(OR($AR69="-",SUM(IF('CO-PO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Mapping'!P$7, IF(OR($AS69="-",SUM(IF('CO-PO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69" s="54" t="str">
        <f>IF('CO-PO Mapping'!Q$2, IF(OR($AN69="-",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Mapping'!Q$6, IF(OR($AR69="-",SUM(IF('CO-PO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Mapping'!Q$7, IF(OR($AS69="-",SUM(IF('CO-PO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69" s="54" t="str">
        <f>IF('CO-PO Mapping'!R$2, IF(OR($AN69="-",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Mapping'!R$6, IF(OR($AR69="-",SUM(IF('CO-PO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Mapping'!R$7, IF(OR($AS69="-",SUM(IF('CO-PO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9" s="54" t="str">
        <f>IF('CO-PO Mapping'!S$2, IF(OR($AN69="-",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Mapping'!S$6, IF(OR($AR69="-",SUM(IF('CO-PO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Mapping'!S$7, IF(OR($AS69="-",SUM(IF('CO-PO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9" s="54" t="str">
        <f>IF('CO-PO Mapping'!T$2, IF(OR($AN69="-",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Mapping'!T$6, IF(OR($AR69="-",SUM(IF('CO-PO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Mapping'!T$7, IF(OR($AS69="-",SUM(IF('CO-PO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9" s="54" t="str">
        <f>IF('CO-PO Mapping'!U$2, IF(OR($AN69="-",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Mapping'!U$6, IF(OR($AR69="-",SUM(IF('CO-PO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Mapping'!U$7, IF(OR($AS69="-",SUM(IF('CO-PO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9" s="54" t="str">
        <f>IF('CO-PO Mapping'!V$2, IF(OR($AN69="-",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Mapping'!V$6, IF(OR($AR69="-",SUM(IF('CO-PO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Mapping'!V$7, IF(OR($AS69="-",SUM(IF('CO-PO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9" s="54" t="str">
        <f>IF('CO-PO Mapping'!W$2, IF(OR($AN69="-",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Mapping'!W$6, IF(OR($AR69="-",SUM(IF('CO-PO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Mapping'!W$7, IF(OR($AS69="-",SUM(IF('CO-PO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9" s="54" t="str">
        <f>IF('CO-PO Mapping'!X$2, IF(OR($AN69="-",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Mapping'!X$6, IF(OR($AR69="-",SUM(IF('CO-PO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Mapping'!X$7, IF(OR($AS69="-",SUM(IF('CO-PO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9" s="54" t="str">
        <f>IF('CO-PO Mapping'!Y$2, IF(OR($AN69="-",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Mapping'!Y$6, IF(OR($AR69="-",SUM(IF('CO-PO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Mapping'!Y$7, IF(OR($AS69="-",SUM(IF('CO-PO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9" s="54" t="str">
        <f>IF('CO-PO Mapping'!Z$2, IF(OR($AN69="-",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Mapping'!Z$6, IF(OR($AR69="-",SUM(IF('CO-PO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Mapping'!Z$7, IF(OR($AS69="-",SUM(IF('CO-PO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0" spans="1:57" ht="15" customHeight="1" x14ac:dyDescent="0.2">
      <c r="A70" s="29"/>
      <c r="B70" s="71"/>
      <c r="C70" s="72"/>
      <c r="D70" s="72"/>
      <c r="E70" s="59"/>
      <c r="F70" s="59"/>
      <c r="G70" s="59"/>
      <c r="H70" s="46" t="str">
        <f>IF(LEN(A70)=11,IF(OR(C70&gt;C$29,D70&gt;D$29,E70&gt;E$29,F70&gt;F$29,G70&gt;G$29,C70&lt;0,D70&lt;0,E70&lt;0,F70&lt;0,G70&lt;0),"Error",SUM(C70:G70)),"-")</f>
        <v>-</v>
      </c>
      <c r="I70" s="59"/>
      <c r="J70" s="59"/>
      <c r="K70" s="59"/>
      <c r="L70" s="59"/>
      <c r="M70" s="59"/>
      <c r="N70" s="59"/>
      <c r="O70" s="47" t="str">
        <f>IF(LEN(A70)=11,IF(OR(I70=UPPER("a"),J70=UPPER("a"),K70=UPPER("a"),L70=UPPER("a"),M70=UPPER("a"),N70=UPPER("a")),"A",IF(OR(I70&gt;I$29,J70&gt;J$29,K70&gt;K$29,L70&gt;L$29,M70&gt;M$29,N70&gt;N$29,I70&lt;0,J70&lt;0,K70&lt;0,L70&lt;0,M70&lt;0,N70&lt;0),"Error",SUM(I70:N70))),"-")</f>
        <v>-</v>
      </c>
      <c r="P70" s="59"/>
      <c r="Q70" s="59"/>
      <c r="R70" s="59"/>
      <c r="S70" s="59"/>
      <c r="T70" s="59"/>
      <c r="U70" s="59"/>
      <c r="V70" s="48" t="str">
        <f>IF(LEN(A70)=11,IF(OR(P70=UPPER("a"),Q70=UPPER("a"),R70=UPPER("a"),S70=UPPER("a"),T70=UPPER("a"),U70=UPPER("a")),"A",IF(OR(P70&gt;P$29,Q70&gt;Q$29,R70&gt;R$29,S70&gt;S$29,T70&gt;T$29,U70&gt;U$29,P70&lt;0,Q70&lt;0,R70&lt;0,S70&lt;0,T70&lt;0,U70&lt;0),"Error",SUM(P70:U70))),"-")</f>
        <v>-</v>
      </c>
      <c r="W70" s="49" t="str">
        <f t="shared" ref="W70:W100" si="28">IF(LEN(A70)=11,IF(AND(ISNUMBER(H70),ISNUMBER(O70),ISNUMBER(V70)),SUM(H70+O70+V70),"Absent"),"-")</f>
        <v>-</v>
      </c>
      <c r="X70" s="50" t="str">
        <f>IF(LEN(A70)=11,IF(ISNUMBER(W70),IF(A70&lt;&gt;"",IF(W70&gt;=80,"A (Plus)",IF(W70&gt;=75,"A",IF(W70&gt;=70,"A (Minus)",IF(W70&gt;=65,"B (Plus)",IF(W70&gt;=60,"B",IF(W70&gt;=55,"B (Minus)",IF(W70&gt;=50,"C (Plus)",IF(W70&gt;=45,"C",IF(W70&gt;=40,"D","F (Fail)"))))))))),"-"),IF(O70="A","F (Fail)",IF(V70="A","Incomplete","Error"))),"-")</f>
        <v>-</v>
      </c>
      <c r="Y70" s="100"/>
      <c r="Z70" s="51" t="str">
        <f t="shared" si="26"/>
        <v/>
      </c>
      <c r="AA70" s="51" t="str">
        <f t="shared" si="27"/>
        <v/>
      </c>
      <c r="AB70" s="45">
        <f t="shared" si="11"/>
        <v>0</v>
      </c>
      <c r="AC70" s="45">
        <f t="shared" si="11"/>
        <v>0</v>
      </c>
      <c r="AD70" s="45">
        <f t="shared" si="11"/>
        <v>0</v>
      </c>
      <c r="AE70" s="45">
        <f t="shared" si="11"/>
        <v>0</v>
      </c>
      <c r="AF70" s="45">
        <f t="shared" si="11"/>
        <v>0</v>
      </c>
      <c r="AG70" s="45">
        <f t="shared" si="25"/>
        <v>0</v>
      </c>
      <c r="AH70" s="52">
        <f t="shared" si="12"/>
        <v>0</v>
      </c>
      <c r="AI70" s="52">
        <f t="shared" si="13"/>
        <v>0</v>
      </c>
      <c r="AJ70" s="52">
        <f t="shared" si="14"/>
        <v>0</v>
      </c>
      <c r="AK70" s="52">
        <f t="shared" si="22"/>
        <v>0</v>
      </c>
      <c r="AL70" s="52">
        <f t="shared" si="15"/>
        <v>0</v>
      </c>
      <c r="AM70" s="52">
        <f t="shared" si="16"/>
        <v>0</v>
      </c>
      <c r="AN70" s="53" t="str">
        <f t="shared" si="23"/>
        <v>-</v>
      </c>
      <c r="AO70" s="53" t="str">
        <f t="shared" si="17"/>
        <v>-</v>
      </c>
      <c r="AP70" s="53" t="str">
        <f t="shared" si="18"/>
        <v>-</v>
      </c>
      <c r="AQ70" s="53" t="str">
        <f t="shared" si="19"/>
        <v>-</v>
      </c>
      <c r="AR70" s="53" t="str">
        <f t="shared" si="20"/>
        <v>-</v>
      </c>
      <c r="AS70" s="53" t="str">
        <f t="shared" si="21"/>
        <v>-</v>
      </c>
      <c r="AT70" s="54" t="str">
        <f>IF('CO-PO Mapping'!O$2, IF(OR($AN70="-",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Mapping'!O$6, IF(OR($AR70="-",SUM(IF('CO-PO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Mapping'!O$7, IF(OR($AS70="-",SUM(IF('CO-PO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0" s="54" t="str">
        <f>IF('CO-PO Mapping'!P$2, IF(OR($AN70="-",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Mapping'!P$6, IF(OR($AR70="-",SUM(IF('CO-PO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Mapping'!P$7, IF(OR($AS70="-",SUM(IF('CO-PO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0" s="54" t="str">
        <f>IF('CO-PO Mapping'!Q$2, IF(OR($AN70="-",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Mapping'!Q$6, IF(OR($AR70="-",SUM(IF('CO-PO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Mapping'!Q$7, IF(OR($AS70="-",SUM(IF('CO-PO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0" s="54" t="str">
        <f>IF('CO-PO Mapping'!R$2, IF(OR($AN70="-",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Mapping'!R$6, IF(OR($AR70="-",SUM(IF('CO-PO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Mapping'!R$7, IF(OR($AS70="-",SUM(IF('CO-PO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0" s="54" t="str">
        <f>IF('CO-PO Mapping'!S$2, IF(OR($AN70="-",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Mapping'!S$6, IF(OR($AR70="-",SUM(IF('CO-PO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Mapping'!S$7, IF(OR($AS70="-",SUM(IF('CO-PO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0" s="54" t="str">
        <f>IF('CO-PO Mapping'!T$2, IF(OR($AN70="-",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Mapping'!T$6, IF(OR($AR70="-",SUM(IF('CO-PO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Mapping'!T$7, IF(OR($AS70="-",SUM(IF('CO-PO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0" s="54" t="str">
        <f>IF('CO-PO Mapping'!U$2, IF(OR($AN70="-",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Mapping'!U$6, IF(OR($AR70="-",SUM(IF('CO-PO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Mapping'!U$7, IF(OR($AS70="-",SUM(IF('CO-PO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0" s="54" t="str">
        <f>IF('CO-PO Mapping'!V$2, IF(OR($AN70="-",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Mapping'!V$6, IF(OR($AR70="-",SUM(IF('CO-PO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Mapping'!V$7, IF(OR($AS70="-",SUM(IF('CO-PO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0" s="54" t="str">
        <f>IF('CO-PO Mapping'!W$2, IF(OR($AN70="-",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Mapping'!W$6, IF(OR($AR70="-",SUM(IF('CO-PO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Mapping'!W$7, IF(OR($AS70="-",SUM(IF('CO-PO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0" s="54" t="str">
        <f>IF('CO-PO Mapping'!X$2, IF(OR($AN70="-",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Mapping'!X$6, IF(OR($AR70="-",SUM(IF('CO-PO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Mapping'!X$7, IF(OR($AS70="-",SUM(IF('CO-PO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0" s="54" t="str">
        <f>IF('CO-PO Mapping'!Y$2, IF(OR($AN70="-",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Mapping'!Y$6, IF(OR($AR70="-",SUM(IF('CO-PO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Mapping'!Y$7, IF(OR($AS70="-",SUM(IF('CO-PO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0" s="54" t="str">
        <f>IF('CO-PO Mapping'!Z$2, IF(OR($AN70="-",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Mapping'!Z$6, IF(OR($AR70="-",SUM(IF('CO-PO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Mapping'!Z$7, IF(OR($AS70="-",SUM(IF('CO-PO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1" spans="1:57" ht="15" customHeight="1" x14ac:dyDescent="0.2">
      <c r="A71" s="29"/>
      <c r="B71" s="71"/>
      <c r="C71" s="72"/>
      <c r="D71" s="72"/>
      <c r="E71" s="59"/>
      <c r="F71" s="59"/>
      <c r="G71" s="59"/>
      <c r="H71" s="46" t="str">
        <f t="shared" ref="H71:H100" si="29">IF(LEN(A71)=11,IF(OR(C71&gt;C$29,D71&gt;D$29,E71&gt;E$29,F71&gt;F$29,G71&gt;G$29,C71&lt;0,D71&lt;0,E71&lt;0,F71&lt;0,G71&lt;0),"Error",SUM(C71:G71)),"-")</f>
        <v>-</v>
      </c>
      <c r="I71" s="59"/>
      <c r="J71" s="59"/>
      <c r="K71" s="59"/>
      <c r="L71" s="59"/>
      <c r="M71" s="59"/>
      <c r="N71" s="59"/>
      <c r="O71" s="47" t="str">
        <f t="shared" ref="O71:O100" si="30">IF(LEN(A71)=11,IF(OR(I71=UPPER("a"),J71=UPPER("a"),K71=UPPER("a"),L71=UPPER("a"),M71=UPPER("a"),N71=UPPER("a")),"A",IF(OR(I71&gt;I$29,J71&gt;J$29,K71&gt;K$29,L71&gt;L$29,M71&gt;M$29,N71&gt;N$29,I71&lt;0,J71&lt;0,K71&lt;0,L71&lt;0,M71&lt;0,N71&lt;0),"Error",SUM(I71:N71))),"-")</f>
        <v>-</v>
      </c>
      <c r="P71" s="59"/>
      <c r="Q71" s="59"/>
      <c r="R71" s="59"/>
      <c r="S71" s="59"/>
      <c r="T71" s="59"/>
      <c r="U71" s="59"/>
      <c r="V71" s="48" t="str">
        <f t="shared" ref="V71:V100" si="31">IF(LEN(A71)=11,IF(OR(P71=UPPER("a"),Q71=UPPER("a"),R71=UPPER("a"),S71=UPPER("a"),T71=UPPER("a"),U71=UPPER("a")),"A",IF(OR(P71&gt;P$29,Q71&gt;Q$29,R71&gt;R$29,S71&gt;S$29,T71&gt;T$29,U71&gt;U$29,P71&lt;0,Q71&lt;0,R71&lt;0,S71&lt;0,T71&lt;0,U71&lt;0),"Error",SUM(P71:U71))),"-")</f>
        <v>-</v>
      </c>
      <c r="W71" s="49" t="str">
        <f t="shared" si="28"/>
        <v>-</v>
      </c>
      <c r="X71" s="50" t="str">
        <f t="shared" ref="X71:X100" si="32">IF(LEN(A71)=11,IF(ISNUMBER(W71),IF(A71&lt;&gt;"",IF(W71&gt;=80,"A (Plus)",IF(W71&gt;=75,"A",IF(W71&gt;=70,"A (Minus)",IF(W71&gt;=65,"B (Plus)",IF(W71&gt;=60,"B",IF(W71&gt;=55,"B (Minus)",IF(W71&gt;=50,"C (Plus)",IF(W71&gt;=45,"C",IF(W71&gt;=40,"D","F (Fail)"))))))))),"-"),IF(O71="A","F (Fail)",IF(V71="A","Incomplete","Error"))),"-")</f>
        <v>-</v>
      </c>
      <c r="Y71" s="100"/>
      <c r="Z71" s="51" t="str">
        <f t="shared" si="26"/>
        <v/>
      </c>
      <c r="AA71" s="51" t="str">
        <f t="shared" si="27"/>
        <v/>
      </c>
      <c r="AB71" s="45">
        <f t="shared" si="11"/>
        <v>0</v>
      </c>
      <c r="AC71" s="45">
        <f t="shared" si="11"/>
        <v>0</v>
      </c>
      <c r="AD71" s="45">
        <f t="shared" si="11"/>
        <v>0</v>
      </c>
      <c r="AE71" s="45">
        <f t="shared" si="11"/>
        <v>0</v>
      </c>
      <c r="AF71" s="45">
        <f t="shared" si="11"/>
        <v>0</v>
      </c>
      <c r="AG71" s="45">
        <f t="shared" si="25"/>
        <v>0</v>
      </c>
      <c r="AH71" s="52">
        <f t="shared" si="12"/>
        <v>0</v>
      </c>
      <c r="AI71" s="52">
        <f t="shared" si="13"/>
        <v>0</v>
      </c>
      <c r="AJ71" s="52">
        <f t="shared" si="14"/>
        <v>0</v>
      </c>
      <c r="AK71" s="52">
        <f t="shared" si="22"/>
        <v>0</v>
      </c>
      <c r="AL71" s="52">
        <f t="shared" si="15"/>
        <v>0</v>
      </c>
      <c r="AM71" s="52">
        <f t="shared" si="16"/>
        <v>0</v>
      </c>
      <c r="AN71" s="53" t="str">
        <f t="shared" si="23"/>
        <v>-</v>
      </c>
      <c r="AO71" s="53" t="str">
        <f t="shared" si="17"/>
        <v>-</v>
      </c>
      <c r="AP71" s="53" t="str">
        <f t="shared" si="18"/>
        <v>-</v>
      </c>
      <c r="AQ71" s="53" t="str">
        <f t="shared" si="19"/>
        <v>-</v>
      </c>
      <c r="AR71" s="53" t="str">
        <f t="shared" si="20"/>
        <v>-</v>
      </c>
      <c r="AS71" s="53" t="str">
        <f t="shared" si="21"/>
        <v>-</v>
      </c>
      <c r="AT71" s="54" t="str">
        <f>IF('CO-PO Mapping'!O$2, IF(OR($AN71="-",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Mapping'!O$6, IF(OR($AR71="-",SUM(IF('CO-PO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Mapping'!O$7, IF(OR($AS71="-",SUM(IF('CO-PO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1" s="54" t="str">
        <f>IF('CO-PO Mapping'!P$2, IF(OR($AN71="-",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Mapping'!P$6, IF(OR($AR71="-",SUM(IF('CO-PO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Mapping'!P$7, IF(OR($AS71="-",SUM(IF('CO-PO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1" s="54" t="str">
        <f>IF('CO-PO Mapping'!Q$2, IF(OR($AN71="-",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Mapping'!Q$6, IF(OR($AR71="-",SUM(IF('CO-PO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Mapping'!Q$7, IF(OR($AS71="-",SUM(IF('CO-PO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1" s="54" t="str">
        <f>IF('CO-PO Mapping'!R$2, IF(OR($AN71="-",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Mapping'!R$6, IF(OR($AR71="-",SUM(IF('CO-PO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Mapping'!R$7, IF(OR($AS71="-",SUM(IF('CO-PO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1" s="54" t="str">
        <f>IF('CO-PO Mapping'!S$2, IF(OR($AN71="-",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Mapping'!S$6, IF(OR($AR71="-",SUM(IF('CO-PO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Mapping'!S$7, IF(OR($AS71="-",SUM(IF('CO-PO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1" s="54" t="str">
        <f>IF('CO-PO Mapping'!T$2, IF(OR($AN71="-",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Mapping'!T$6, IF(OR($AR71="-",SUM(IF('CO-PO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Mapping'!T$7, IF(OR($AS71="-",SUM(IF('CO-PO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1" s="54" t="str">
        <f>IF('CO-PO Mapping'!U$2, IF(OR($AN71="-",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Mapping'!U$6, IF(OR($AR71="-",SUM(IF('CO-PO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Mapping'!U$7, IF(OR($AS71="-",SUM(IF('CO-PO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1" s="54" t="str">
        <f>IF('CO-PO Mapping'!V$2, IF(OR($AN71="-",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Mapping'!V$6, IF(OR($AR71="-",SUM(IF('CO-PO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Mapping'!V$7, IF(OR($AS71="-",SUM(IF('CO-PO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1" s="54" t="str">
        <f>IF('CO-PO Mapping'!W$2, IF(OR($AN71="-",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Mapping'!W$6, IF(OR($AR71="-",SUM(IF('CO-PO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Mapping'!W$7, IF(OR($AS71="-",SUM(IF('CO-PO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1" s="54" t="str">
        <f>IF('CO-PO Mapping'!X$2, IF(OR($AN71="-",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Mapping'!X$6, IF(OR($AR71="-",SUM(IF('CO-PO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Mapping'!X$7, IF(OR($AS71="-",SUM(IF('CO-PO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1" s="54" t="str">
        <f>IF('CO-PO Mapping'!Y$2, IF(OR($AN71="-",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Mapping'!Y$6, IF(OR($AR71="-",SUM(IF('CO-PO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Mapping'!Y$7, IF(OR($AS71="-",SUM(IF('CO-PO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1" s="54" t="str">
        <f>IF('CO-PO Mapping'!Z$2, IF(OR($AN71="-",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Mapping'!Z$6, IF(OR($AR71="-",SUM(IF('CO-PO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Mapping'!Z$7, IF(OR($AS71="-",SUM(IF('CO-PO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2" spans="1:57" ht="15" customHeight="1" x14ac:dyDescent="0.2">
      <c r="A72" s="29"/>
      <c r="B72" s="71"/>
      <c r="C72" s="72"/>
      <c r="D72" s="72"/>
      <c r="E72" s="59"/>
      <c r="F72" s="59"/>
      <c r="G72" s="59"/>
      <c r="H72" s="46" t="str">
        <f t="shared" si="29"/>
        <v>-</v>
      </c>
      <c r="I72" s="59"/>
      <c r="J72" s="59"/>
      <c r="K72" s="59"/>
      <c r="L72" s="59"/>
      <c r="M72" s="59"/>
      <c r="N72" s="59"/>
      <c r="O72" s="47" t="str">
        <f t="shared" si="30"/>
        <v>-</v>
      </c>
      <c r="P72" s="59"/>
      <c r="Q72" s="59"/>
      <c r="R72" s="59"/>
      <c r="S72" s="59"/>
      <c r="T72" s="59"/>
      <c r="U72" s="59"/>
      <c r="V72" s="48" t="str">
        <f t="shared" si="31"/>
        <v>-</v>
      </c>
      <c r="W72" s="49" t="str">
        <f t="shared" si="28"/>
        <v>-</v>
      </c>
      <c r="X72" s="50" t="str">
        <f t="shared" si="32"/>
        <v>-</v>
      </c>
      <c r="Y72" s="100"/>
      <c r="Z72" s="51" t="str">
        <f t="shared" si="26"/>
        <v/>
      </c>
      <c r="AA72" s="51" t="str">
        <f t="shared" si="27"/>
        <v/>
      </c>
      <c r="AB72" s="45">
        <f t="shared" si="11"/>
        <v>0</v>
      </c>
      <c r="AC72" s="45">
        <f t="shared" si="11"/>
        <v>0</v>
      </c>
      <c r="AD72" s="45">
        <f t="shared" si="11"/>
        <v>0</v>
      </c>
      <c r="AE72" s="45">
        <f t="shared" si="11"/>
        <v>0</v>
      </c>
      <c r="AF72" s="45">
        <f t="shared" si="11"/>
        <v>0</v>
      </c>
      <c r="AG72" s="45">
        <f t="shared" si="25"/>
        <v>0</v>
      </c>
      <c r="AH72" s="52">
        <f t="shared" si="12"/>
        <v>0</v>
      </c>
      <c r="AI72" s="52">
        <f t="shared" si="13"/>
        <v>0</v>
      </c>
      <c r="AJ72" s="52">
        <f t="shared" si="14"/>
        <v>0</v>
      </c>
      <c r="AK72" s="52">
        <f t="shared" si="22"/>
        <v>0</v>
      </c>
      <c r="AL72" s="52">
        <f t="shared" si="15"/>
        <v>0</v>
      </c>
      <c r="AM72" s="52">
        <f t="shared" si="16"/>
        <v>0</v>
      </c>
      <c r="AN72" s="53" t="str">
        <f t="shared" si="23"/>
        <v>-</v>
      </c>
      <c r="AO72" s="53" t="str">
        <f t="shared" si="17"/>
        <v>-</v>
      </c>
      <c r="AP72" s="53" t="str">
        <f t="shared" si="18"/>
        <v>-</v>
      </c>
      <c r="AQ72" s="53" t="str">
        <f t="shared" si="19"/>
        <v>-</v>
      </c>
      <c r="AR72" s="53" t="str">
        <f t="shared" si="20"/>
        <v>-</v>
      </c>
      <c r="AS72" s="53" t="str">
        <f t="shared" si="21"/>
        <v>-</v>
      </c>
      <c r="AT72" s="54" t="str">
        <f>IF('CO-PO Mapping'!O$2, IF(OR($AN72="-",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Mapping'!O$6, IF(OR($AR72="-",SUM(IF('CO-PO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Mapping'!O$7, IF(OR($AS72="-",SUM(IF('CO-PO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2" s="54" t="str">
        <f>IF('CO-PO Mapping'!P$2, IF(OR($AN72="-",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Mapping'!P$6, IF(OR($AR72="-",SUM(IF('CO-PO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Mapping'!P$7, IF(OR($AS72="-",SUM(IF('CO-PO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2" s="54" t="str">
        <f>IF('CO-PO Mapping'!Q$2, IF(OR($AN72="-",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Mapping'!Q$6, IF(OR($AR72="-",SUM(IF('CO-PO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Mapping'!Q$7, IF(OR($AS72="-",SUM(IF('CO-PO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2" s="54" t="str">
        <f>IF('CO-PO Mapping'!R$2, IF(OR($AN72="-",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Mapping'!R$6, IF(OR($AR72="-",SUM(IF('CO-PO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Mapping'!R$7, IF(OR($AS72="-",SUM(IF('CO-PO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2" s="54" t="str">
        <f>IF('CO-PO Mapping'!S$2, IF(OR($AN72="-",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Mapping'!S$6, IF(OR($AR72="-",SUM(IF('CO-PO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Mapping'!S$7, IF(OR($AS72="-",SUM(IF('CO-PO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2" s="54" t="str">
        <f>IF('CO-PO Mapping'!T$2, IF(OR($AN72="-",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Mapping'!T$6, IF(OR($AR72="-",SUM(IF('CO-PO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Mapping'!T$7, IF(OR($AS72="-",SUM(IF('CO-PO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2" s="54" t="str">
        <f>IF('CO-PO Mapping'!U$2, IF(OR($AN72="-",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Mapping'!U$6, IF(OR($AR72="-",SUM(IF('CO-PO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Mapping'!U$7, IF(OR($AS72="-",SUM(IF('CO-PO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2" s="54" t="str">
        <f>IF('CO-PO Mapping'!V$2, IF(OR($AN72="-",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Mapping'!V$6, IF(OR($AR72="-",SUM(IF('CO-PO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Mapping'!V$7, IF(OR($AS72="-",SUM(IF('CO-PO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2" s="54" t="str">
        <f>IF('CO-PO Mapping'!W$2, IF(OR($AN72="-",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Mapping'!W$6, IF(OR($AR72="-",SUM(IF('CO-PO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Mapping'!W$7, IF(OR($AS72="-",SUM(IF('CO-PO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2" s="54" t="str">
        <f>IF('CO-PO Mapping'!X$2, IF(OR($AN72="-",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Mapping'!X$6, IF(OR($AR72="-",SUM(IF('CO-PO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Mapping'!X$7, IF(OR($AS72="-",SUM(IF('CO-PO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2" s="54" t="str">
        <f>IF('CO-PO Mapping'!Y$2, IF(OR($AN72="-",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Mapping'!Y$6, IF(OR($AR72="-",SUM(IF('CO-PO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Mapping'!Y$7, IF(OR($AS72="-",SUM(IF('CO-PO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2" s="54" t="str">
        <f>IF('CO-PO Mapping'!Z$2, IF(OR($AN72="-",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Mapping'!Z$6, IF(OR($AR72="-",SUM(IF('CO-PO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Mapping'!Z$7, IF(OR($AS72="-",SUM(IF('CO-PO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3" spans="1:57" ht="15" customHeight="1" x14ac:dyDescent="0.2">
      <c r="A73" s="29"/>
      <c r="B73" s="71"/>
      <c r="C73" s="72"/>
      <c r="D73" s="72"/>
      <c r="E73" s="59"/>
      <c r="F73" s="59"/>
      <c r="G73" s="59"/>
      <c r="H73" s="46" t="str">
        <f t="shared" si="29"/>
        <v>-</v>
      </c>
      <c r="I73" s="59"/>
      <c r="J73" s="59"/>
      <c r="K73" s="59"/>
      <c r="L73" s="59"/>
      <c r="M73" s="59"/>
      <c r="N73" s="59"/>
      <c r="O73" s="47" t="str">
        <f t="shared" si="30"/>
        <v>-</v>
      </c>
      <c r="P73" s="59"/>
      <c r="Q73" s="59"/>
      <c r="R73" s="59"/>
      <c r="S73" s="59"/>
      <c r="T73" s="59"/>
      <c r="U73" s="59"/>
      <c r="V73" s="48" t="str">
        <f t="shared" si="31"/>
        <v>-</v>
      </c>
      <c r="W73" s="49" t="str">
        <f t="shared" si="28"/>
        <v>-</v>
      </c>
      <c r="X73" s="50" t="str">
        <f t="shared" si="32"/>
        <v>-</v>
      </c>
      <c r="Y73" s="100"/>
      <c r="Z73" s="51" t="str">
        <f t="shared" si="26"/>
        <v/>
      </c>
      <c r="AA73" s="51" t="str">
        <f t="shared" si="27"/>
        <v/>
      </c>
      <c r="AB73" s="45">
        <f t="shared" si="11"/>
        <v>0</v>
      </c>
      <c r="AC73" s="45">
        <f t="shared" si="11"/>
        <v>0</v>
      </c>
      <c r="AD73" s="45">
        <f t="shared" si="11"/>
        <v>0</v>
      </c>
      <c r="AE73" s="45">
        <f t="shared" si="11"/>
        <v>0</v>
      </c>
      <c r="AF73" s="45">
        <f t="shared" si="11"/>
        <v>0</v>
      </c>
      <c r="AG73" s="45">
        <f t="shared" si="25"/>
        <v>0</v>
      </c>
      <c r="AH73" s="52">
        <f t="shared" si="12"/>
        <v>0</v>
      </c>
      <c r="AI73" s="52">
        <f t="shared" si="13"/>
        <v>0</v>
      </c>
      <c r="AJ73" s="52">
        <f t="shared" si="14"/>
        <v>0</v>
      </c>
      <c r="AK73" s="52">
        <f t="shared" si="22"/>
        <v>0</v>
      </c>
      <c r="AL73" s="52">
        <f t="shared" si="15"/>
        <v>0</v>
      </c>
      <c r="AM73" s="52">
        <f t="shared" si="16"/>
        <v>0</v>
      </c>
      <c r="AN73" s="53" t="str">
        <f t="shared" si="23"/>
        <v>-</v>
      </c>
      <c r="AO73" s="53" t="str">
        <f t="shared" si="17"/>
        <v>-</v>
      </c>
      <c r="AP73" s="53" t="str">
        <f t="shared" si="18"/>
        <v>-</v>
      </c>
      <c r="AQ73" s="53" t="str">
        <f t="shared" si="19"/>
        <v>-</v>
      </c>
      <c r="AR73" s="53" t="str">
        <f t="shared" si="20"/>
        <v>-</v>
      </c>
      <c r="AS73" s="53" t="str">
        <f t="shared" si="21"/>
        <v>-</v>
      </c>
      <c r="AT73" s="54" t="str">
        <f>IF('CO-PO Mapping'!O$2, IF(OR($AN73="-",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Mapping'!O$6, IF(OR($AR73="-",SUM(IF('CO-PO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Mapping'!O$7, IF(OR($AS73="-",SUM(IF('CO-PO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3" s="54" t="str">
        <f>IF('CO-PO Mapping'!P$2, IF(OR($AN73="-",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Mapping'!P$6, IF(OR($AR73="-",SUM(IF('CO-PO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Mapping'!P$7, IF(OR($AS73="-",SUM(IF('CO-PO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3" s="54" t="str">
        <f>IF('CO-PO Mapping'!Q$2, IF(OR($AN73="-",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Mapping'!Q$6, IF(OR($AR73="-",SUM(IF('CO-PO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Mapping'!Q$7, IF(OR($AS73="-",SUM(IF('CO-PO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3" s="54" t="str">
        <f>IF('CO-PO Mapping'!R$2, IF(OR($AN73="-",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Mapping'!R$6, IF(OR($AR73="-",SUM(IF('CO-PO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Mapping'!R$7, IF(OR($AS73="-",SUM(IF('CO-PO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3" s="54" t="str">
        <f>IF('CO-PO Mapping'!S$2, IF(OR($AN73="-",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Mapping'!S$6, IF(OR($AR73="-",SUM(IF('CO-PO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Mapping'!S$7, IF(OR($AS73="-",SUM(IF('CO-PO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3" s="54" t="str">
        <f>IF('CO-PO Mapping'!T$2, IF(OR($AN73="-",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Mapping'!T$6, IF(OR($AR73="-",SUM(IF('CO-PO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Mapping'!T$7, IF(OR($AS73="-",SUM(IF('CO-PO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3" s="54" t="str">
        <f>IF('CO-PO Mapping'!U$2, IF(OR($AN73="-",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Mapping'!U$6, IF(OR($AR73="-",SUM(IF('CO-PO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Mapping'!U$7, IF(OR($AS73="-",SUM(IF('CO-PO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3" s="54" t="str">
        <f>IF('CO-PO Mapping'!V$2, IF(OR($AN73="-",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Mapping'!V$6, IF(OR($AR73="-",SUM(IF('CO-PO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Mapping'!V$7, IF(OR($AS73="-",SUM(IF('CO-PO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3" s="54" t="str">
        <f>IF('CO-PO Mapping'!W$2, IF(OR($AN73="-",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Mapping'!W$6, IF(OR($AR73="-",SUM(IF('CO-PO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Mapping'!W$7, IF(OR($AS73="-",SUM(IF('CO-PO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3" s="54" t="str">
        <f>IF('CO-PO Mapping'!X$2, IF(OR($AN73="-",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Mapping'!X$6, IF(OR($AR73="-",SUM(IF('CO-PO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Mapping'!X$7, IF(OR($AS73="-",SUM(IF('CO-PO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3" s="54" t="str">
        <f>IF('CO-PO Mapping'!Y$2, IF(OR($AN73="-",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Mapping'!Y$6, IF(OR($AR73="-",SUM(IF('CO-PO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Mapping'!Y$7, IF(OR($AS73="-",SUM(IF('CO-PO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3" s="54" t="str">
        <f>IF('CO-PO Mapping'!Z$2, IF(OR($AN73="-",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Mapping'!Z$6, IF(OR($AR73="-",SUM(IF('CO-PO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Mapping'!Z$7, IF(OR($AS73="-",SUM(IF('CO-PO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4" spans="1:57" ht="15" customHeight="1" x14ac:dyDescent="0.2">
      <c r="A74" s="29"/>
      <c r="B74" s="71"/>
      <c r="C74" s="72"/>
      <c r="D74" s="72"/>
      <c r="E74" s="59"/>
      <c r="F74" s="59"/>
      <c r="G74" s="59"/>
      <c r="H74" s="46" t="str">
        <f t="shared" si="29"/>
        <v>-</v>
      </c>
      <c r="I74" s="59"/>
      <c r="J74" s="59"/>
      <c r="K74" s="59"/>
      <c r="L74" s="59"/>
      <c r="M74" s="59"/>
      <c r="N74" s="59"/>
      <c r="O74" s="47" t="str">
        <f t="shared" si="30"/>
        <v>-</v>
      </c>
      <c r="P74" s="59"/>
      <c r="Q74" s="59"/>
      <c r="R74" s="59"/>
      <c r="S74" s="59"/>
      <c r="T74" s="59"/>
      <c r="U74" s="59"/>
      <c r="V74" s="48" t="str">
        <f t="shared" si="31"/>
        <v>-</v>
      </c>
      <c r="W74" s="49" t="str">
        <f t="shared" si="28"/>
        <v>-</v>
      </c>
      <c r="X74" s="50" t="str">
        <f t="shared" si="32"/>
        <v>-</v>
      </c>
      <c r="Y74" s="100"/>
      <c r="Z74" s="51" t="str">
        <f t="shared" si="26"/>
        <v/>
      </c>
      <c r="AA74" s="51" t="str">
        <f t="shared" si="27"/>
        <v/>
      </c>
      <c r="AB74" s="45">
        <f t="shared" si="11"/>
        <v>0</v>
      </c>
      <c r="AC74" s="45">
        <f t="shared" si="11"/>
        <v>0</v>
      </c>
      <c r="AD74" s="45">
        <f t="shared" si="11"/>
        <v>0</v>
      </c>
      <c r="AE74" s="45">
        <f t="shared" si="11"/>
        <v>0</v>
      </c>
      <c r="AF74" s="45">
        <f t="shared" si="11"/>
        <v>0</v>
      </c>
      <c r="AG74" s="45">
        <f t="shared" si="25"/>
        <v>0</v>
      </c>
      <c r="AH74" s="52">
        <f t="shared" si="12"/>
        <v>0</v>
      </c>
      <c r="AI74" s="52">
        <f t="shared" si="13"/>
        <v>0</v>
      </c>
      <c r="AJ74" s="52">
        <f t="shared" si="14"/>
        <v>0</v>
      </c>
      <c r="AK74" s="52">
        <f t="shared" si="22"/>
        <v>0</v>
      </c>
      <c r="AL74" s="52">
        <f t="shared" si="15"/>
        <v>0</v>
      </c>
      <c r="AM74" s="52">
        <f t="shared" si="16"/>
        <v>0</v>
      </c>
      <c r="AN74" s="53" t="str">
        <f t="shared" si="23"/>
        <v>-</v>
      </c>
      <c r="AO74" s="53" t="str">
        <f t="shared" si="17"/>
        <v>-</v>
      </c>
      <c r="AP74" s="53" t="str">
        <f t="shared" si="18"/>
        <v>-</v>
      </c>
      <c r="AQ74" s="53" t="str">
        <f t="shared" si="19"/>
        <v>-</v>
      </c>
      <c r="AR74" s="53" t="str">
        <f t="shared" si="20"/>
        <v>-</v>
      </c>
      <c r="AS74" s="53" t="str">
        <f t="shared" si="21"/>
        <v>-</v>
      </c>
      <c r="AT74" s="54" t="str">
        <f>IF('CO-PO Mapping'!O$2, IF(OR($AN74="-",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Mapping'!O$6, IF(OR($AR74="-",SUM(IF('CO-PO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Mapping'!O$7, IF(OR($AS74="-",SUM(IF('CO-PO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4" s="54" t="str">
        <f>IF('CO-PO Mapping'!P$2, IF(OR($AN74="-",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Mapping'!P$6, IF(OR($AR74="-",SUM(IF('CO-PO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Mapping'!P$7, IF(OR($AS74="-",SUM(IF('CO-PO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4" s="54" t="str">
        <f>IF('CO-PO Mapping'!Q$2, IF(OR($AN74="-",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Mapping'!Q$6, IF(OR($AR74="-",SUM(IF('CO-PO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Mapping'!Q$7, IF(OR($AS74="-",SUM(IF('CO-PO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4" s="54" t="str">
        <f>IF('CO-PO Mapping'!R$2, IF(OR($AN74="-",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Mapping'!R$6, IF(OR($AR74="-",SUM(IF('CO-PO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Mapping'!R$7, IF(OR($AS74="-",SUM(IF('CO-PO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4" s="54" t="str">
        <f>IF('CO-PO Mapping'!S$2, IF(OR($AN74="-",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Mapping'!S$6, IF(OR($AR74="-",SUM(IF('CO-PO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Mapping'!S$7, IF(OR($AS74="-",SUM(IF('CO-PO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4" s="54" t="str">
        <f>IF('CO-PO Mapping'!T$2, IF(OR($AN74="-",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Mapping'!T$6, IF(OR($AR74="-",SUM(IF('CO-PO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Mapping'!T$7, IF(OR($AS74="-",SUM(IF('CO-PO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4" s="54" t="str">
        <f>IF('CO-PO Mapping'!U$2, IF(OR($AN74="-",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Mapping'!U$6, IF(OR($AR74="-",SUM(IF('CO-PO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Mapping'!U$7, IF(OR($AS74="-",SUM(IF('CO-PO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4" s="54" t="str">
        <f>IF('CO-PO Mapping'!V$2, IF(OR($AN74="-",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Mapping'!V$6, IF(OR($AR74="-",SUM(IF('CO-PO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Mapping'!V$7, IF(OR($AS74="-",SUM(IF('CO-PO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4" s="54" t="str">
        <f>IF('CO-PO Mapping'!W$2, IF(OR($AN74="-",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Mapping'!W$6, IF(OR($AR74="-",SUM(IF('CO-PO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Mapping'!W$7, IF(OR($AS74="-",SUM(IF('CO-PO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4" s="54" t="str">
        <f>IF('CO-PO Mapping'!X$2, IF(OR($AN74="-",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Mapping'!X$6, IF(OR($AR74="-",SUM(IF('CO-PO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Mapping'!X$7, IF(OR($AS74="-",SUM(IF('CO-PO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4" s="54" t="str">
        <f>IF('CO-PO Mapping'!Y$2, IF(OR($AN74="-",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Mapping'!Y$6, IF(OR($AR74="-",SUM(IF('CO-PO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Mapping'!Y$7, IF(OR($AS74="-",SUM(IF('CO-PO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4" s="54" t="str">
        <f>IF('CO-PO Mapping'!Z$2, IF(OR($AN74="-",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Mapping'!Z$6, IF(OR($AR74="-",SUM(IF('CO-PO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Mapping'!Z$7, IF(OR($AS74="-",SUM(IF('CO-PO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5" spans="1:57" ht="15" customHeight="1" x14ac:dyDescent="0.2">
      <c r="A75" s="29"/>
      <c r="B75" s="71"/>
      <c r="C75" s="72"/>
      <c r="D75" s="72"/>
      <c r="E75" s="59"/>
      <c r="F75" s="59"/>
      <c r="G75" s="59"/>
      <c r="H75" s="46" t="str">
        <f t="shared" si="29"/>
        <v>-</v>
      </c>
      <c r="I75" s="59"/>
      <c r="J75" s="59"/>
      <c r="K75" s="59"/>
      <c r="L75" s="59"/>
      <c r="M75" s="59"/>
      <c r="N75" s="59"/>
      <c r="O75" s="47" t="str">
        <f t="shared" si="30"/>
        <v>-</v>
      </c>
      <c r="P75" s="59"/>
      <c r="Q75" s="59"/>
      <c r="R75" s="59"/>
      <c r="S75" s="59"/>
      <c r="T75" s="59"/>
      <c r="U75" s="59"/>
      <c r="V75" s="48" t="str">
        <f t="shared" si="31"/>
        <v>-</v>
      </c>
      <c r="W75" s="49" t="str">
        <f t="shared" si="28"/>
        <v>-</v>
      </c>
      <c r="X75" s="50" t="str">
        <f t="shared" si="32"/>
        <v>-</v>
      </c>
      <c r="Y75" s="100"/>
      <c r="Z75" s="51" t="str">
        <f t="shared" si="26"/>
        <v/>
      </c>
      <c r="AA75" s="51" t="str">
        <f t="shared" si="27"/>
        <v/>
      </c>
      <c r="AB75" s="45">
        <f t="shared" si="11"/>
        <v>0</v>
      </c>
      <c r="AC75" s="45">
        <f t="shared" si="11"/>
        <v>0</v>
      </c>
      <c r="AD75" s="45">
        <f t="shared" si="11"/>
        <v>0</v>
      </c>
      <c r="AE75" s="45">
        <f t="shared" si="11"/>
        <v>0</v>
      </c>
      <c r="AF75" s="45">
        <f t="shared" si="11"/>
        <v>0</v>
      </c>
      <c r="AG75" s="45">
        <f t="shared" si="25"/>
        <v>0</v>
      </c>
      <c r="AH75" s="52">
        <f t="shared" si="12"/>
        <v>0</v>
      </c>
      <c r="AI75" s="52">
        <f t="shared" si="13"/>
        <v>0</v>
      </c>
      <c r="AJ75" s="52">
        <f t="shared" si="14"/>
        <v>0</v>
      </c>
      <c r="AK75" s="52">
        <f t="shared" si="22"/>
        <v>0</v>
      </c>
      <c r="AL75" s="52">
        <f t="shared" si="15"/>
        <v>0</v>
      </c>
      <c r="AM75" s="52">
        <f t="shared" si="16"/>
        <v>0</v>
      </c>
      <c r="AN75" s="53" t="str">
        <f t="shared" si="23"/>
        <v>-</v>
      </c>
      <c r="AO75" s="53" t="str">
        <f t="shared" si="17"/>
        <v>-</v>
      </c>
      <c r="AP75" s="53" t="str">
        <f t="shared" si="18"/>
        <v>-</v>
      </c>
      <c r="AQ75" s="53" t="str">
        <f t="shared" si="19"/>
        <v>-</v>
      </c>
      <c r="AR75" s="53" t="str">
        <f t="shared" si="20"/>
        <v>-</v>
      </c>
      <c r="AS75" s="53" t="str">
        <f t="shared" si="21"/>
        <v>-</v>
      </c>
      <c r="AT75" s="54" t="str">
        <f>IF('CO-PO Mapping'!O$2, IF(OR($AN75="-",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Mapping'!O$6, IF(OR($AR75="-",SUM(IF('CO-PO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Mapping'!O$7, IF(OR($AS75="-",SUM(IF('CO-PO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5" s="54" t="str">
        <f>IF('CO-PO Mapping'!P$2, IF(OR($AN75="-",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Mapping'!P$6, IF(OR($AR75="-",SUM(IF('CO-PO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Mapping'!P$7, IF(OR($AS75="-",SUM(IF('CO-PO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5" s="54" t="str">
        <f>IF('CO-PO Mapping'!Q$2, IF(OR($AN75="-",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Mapping'!Q$6, IF(OR($AR75="-",SUM(IF('CO-PO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Mapping'!Q$7, IF(OR($AS75="-",SUM(IF('CO-PO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5" s="54" t="str">
        <f>IF('CO-PO Mapping'!R$2, IF(OR($AN75="-",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Mapping'!R$6, IF(OR($AR75="-",SUM(IF('CO-PO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Mapping'!R$7, IF(OR($AS75="-",SUM(IF('CO-PO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5" s="54" t="str">
        <f>IF('CO-PO Mapping'!S$2, IF(OR($AN75="-",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Mapping'!S$6, IF(OR($AR75="-",SUM(IF('CO-PO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Mapping'!S$7, IF(OR($AS75="-",SUM(IF('CO-PO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5" s="54" t="str">
        <f>IF('CO-PO Mapping'!T$2, IF(OR($AN75="-",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Mapping'!T$6, IF(OR($AR75="-",SUM(IF('CO-PO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Mapping'!T$7, IF(OR($AS75="-",SUM(IF('CO-PO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5" s="54" t="str">
        <f>IF('CO-PO Mapping'!U$2, IF(OR($AN75="-",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Mapping'!U$6, IF(OR($AR75="-",SUM(IF('CO-PO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Mapping'!U$7, IF(OR($AS75="-",SUM(IF('CO-PO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5" s="54" t="str">
        <f>IF('CO-PO Mapping'!V$2, IF(OR($AN75="-",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Mapping'!V$6, IF(OR($AR75="-",SUM(IF('CO-PO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Mapping'!V$7, IF(OR($AS75="-",SUM(IF('CO-PO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5" s="54" t="str">
        <f>IF('CO-PO Mapping'!W$2, IF(OR($AN75="-",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Mapping'!W$6, IF(OR($AR75="-",SUM(IF('CO-PO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Mapping'!W$7, IF(OR($AS75="-",SUM(IF('CO-PO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5" s="54" t="str">
        <f>IF('CO-PO Mapping'!X$2, IF(OR($AN75="-",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Mapping'!X$6, IF(OR($AR75="-",SUM(IF('CO-PO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Mapping'!X$7, IF(OR($AS75="-",SUM(IF('CO-PO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5" s="54" t="str">
        <f>IF('CO-PO Mapping'!Y$2, IF(OR($AN75="-",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Mapping'!Y$6, IF(OR($AR75="-",SUM(IF('CO-PO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Mapping'!Y$7, IF(OR($AS75="-",SUM(IF('CO-PO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5" s="54" t="str">
        <f>IF('CO-PO Mapping'!Z$2, IF(OR($AN75="-",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Mapping'!Z$6, IF(OR($AR75="-",SUM(IF('CO-PO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Mapping'!Z$7, IF(OR($AS75="-",SUM(IF('CO-PO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6" spans="1:57" ht="15" customHeight="1" x14ac:dyDescent="0.2">
      <c r="A76" s="29"/>
      <c r="B76" s="71"/>
      <c r="C76" s="72"/>
      <c r="D76" s="72"/>
      <c r="E76" s="59"/>
      <c r="F76" s="59"/>
      <c r="G76" s="59"/>
      <c r="H76" s="46" t="str">
        <f t="shared" si="29"/>
        <v>-</v>
      </c>
      <c r="I76" s="59"/>
      <c r="J76" s="59"/>
      <c r="K76" s="59"/>
      <c r="L76" s="59"/>
      <c r="M76" s="59"/>
      <c r="N76" s="59"/>
      <c r="O76" s="47" t="str">
        <f t="shared" si="30"/>
        <v>-</v>
      </c>
      <c r="P76" s="59"/>
      <c r="Q76" s="59"/>
      <c r="R76" s="59"/>
      <c r="S76" s="59"/>
      <c r="T76" s="59"/>
      <c r="U76" s="59"/>
      <c r="V76" s="48" t="str">
        <f t="shared" si="31"/>
        <v>-</v>
      </c>
      <c r="W76" s="49" t="str">
        <f t="shared" si="28"/>
        <v>-</v>
      </c>
      <c r="X76" s="50" t="str">
        <f t="shared" si="32"/>
        <v>-</v>
      </c>
      <c r="Y76" s="100"/>
      <c r="Z76" s="51" t="str">
        <f t="shared" si="26"/>
        <v/>
      </c>
      <c r="AA76" s="51" t="str">
        <f t="shared" si="27"/>
        <v/>
      </c>
      <c r="AB76" s="45">
        <f t="shared" si="11"/>
        <v>0</v>
      </c>
      <c r="AC76" s="45">
        <f t="shared" si="11"/>
        <v>0</v>
      </c>
      <c r="AD76" s="45">
        <f t="shared" si="11"/>
        <v>0</v>
      </c>
      <c r="AE76" s="45">
        <f t="shared" si="11"/>
        <v>0</v>
      </c>
      <c r="AF76" s="45">
        <f t="shared" si="11"/>
        <v>0</v>
      </c>
      <c r="AG76" s="45">
        <f t="shared" si="25"/>
        <v>0</v>
      </c>
      <c r="AH76" s="52">
        <f t="shared" si="12"/>
        <v>0</v>
      </c>
      <c r="AI76" s="52">
        <f t="shared" si="13"/>
        <v>0</v>
      </c>
      <c r="AJ76" s="52">
        <f t="shared" si="14"/>
        <v>0</v>
      </c>
      <c r="AK76" s="52">
        <f t="shared" si="22"/>
        <v>0</v>
      </c>
      <c r="AL76" s="52">
        <f t="shared" si="15"/>
        <v>0</v>
      </c>
      <c r="AM76" s="52">
        <f>IF($AG$29=0,0,AG76*100/$AG$29)</f>
        <v>0</v>
      </c>
      <c r="AN76" s="53" t="str">
        <f t="shared" si="23"/>
        <v>-</v>
      </c>
      <c r="AO76" s="53" t="str">
        <f t="shared" si="17"/>
        <v>-</v>
      </c>
      <c r="AP76" s="53" t="str">
        <f t="shared" si="18"/>
        <v>-</v>
      </c>
      <c r="AQ76" s="53" t="str">
        <f t="shared" si="19"/>
        <v>-</v>
      </c>
      <c r="AR76" s="53" t="str">
        <f t="shared" si="20"/>
        <v>-</v>
      </c>
      <c r="AS76" s="53" t="str">
        <f t="shared" si="21"/>
        <v>-</v>
      </c>
      <c r="AT76" s="54" t="str">
        <f>IF('CO-PO Mapping'!O$2, IF(OR($AN76="-",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Mapping'!O$6, IF(OR($AR76="-",SUM(IF('CO-PO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Mapping'!O$7, IF(OR($AS76="-",SUM(IF('CO-PO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6" s="54" t="str">
        <f>IF('CO-PO Mapping'!P$2, IF(OR($AN76="-",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Mapping'!P$6, IF(OR($AR76="-",SUM(IF('CO-PO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Mapping'!P$7, IF(OR($AS76="-",SUM(IF('CO-PO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6" s="54" t="str">
        <f>IF('CO-PO Mapping'!Q$2, IF(OR($AN76="-",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Mapping'!Q$6, IF(OR($AR76="-",SUM(IF('CO-PO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Mapping'!Q$7, IF(OR($AS76="-",SUM(IF('CO-PO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6" s="54" t="str">
        <f>IF('CO-PO Mapping'!R$2, IF(OR($AN76="-",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Mapping'!R$6, IF(OR($AR76="-",SUM(IF('CO-PO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Mapping'!R$7, IF(OR($AS76="-",SUM(IF('CO-PO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6" s="54" t="str">
        <f>IF('CO-PO Mapping'!S$2, IF(OR($AN76="-",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Mapping'!S$6, IF(OR($AR76="-",SUM(IF('CO-PO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Mapping'!S$7, IF(OR($AS76="-",SUM(IF('CO-PO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6" s="54" t="str">
        <f>IF('CO-PO Mapping'!T$2, IF(OR($AN76="-",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Mapping'!T$6, IF(OR($AR76="-",SUM(IF('CO-PO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Mapping'!T$7, IF(OR($AS76="-",SUM(IF('CO-PO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6" s="54" t="str">
        <f>IF('CO-PO Mapping'!U$2, IF(OR($AN76="-",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Mapping'!U$6, IF(OR($AR76="-",SUM(IF('CO-PO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Mapping'!U$7, IF(OR($AS76="-",SUM(IF('CO-PO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6" s="54" t="str">
        <f>IF('CO-PO Mapping'!V$2, IF(OR($AN76="-",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Mapping'!V$6, IF(OR($AR76="-",SUM(IF('CO-PO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Mapping'!V$7, IF(OR($AS76="-",SUM(IF('CO-PO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6" s="54" t="str">
        <f>IF('CO-PO Mapping'!W$2, IF(OR($AN76="-",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Mapping'!W$6, IF(OR($AR76="-",SUM(IF('CO-PO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Mapping'!W$7, IF(OR($AS76="-",SUM(IF('CO-PO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6" s="54" t="str">
        <f>IF('CO-PO Mapping'!X$2, IF(OR($AN76="-",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Mapping'!X$6, IF(OR($AR76="-",SUM(IF('CO-PO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Mapping'!X$7, IF(OR($AS76="-",SUM(IF('CO-PO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6" s="54" t="str">
        <f>IF('CO-PO Mapping'!Y$2, IF(OR($AN76="-",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Mapping'!Y$6, IF(OR($AR76="-",SUM(IF('CO-PO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Mapping'!Y$7, IF(OR($AS76="-",SUM(IF('CO-PO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6" s="54" t="str">
        <f>IF('CO-PO Mapping'!Z$2, IF(OR($AN76="-",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Mapping'!Z$6, IF(OR($AR76="-",SUM(IF('CO-PO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Mapping'!Z$7, IF(OR($AS76="-",SUM(IF('CO-PO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7" spans="1:57" ht="15" customHeight="1" x14ac:dyDescent="0.2">
      <c r="A77" s="29"/>
      <c r="B77" s="71"/>
      <c r="C77" s="72"/>
      <c r="D77" s="72"/>
      <c r="E77" s="59"/>
      <c r="F77" s="59"/>
      <c r="G77" s="59"/>
      <c r="H77" s="46" t="str">
        <f t="shared" si="29"/>
        <v>-</v>
      </c>
      <c r="I77" s="59"/>
      <c r="J77" s="59"/>
      <c r="K77" s="59"/>
      <c r="L77" s="59"/>
      <c r="M77" s="59"/>
      <c r="N77" s="59"/>
      <c r="O77" s="47" t="str">
        <f t="shared" si="30"/>
        <v>-</v>
      </c>
      <c r="P77" s="59"/>
      <c r="Q77" s="59"/>
      <c r="R77" s="59"/>
      <c r="S77" s="59"/>
      <c r="T77" s="59"/>
      <c r="U77" s="59"/>
      <c r="V77" s="48" t="str">
        <f t="shared" si="31"/>
        <v>-</v>
      </c>
      <c r="W77" s="49" t="str">
        <f t="shared" si="28"/>
        <v>-</v>
      </c>
      <c r="X77" s="50" t="str">
        <f t="shared" si="32"/>
        <v>-</v>
      </c>
      <c r="Y77" s="100"/>
      <c r="Z77" s="51" t="str">
        <f t="shared" si="26"/>
        <v/>
      </c>
      <c r="AA77" s="51" t="str">
        <f t="shared" si="27"/>
        <v/>
      </c>
      <c r="AB77" s="45">
        <f t="shared" si="11"/>
        <v>0</v>
      </c>
      <c r="AC77" s="45">
        <f t="shared" si="11"/>
        <v>0</v>
      </c>
      <c r="AD77" s="45">
        <f t="shared" si="11"/>
        <v>0</v>
      </c>
      <c r="AE77" s="45">
        <f t="shared" si="11"/>
        <v>0</v>
      </c>
      <c r="AF77" s="45">
        <f t="shared" si="11"/>
        <v>0</v>
      </c>
      <c r="AG77" s="45">
        <f t="shared" si="25"/>
        <v>0</v>
      </c>
      <c r="AH77" s="52">
        <f t="shared" si="12"/>
        <v>0</v>
      </c>
      <c r="AI77" s="52">
        <f t="shared" si="13"/>
        <v>0</v>
      </c>
      <c r="AJ77" s="52">
        <f t="shared" si="14"/>
        <v>0</v>
      </c>
      <c r="AK77" s="52">
        <f t="shared" si="22"/>
        <v>0</v>
      </c>
      <c r="AL77" s="52">
        <f t="shared" si="15"/>
        <v>0</v>
      </c>
      <c r="AM77" s="52">
        <f t="shared" si="16"/>
        <v>0</v>
      </c>
      <c r="AN77" s="53" t="str">
        <f t="shared" si="23"/>
        <v>-</v>
      </c>
      <c r="AO77" s="53" t="str">
        <f t="shared" si="17"/>
        <v>-</v>
      </c>
      <c r="AP77" s="53" t="str">
        <f t="shared" si="18"/>
        <v>-</v>
      </c>
      <c r="AQ77" s="53" t="str">
        <f t="shared" si="19"/>
        <v>-</v>
      </c>
      <c r="AR77" s="53" t="str">
        <f t="shared" si="20"/>
        <v>-</v>
      </c>
      <c r="AS77" s="53" t="str">
        <f t="shared" si="21"/>
        <v>-</v>
      </c>
      <c r="AT77" s="54" t="str">
        <f>IF('CO-PO Mapping'!O$2, IF(OR($AN77="-",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Mapping'!O$6, IF(OR($AR77="-",SUM(IF('CO-PO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Mapping'!O$7, IF(OR($AS77="-",SUM(IF('CO-PO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7" s="54" t="str">
        <f>IF('CO-PO Mapping'!P$2, IF(OR($AN77="-",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Mapping'!P$6, IF(OR($AR77="-",SUM(IF('CO-PO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Mapping'!P$7, IF(OR($AS77="-",SUM(IF('CO-PO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7" s="54" t="str">
        <f>IF('CO-PO Mapping'!Q$2, IF(OR($AN77="-",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Mapping'!Q$6, IF(OR($AR77="-",SUM(IF('CO-PO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Mapping'!Q$7, IF(OR($AS77="-",SUM(IF('CO-PO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7" s="54" t="str">
        <f>IF('CO-PO Mapping'!R$2, IF(OR($AN77="-",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Mapping'!R$6, IF(OR($AR77="-",SUM(IF('CO-PO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Mapping'!R$7, IF(OR($AS77="-",SUM(IF('CO-PO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7" s="54" t="str">
        <f>IF('CO-PO Mapping'!S$2, IF(OR($AN77="-",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Mapping'!S$6, IF(OR($AR77="-",SUM(IF('CO-PO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Mapping'!S$7, IF(OR($AS77="-",SUM(IF('CO-PO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7" s="54" t="str">
        <f>IF('CO-PO Mapping'!T$2, IF(OR($AN77="-",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Mapping'!T$6, IF(OR($AR77="-",SUM(IF('CO-PO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Mapping'!T$7, IF(OR($AS77="-",SUM(IF('CO-PO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7" s="54" t="str">
        <f>IF('CO-PO Mapping'!U$2, IF(OR($AN77="-",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Mapping'!U$6, IF(OR($AR77="-",SUM(IF('CO-PO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Mapping'!U$7, IF(OR($AS77="-",SUM(IF('CO-PO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7" s="54" t="str">
        <f>IF('CO-PO Mapping'!V$2, IF(OR($AN77="-",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Mapping'!V$6, IF(OR($AR77="-",SUM(IF('CO-PO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Mapping'!V$7, IF(OR($AS77="-",SUM(IF('CO-PO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7" s="54" t="str">
        <f>IF('CO-PO Mapping'!W$2, IF(OR($AN77="-",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Mapping'!W$6, IF(OR($AR77="-",SUM(IF('CO-PO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Mapping'!W$7, IF(OR($AS77="-",SUM(IF('CO-PO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7" s="54" t="str">
        <f>IF('CO-PO Mapping'!X$2, IF(OR($AN77="-",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Mapping'!X$6, IF(OR($AR77="-",SUM(IF('CO-PO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Mapping'!X$7, IF(OR($AS77="-",SUM(IF('CO-PO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7" s="54" t="str">
        <f>IF('CO-PO Mapping'!Y$2, IF(OR($AN77="-",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Mapping'!Y$6, IF(OR($AR77="-",SUM(IF('CO-PO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Mapping'!Y$7, IF(OR($AS77="-",SUM(IF('CO-PO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7" s="54" t="str">
        <f>IF('CO-PO Mapping'!Z$2, IF(OR($AN77="-",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Mapping'!Z$6, IF(OR($AR77="-",SUM(IF('CO-PO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Mapping'!Z$7, IF(OR($AS77="-",SUM(IF('CO-PO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8" spans="1:57" ht="15" customHeight="1" x14ac:dyDescent="0.2">
      <c r="A78" s="29"/>
      <c r="B78" s="71"/>
      <c r="C78" s="72"/>
      <c r="D78" s="72"/>
      <c r="E78" s="59"/>
      <c r="F78" s="59"/>
      <c r="G78" s="59"/>
      <c r="H78" s="46" t="str">
        <f t="shared" si="29"/>
        <v>-</v>
      </c>
      <c r="I78" s="59"/>
      <c r="J78" s="59"/>
      <c r="K78" s="59"/>
      <c r="L78" s="59"/>
      <c r="M78" s="59"/>
      <c r="N78" s="59"/>
      <c r="O78" s="47" t="str">
        <f t="shared" si="30"/>
        <v>-</v>
      </c>
      <c r="P78" s="59"/>
      <c r="Q78" s="59"/>
      <c r="R78" s="59"/>
      <c r="S78" s="59"/>
      <c r="T78" s="59"/>
      <c r="U78" s="59"/>
      <c r="V78" s="48" t="str">
        <f t="shared" si="31"/>
        <v>-</v>
      </c>
      <c r="W78" s="49" t="str">
        <f t="shared" si="28"/>
        <v>-</v>
      </c>
      <c r="X78" s="50" t="str">
        <f t="shared" si="32"/>
        <v>-</v>
      </c>
      <c r="Y78" s="100"/>
      <c r="Z78" s="51" t="str">
        <f t="shared" si="26"/>
        <v/>
      </c>
      <c r="AA78" s="51" t="str">
        <f t="shared" si="27"/>
        <v/>
      </c>
      <c r="AB78" s="45">
        <f t="shared" si="11"/>
        <v>0</v>
      </c>
      <c r="AC78" s="45">
        <f t="shared" si="11"/>
        <v>0</v>
      </c>
      <c r="AD78" s="45">
        <f t="shared" si="11"/>
        <v>0</v>
      </c>
      <c r="AE78" s="45">
        <f t="shared" si="11"/>
        <v>0</v>
      </c>
      <c r="AF78" s="45">
        <f t="shared" si="11"/>
        <v>0</v>
      </c>
      <c r="AG78" s="45">
        <f t="shared" si="25"/>
        <v>0</v>
      </c>
      <c r="AH78" s="52">
        <f t="shared" si="12"/>
        <v>0</v>
      </c>
      <c r="AI78" s="52">
        <f t="shared" si="13"/>
        <v>0</v>
      </c>
      <c r="AJ78" s="52">
        <f t="shared" si="14"/>
        <v>0</v>
      </c>
      <c r="AK78" s="52">
        <f t="shared" si="22"/>
        <v>0</v>
      </c>
      <c r="AL78" s="52">
        <f t="shared" si="15"/>
        <v>0</v>
      </c>
      <c r="AM78" s="52">
        <f t="shared" si="16"/>
        <v>0</v>
      </c>
      <c r="AN78" s="53" t="str">
        <f t="shared" si="23"/>
        <v>-</v>
      </c>
      <c r="AO78" s="53" t="str">
        <f t="shared" si="17"/>
        <v>-</v>
      </c>
      <c r="AP78" s="53" t="str">
        <f t="shared" si="18"/>
        <v>-</v>
      </c>
      <c r="AQ78" s="53" t="str">
        <f t="shared" si="19"/>
        <v>-</v>
      </c>
      <c r="AR78" s="53" t="str">
        <f t="shared" si="20"/>
        <v>-</v>
      </c>
      <c r="AS78" s="53" t="str">
        <f t="shared" si="21"/>
        <v>-</v>
      </c>
      <c r="AT78" s="54" t="str">
        <f>IF('CO-PO Mapping'!O$2, IF(OR($AN78="-",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Mapping'!O$6, IF(OR($AR78="-",SUM(IF('CO-PO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Mapping'!O$7, IF(OR($AS78="-",SUM(IF('CO-PO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8" s="54" t="str">
        <f>IF('CO-PO Mapping'!P$2, IF(OR($AN78="-",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Mapping'!P$6, IF(OR($AR78="-",SUM(IF('CO-PO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Mapping'!P$7, IF(OR($AS78="-",SUM(IF('CO-PO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8" s="54" t="str">
        <f>IF('CO-PO Mapping'!Q$2, IF(OR($AN78="-",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Mapping'!Q$6, IF(OR($AR78="-",SUM(IF('CO-PO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Mapping'!Q$7, IF(OR($AS78="-",SUM(IF('CO-PO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8" s="54" t="str">
        <f>IF('CO-PO Mapping'!R$2, IF(OR($AN78="-",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Mapping'!R$6, IF(OR($AR78="-",SUM(IF('CO-PO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Mapping'!R$7, IF(OR($AS78="-",SUM(IF('CO-PO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8" s="54" t="str">
        <f>IF('CO-PO Mapping'!S$2, IF(OR($AN78="-",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Mapping'!S$6, IF(OR($AR78="-",SUM(IF('CO-PO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Mapping'!S$7, IF(OR($AS78="-",SUM(IF('CO-PO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8" s="54" t="str">
        <f>IF('CO-PO Mapping'!T$2, IF(OR($AN78="-",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Mapping'!T$6, IF(OR($AR78="-",SUM(IF('CO-PO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Mapping'!T$7, IF(OR($AS78="-",SUM(IF('CO-PO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8" s="54" t="str">
        <f>IF('CO-PO Mapping'!U$2, IF(OR($AN78="-",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Mapping'!U$6, IF(OR($AR78="-",SUM(IF('CO-PO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Mapping'!U$7, IF(OR($AS78="-",SUM(IF('CO-PO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8" s="54" t="str">
        <f>IF('CO-PO Mapping'!V$2, IF(OR($AN78="-",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Mapping'!V$6, IF(OR($AR78="-",SUM(IF('CO-PO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Mapping'!V$7, IF(OR($AS78="-",SUM(IF('CO-PO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8" s="54" t="str">
        <f>IF('CO-PO Mapping'!W$2, IF(OR($AN78="-",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Mapping'!W$6, IF(OR($AR78="-",SUM(IF('CO-PO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Mapping'!W$7, IF(OR($AS78="-",SUM(IF('CO-PO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8" s="54" t="str">
        <f>IF('CO-PO Mapping'!X$2, IF(OR($AN78="-",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Mapping'!X$6, IF(OR($AR78="-",SUM(IF('CO-PO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Mapping'!X$7, IF(OR($AS78="-",SUM(IF('CO-PO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8" s="54" t="str">
        <f>IF('CO-PO Mapping'!Y$2, IF(OR($AN78="-",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Mapping'!Y$6, IF(OR($AR78="-",SUM(IF('CO-PO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Mapping'!Y$7, IF(OR($AS78="-",SUM(IF('CO-PO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8" s="54" t="str">
        <f>IF('CO-PO Mapping'!Z$2, IF(OR($AN78="-",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Mapping'!Z$6, IF(OR($AR78="-",SUM(IF('CO-PO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Mapping'!Z$7, IF(OR($AS78="-",SUM(IF('CO-PO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9" spans="1:57" ht="15" customHeight="1" x14ac:dyDescent="0.2">
      <c r="A79" s="29"/>
      <c r="B79" s="71"/>
      <c r="C79" s="72"/>
      <c r="D79" s="72"/>
      <c r="E79" s="59"/>
      <c r="F79" s="59"/>
      <c r="G79" s="59"/>
      <c r="H79" s="46" t="str">
        <f t="shared" si="29"/>
        <v>-</v>
      </c>
      <c r="I79" s="59"/>
      <c r="J79" s="59"/>
      <c r="K79" s="59"/>
      <c r="L79" s="59"/>
      <c r="M79" s="59"/>
      <c r="N79" s="59"/>
      <c r="O79" s="47" t="str">
        <f t="shared" si="30"/>
        <v>-</v>
      </c>
      <c r="P79" s="59"/>
      <c r="Q79" s="59"/>
      <c r="R79" s="59"/>
      <c r="S79" s="59"/>
      <c r="T79" s="59"/>
      <c r="U79" s="59"/>
      <c r="V79" s="48" t="str">
        <f t="shared" si="31"/>
        <v>-</v>
      </c>
      <c r="W79" s="49" t="str">
        <f t="shared" si="28"/>
        <v>-</v>
      </c>
      <c r="X79" s="50" t="str">
        <f t="shared" si="32"/>
        <v>-</v>
      </c>
      <c r="Y79" s="100"/>
      <c r="Z79" s="51" t="str">
        <f t="shared" si="26"/>
        <v/>
      </c>
      <c r="AA79" s="51" t="str">
        <f t="shared" si="27"/>
        <v/>
      </c>
      <c r="AB79" s="45">
        <f t="shared" si="11"/>
        <v>0</v>
      </c>
      <c r="AC79" s="45">
        <f t="shared" si="11"/>
        <v>0</v>
      </c>
      <c r="AD79" s="45">
        <f t="shared" si="11"/>
        <v>0</v>
      </c>
      <c r="AE79" s="45">
        <f t="shared" si="11"/>
        <v>0</v>
      </c>
      <c r="AF79" s="45">
        <f t="shared" si="11"/>
        <v>0</v>
      </c>
      <c r="AG79" s="45">
        <f t="shared" si="25"/>
        <v>0</v>
      </c>
      <c r="AH79" s="52">
        <f t="shared" si="12"/>
        <v>0</v>
      </c>
      <c r="AI79" s="52">
        <f t="shared" si="13"/>
        <v>0</v>
      </c>
      <c r="AJ79" s="52">
        <f t="shared" si="14"/>
        <v>0</v>
      </c>
      <c r="AK79" s="52">
        <f t="shared" si="22"/>
        <v>0</v>
      </c>
      <c r="AL79" s="52">
        <f t="shared" si="15"/>
        <v>0</v>
      </c>
      <c r="AM79" s="52">
        <f t="shared" si="16"/>
        <v>0</v>
      </c>
      <c r="AN79" s="53" t="str">
        <f t="shared" si="23"/>
        <v>-</v>
      </c>
      <c r="AO79" s="53" t="str">
        <f t="shared" si="17"/>
        <v>-</v>
      </c>
      <c r="AP79" s="53" t="str">
        <f t="shared" si="18"/>
        <v>-</v>
      </c>
      <c r="AQ79" s="53" t="str">
        <f t="shared" si="19"/>
        <v>-</v>
      </c>
      <c r="AR79" s="53" t="str">
        <f t="shared" si="20"/>
        <v>-</v>
      </c>
      <c r="AS79" s="53" t="str">
        <f t="shared" si="21"/>
        <v>-</v>
      </c>
      <c r="AT79" s="54" t="str">
        <f>IF('CO-PO Mapping'!O$2, IF(OR($AN79="-",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Mapping'!O$6, IF(OR($AR79="-",SUM(IF('CO-PO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Mapping'!O$7, IF(OR($AS79="-",SUM(IF('CO-PO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9" s="54" t="str">
        <f>IF('CO-PO Mapping'!P$2, IF(OR($AN79="-",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Mapping'!P$6, IF(OR($AR79="-",SUM(IF('CO-PO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Mapping'!P$7, IF(OR($AS79="-",SUM(IF('CO-PO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9" s="54" t="str">
        <f>IF('CO-PO Mapping'!Q$2, IF(OR($AN79="-",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Mapping'!Q$6, IF(OR($AR79="-",SUM(IF('CO-PO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Mapping'!Q$7, IF(OR($AS79="-",SUM(IF('CO-PO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9" s="54" t="str">
        <f>IF('CO-PO Mapping'!R$2, IF(OR($AN79="-",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Mapping'!R$6, IF(OR($AR79="-",SUM(IF('CO-PO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Mapping'!R$7, IF(OR($AS79="-",SUM(IF('CO-PO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9" s="54" t="str">
        <f>IF('CO-PO Mapping'!S$2, IF(OR($AN79="-",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Mapping'!S$6, IF(OR($AR79="-",SUM(IF('CO-PO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Mapping'!S$7, IF(OR($AS79="-",SUM(IF('CO-PO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9" s="54" t="str">
        <f>IF('CO-PO Mapping'!T$2, IF(OR($AN79="-",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Mapping'!T$6, IF(OR($AR79="-",SUM(IF('CO-PO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Mapping'!T$7, IF(OR($AS79="-",SUM(IF('CO-PO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9" s="54" t="str">
        <f>IF('CO-PO Mapping'!U$2, IF(OR($AN79="-",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Mapping'!U$6, IF(OR($AR79="-",SUM(IF('CO-PO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Mapping'!U$7, IF(OR($AS79="-",SUM(IF('CO-PO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9" s="54" t="str">
        <f>IF('CO-PO Mapping'!V$2, IF(OR($AN79="-",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Mapping'!V$6, IF(OR($AR79="-",SUM(IF('CO-PO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Mapping'!V$7, IF(OR($AS79="-",SUM(IF('CO-PO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9" s="54" t="str">
        <f>IF('CO-PO Mapping'!W$2, IF(OR($AN79="-",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Mapping'!W$6, IF(OR($AR79="-",SUM(IF('CO-PO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Mapping'!W$7, IF(OR($AS79="-",SUM(IF('CO-PO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9" s="54" t="str">
        <f>IF('CO-PO Mapping'!X$2, IF(OR($AN79="-",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Mapping'!X$6, IF(OR($AR79="-",SUM(IF('CO-PO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Mapping'!X$7, IF(OR($AS79="-",SUM(IF('CO-PO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9" s="54" t="str">
        <f>IF('CO-PO Mapping'!Y$2, IF(OR($AN79="-",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Mapping'!Y$6, IF(OR($AR79="-",SUM(IF('CO-PO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Mapping'!Y$7, IF(OR($AS79="-",SUM(IF('CO-PO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9" s="54" t="str">
        <f>IF('CO-PO Mapping'!Z$2, IF(OR($AN79="-",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Mapping'!Z$6, IF(OR($AR79="-",SUM(IF('CO-PO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Mapping'!Z$7, IF(OR($AS79="-",SUM(IF('CO-PO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0" spans="1:57" ht="15" customHeight="1" x14ac:dyDescent="0.2">
      <c r="A80" s="29"/>
      <c r="B80" s="71"/>
      <c r="C80" s="72"/>
      <c r="D80" s="72"/>
      <c r="E80" s="59"/>
      <c r="F80" s="59"/>
      <c r="G80" s="59"/>
      <c r="H80" s="46" t="str">
        <f t="shared" si="29"/>
        <v>-</v>
      </c>
      <c r="I80" s="59"/>
      <c r="J80" s="59"/>
      <c r="K80" s="59"/>
      <c r="L80" s="59"/>
      <c r="M80" s="59"/>
      <c r="N80" s="59"/>
      <c r="O80" s="47" t="str">
        <f t="shared" si="30"/>
        <v>-</v>
      </c>
      <c r="P80" s="59"/>
      <c r="Q80" s="59"/>
      <c r="R80" s="59"/>
      <c r="S80" s="59"/>
      <c r="T80" s="59"/>
      <c r="U80" s="59"/>
      <c r="V80" s="48" t="str">
        <f t="shared" si="31"/>
        <v>-</v>
      </c>
      <c r="W80" s="49" t="str">
        <f t="shared" si="28"/>
        <v>-</v>
      </c>
      <c r="X80" s="50" t="str">
        <f t="shared" si="32"/>
        <v>-</v>
      </c>
      <c r="Y80" s="100"/>
      <c r="Z80" s="51" t="str">
        <f t="shared" si="26"/>
        <v/>
      </c>
      <c r="AA80" s="51" t="str">
        <f t="shared" si="27"/>
        <v/>
      </c>
      <c r="AB80" s="45">
        <f t="shared" si="11"/>
        <v>0</v>
      </c>
      <c r="AC80" s="45">
        <f t="shared" si="11"/>
        <v>0</v>
      </c>
      <c r="AD80" s="45">
        <f t="shared" si="11"/>
        <v>0</v>
      </c>
      <c r="AE80" s="45">
        <f t="shared" si="11"/>
        <v>0</v>
      </c>
      <c r="AF80" s="45">
        <f t="shared" si="11"/>
        <v>0</v>
      </c>
      <c r="AG80" s="45">
        <f t="shared" si="25"/>
        <v>0</v>
      </c>
      <c r="AH80" s="52">
        <f t="shared" si="12"/>
        <v>0</v>
      </c>
      <c r="AI80" s="52">
        <f t="shared" si="13"/>
        <v>0</v>
      </c>
      <c r="AJ80" s="52">
        <f t="shared" si="14"/>
        <v>0</v>
      </c>
      <c r="AK80" s="52">
        <f t="shared" si="22"/>
        <v>0</v>
      </c>
      <c r="AL80" s="52">
        <f t="shared" si="15"/>
        <v>0</v>
      </c>
      <c r="AM80" s="52">
        <f t="shared" si="16"/>
        <v>0</v>
      </c>
      <c r="AN80" s="53" t="str">
        <f t="shared" si="23"/>
        <v>-</v>
      </c>
      <c r="AO80" s="53" t="str">
        <f t="shared" si="17"/>
        <v>-</v>
      </c>
      <c r="AP80" s="53" t="str">
        <f t="shared" si="18"/>
        <v>-</v>
      </c>
      <c r="AQ80" s="53" t="str">
        <f t="shared" si="19"/>
        <v>-</v>
      </c>
      <c r="AR80" s="53" t="str">
        <f t="shared" si="20"/>
        <v>-</v>
      </c>
      <c r="AS80" s="53" t="str">
        <f t="shared" si="21"/>
        <v>-</v>
      </c>
      <c r="AT80" s="54" t="str">
        <f>IF('CO-PO Mapping'!O$2, IF(OR($AN80="-",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Mapping'!O$6, IF(OR($AR80="-",SUM(IF('CO-PO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Mapping'!O$7, IF(OR($AS80="-",SUM(IF('CO-PO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0" s="54" t="str">
        <f>IF('CO-PO Mapping'!P$2, IF(OR($AN80="-",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Mapping'!P$6, IF(OR($AR80="-",SUM(IF('CO-PO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Mapping'!P$7, IF(OR($AS80="-",SUM(IF('CO-PO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0" s="54" t="str">
        <f>IF('CO-PO Mapping'!Q$2, IF(OR($AN80="-",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Mapping'!Q$6, IF(OR($AR80="-",SUM(IF('CO-PO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Mapping'!Q$7, IF(OR($AS80="-",SUM(IF('CO-PO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0" s="54" t="str">
        <f>IF('CO-PO Mapping'!R$2, IF(OR($AN80="-",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Mapping'!R$6, IF(OR($AR80="-",SUM(IF('CO-PO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Mapping'!R$7, IF(OR($AS80="-",SUM(IF('CO-PO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0" s="54" t="str">
        <f>IF('CO-PO Mapping'!S$2, IF(OR($AN80="-",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Mapping'!S$6, IF(OR($AR80="-",SUM(IF('CO-PO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Mapping'!S$7, IF(OR($AS80="-",SUM(IF('CO-PO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0" s="54" t="str">
        <f>IF('CO-PO Mapping'!T$2, IF(OR($AN80="-",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Mapping'!T$6, IF(OR($AR80="-",SUM(IF('CO-PO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Mapping'!T$7, IF(OR($AS80="-",SUM(IF('CO-PO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0" s="54" t="str">
        <f>IF('CO-PO Mapping'!U$2, IF(OR($AN80="-",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Mapping'!U$6, IF(OR($AR80="-",SUM(IF('CO-PO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Mapping'!U$7, IF(OR($AS80="-",SUM(IF('CO-PO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0" s="54" t="str">
        <f>IF('CO-PO Mapping'!V$2, IF(OR($AN80="-",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Mapping'!V$6, IF(OR($AR80="-",SUM(IF('CO-PO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Mapping'!V$7, IF(OR($AS80="-",SUM(IF('CO-PO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0" s="54" t="str">
        <f>IF('CO-PO Mapping'!W$2, IF(OR($AN80="-",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Mapping'!W$6, IF(OR($AR80="-",SUM(IF('CO-PO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Mapping'!W$7, IF(OR($AS80="-",SUM(IF('CO-PO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0" s="54" t="str">
        <f>IF('CO-PO Mapping'!X$2, IF(OR($AN80="-",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Mapping'!X$6, IF(OR($AR80="-",SUM(IF('CO-PO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Mapping'!X$7, IF(OR($AS80="-",SUM(IF('CO-PO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0" s="54" t="str">
        <f>IF('CO-PO Mapping'!Y$2, IF(OR($AN80="-",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Mapping'!Y$6, IF(OR($AR80="-",SUM(IF('CO-PO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Mapping'!Y$7, IF(OR($AS80="-",SUM(IF('CO-PO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0" s="54" t="str">
        <f>IF('CO-PO Mapping'!Z$2, IF(OR($AN80="-",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Mapping'!Z$6, IF(OR($AR80="-",SUM(IF('CO-PO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Mapping'!Z$7, IF(OR($AS80="-",SUM(IF('CO-PO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1" spans="1:57" ht="15" customHeight="1" x14ac:dyDescent="0.2">
      <c r="A81" s="29"/>
      <c r="B81" s="71"/>
      <c r="C81" s="72"/>
      <c r="D81" s="72"/>
      <c r="E81" s="59"/>
      <c r="F81" s="59"/>
      <c r="G81" s="59"/>
      <c r="H81" s="46" t="str">
        <f t="shared" si="29"/>
        <v>-</v>
      </c>
      <c r="I81" s="59"/>
      <c r="J81" s="59"/>
      <c r="K81" s="59"/>
      <c r="L81" s="59"/>
      <c r="M81" s="59"/>
      <c r="N81" s="59"/>
      <c r="O81" s="47" t="str">
        <f t="shared" si="30"/>
        <v>-</v>
      </c>
      <c r="P81" s="59"/>
      <c r="Q81" s="59"/>
      <c r="R81" s="59"/>
      <c r="S81" s="59"/>
      <c r="T81" s="59"/>
      <c r="U81" s="59"/>
      <c r="V81" s="48" t="str">
        <f t="shared" si="31"/>
        <v>-</v>
      </c>
      <c r="W81" s="49" t="str">
        <f t="shared" si="28"/>
        <v>-</v>
      </c>
      <c r="X81" s="50" t="str">
        <f t="shared" si="32"/>
        <v>-</v>
      </c>
      <c r="Y81" s="100"/>
      <c r="Z81" s="51" t="str">
        <f t="shared" si="26"/>
        <v/>
      </c>
      <c r="AA81" s="51" t="str">
        <f t="shared" si="27"/>
        <v/>
      </c>
      <c r="AB81" s="45">
        <f t="shared" si="11"/>
        <v>0</v>
      </c>
      <c r="AC81" s="45">
        <f t="shared" si="11"/>
        <v>0</v>
      </c>
      <c r="AD81" s="45">
        <f t="shared" si="11"/>
        <v>0</v>
      </c>
      <c r="AE81" s="45">
        <f t="shared" si="11"/>
        <v>0</v>
      </c>
      <c r="AF81" s="45">
        <f t="shared" si="11"/>
        <v>0</v>
      </c>
      <c r="AG81" s="45">
        <f t="shared" si="25"/>
        <v>0</v>
      </c>
      <c r="AH81" s="52">
        <f t="shared" si="12"/>
        <v>0</v>
      </c>
      <c r="AI81" s="52">
        <f t="shared" si="13"/>
        <v>0</v>
      </c>
      <c r="AJ81" s="52">
        <f t="shared" si="14"/>
        <v>0</v>
      </c>
      <c r="AK81" s="52">
        <f t="shared" si="22"/>
        <v>0</v>
      </c>
      <c r="AL81" s="52">
        <f t="shared" si="15"/>
        <v>0</v>
      </c>
      <c r="AM81" s="52">
        <f>IF($AG$29=0,0,AG81*100/$AG$29)</f>
        <v>0</v>
      </c>
      <c r="AN81" s="53" t="str">
        <f t="shared" si="23"/>
        <v>-</v>
      </c>
      <c r="AO81" s="53" t="str">
        <f t="shared" si="17"/>
        <v>-</v>
      </c>
      <c r="AP81" s="53" t="str">
        <f t="shared" si="18"/>
        <v>-</v>
      </c>
      <c r="AQ81" s="53" t="str">
        <f t="shared" si="19"/>
        <v>-</v>
      </c>
      <c r="AR81" s="53" t="str">
        <f t="shared" si="20"/>
        <v>-</v>
      </c>
      <c r="AS81" s="53" t="str">
        <f t="shared" si="21"/>
        <v>-</v>
      </c>
      <c r="AT81" s="54" t="str">
        <f>IF('CO-PO Mapping'!O$2, IF(OR($AN81="-",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Mapping'!O$6, IF(OR($AR81="-",SUM(IF('CO-PO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Mapping'!O$7, IF(OR($AS81="-",SUM(IF('CO-PO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1" s="54" t="str">
        <f>IF('CO-PO Mapping'!P$2, IF(OR($AN81="-",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Mapping'!P$6, IF(OR($AR81="-",SUM(IF('CO-PO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Mapping'!P$7, IF(OR($AS81="-",SUM(IF('CO-PO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1" s="54" t="str">
        <f>IF('CO-PO Mapping'!Q$2, IF(OR($AN81="-",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Mapping'!Q$6, IF(OR($AR81="-",SUM(IF('CO-PO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Mapping'!Q$7, IF(OR($AS81="-",SUM(IF('CO-PO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1" s="54" t="str">
        <f>IF('CO-PO Mapping'!R$2, IF(OR($AN81="-",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Mapping'!R$6, IF(OR($AR81="-",SUM(IF('CO-PO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Mapping'!R$7, IF(OR($AS81="-",SUM(IF('CO-PO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1" s="54" t="str">
        <f>IF('CO-PO Mapping'!S$2, IF(OR($AN81="-",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Mapping'!S$6, IF(OR($AR81="-",SUM(IF('CO-PO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Mapping'!S$7, IF(OR($AS81="-",SUM(IF('CO-PO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1" s="54" t="str">
        <f>IF('CO-PO Mapping'!T$2, IF(OR($AN81="-",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Mapping'!T$6, IF(OR($AR81="-",SUM(IF('CO-PO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Mapping'!T$7, IF(OR($AS81="-",SUM(IF('CO-PO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1" s="54" t="str">
        <f>IF('CO-PO Mapping'!U$2, IF(OR($AN81="-",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Mapping'!U$6, IF(OR($AR81="-",SUM(IF('CO-PO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Mapping'!U$7, IF(OR($AS81="-",SUM(IF('CO-PO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1" s="54" t="str">
        <f>IF('CO-PO Mapping'!V$2, IF(OR($AN81="-",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Mapping'!V$6, IF(OR($AR81="-",SUM(IF('CO-PO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Mapping'!V$7, IF(OR($AS81="-",SUM(IF('CO-PO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1" s="54" t="str">
        <f>IF('CO-PO Mapping'!W$2, IF(OR($AN81="-",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Mapping'!W$6, IF(OR($AR81="-",SUM(IF('CO-PO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Mapping'!W$7, IF(OR($AS81="-",SUM(IF('CO-PO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1" s="54" t="str">
        <f>IF('CO-PO Mapping'!X$2, IF(OR($AN81="-",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Mapping'!X$6, IF(OR($AR81="-",SUM(IF('CO-PO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Mapping'!X$7, IF(OR($AS81="-",SUM(IF('CO-PO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1" s="54" t="str">
        <f>IF('CO-PO Mapping'!Y$2, IF(OR($AN81="-",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Mapping'!Y$6, IF(OR($AR81="-",SUM(IF('CO-PO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Mapping'!Y$7, IF(OR($AS81="-",SUM(IF('CO-PO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1" s="54" t="str">
        <f>IF('CO-PO Mapping'!Z$2, IF(OR($AN81="-",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Mapping'!Z$6, IF(OR($AR81="-",SUM(IF('CO-PO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Mapping'!Z$7, IF(OR($AS81="-",SUM(IF('CO-PO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2" spans="1:57" ht="15" customHeight="1" x14ac:dyDescent="0.2">
      <c r="A82" s="29"/>
      <c r="B82" s="71"/>
      <c r="C82" s="72"/>
      <c r="D82" s="72"/>
      <c r="E82" s="59"/>
      <c r="F82" s="59"/>
      <c r="G82" s="59"/>
      <c r="H82" s="46" t="str">
        <f t="shared" si="29"/>
        <v>-</v>
      </c>
      <c r="I82" s="59"/>
      <c r="J82" s="59"/>
      <c r="K82" s="59"/>
      <c r="L82" s="59"/>
      <c r="M82" s="59"/>
      <c r="N82" s="59"/>
      <c r="O82" s="47" t="str">
        <f t="shared" si="30"/>
        <v>-</v>
      </c>
      <c r="P82" s="59"/>
      <c r="Q82" s="59"/>
      <c r="R82" s="59"/>
      <c r="S82" s="59"/>
      <c r="T82" s="59"/>
      <c r="U82" s="59"/>
      <c r="V82" s="48" t="str">
        <f t="shared" si="31"/>
        <v>-</v>
      </c>
      <c r="W82" s="49" t="str">
        <f t="shared" si="28"/>
        <v>-</v>
      </c>
      <c r="X82" s="50" t="str">
        <f t="shared" si="32"/>
        <v>-</v>
      </c>
      <c r="Y82" s="100"/>
      <c r="Z82" s="51" t="str">
        <f t="shared" si="26"/>
        <v/>
      </c>
      <c r="AA82" s="51" t="str">
        <f t="shared" si="27"/>
        <v/>
      </c>
      <c r="AB82" s="45">
        <f t="shared" si="11"/>
        <v>0</v>
      </c>
      <c r="AC82" s="45">
        <f t="shared" si="11"/>
        <v>0</v>
      </c>
      <c r="AD82" s="45">
        <f t="shared" si="11"/>
        <v>0</v>
      </c>
      <c r="AE82" s="45">
        <f t="shared" si="11"/>
        <v>0</v>
      </c>
      <c r="AF82" s="45">
        <f t="shared" si="11"/>
        <v>0</v>
      </c>
      <c r="AG82" s="45">
        <f t="shared" si="25"/>
        <v>0</v>
      </c>
      <c r="AH82" s="52">
        <f t="shared" si="12"/>
        <v>0</v>
      </c>
      <c r="AI82" s="52">
        <f t="shared" si="13"/>
        <v>0</v>
      </c>
      <c r="AJ82" s="52">
        <f t="shared" si="14"/>
        <v>0</v>
      </c>
      <c r="AK82" s="52">
        <f t="shared" si="22"/>
        <v>0</v>
      </c>
      <c r="AL82" s="52">
        <f t="shared" si="15"/>
        <v>0</v>
      </c>
      <c r="AM82" s="52">
        <f t="shared" si="16"/>
        <v>0</v>
      </c>
      <c r="AN82" s="53" t="str">
        <f t="shared" si="23"/>
        <v>-</v>
      </c>
      <c r="AO82" s="53" t="str">
        <f t="shared" si="17"/>
        <v>-</v>
      </c>
      <c r="AP82" s="53" t="str">
        <f t="shared" si="18"/>
        <v>-</v>
      </c>
      <c r="AQ82" s="53" t="str">
        <f t="shared" si="19"/>
        <v>-</v>
      </c>
      <c r="AR82" s="53" t="str">
        <f t="shared" si="20"/>
        <v>-</v>
      </c>
      <c r="AS82" s="53" t="str">
        <f t="shared" si="21"/>
        <v>-</v>
      </c>
      <c r="AT82" s="54" t="str">
        <f>IF('CO-PO Mapping'!O$2, IF(OR($AN82="-",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Mapping'!O$6, IF(OR($AR82="-",SUM(IF('CO-PO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Mapping'!O$7, IF(OR($AS82="-",SUM(IF('CO-PO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2" s="54" t="str">
        <f>IF('CO-PO Mapping'!P$2, IF(OR($AN82="-",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Mapping'!P$6, IF(OR($AR82="-",SUM(IF('CO-PO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Mapping'!P$7, IF(OR($AS82="-",SUM(IF('CO-PO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2" s="54" t="str">
        <f>IF('CO-PO Mapping'!Q$2, IF(OR($AN82="-",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Mapping'!Q$6, IF(OR($AR82="-",SUM(IF('CO-PO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Mapping'!Q$7, IF(OR($AS82="-",SUM(IF('CO-PO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2" s="54" t="str">
        <f>IF('CO-PO Mapping'!R$2, IF(OR($AN82="-",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Mapping'!R$6, IF(OR($AR82="-",SUM(IF('CO-PO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Mapping'!R$7, IF(OR($AS82="-",SUM(IF('CO-PO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2" s="54" t="str">
        <f>IF('CO-PO Mapping'!S$2, IF(OR($AN82="-",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Mapping'!S$6, IF(OR($AR82="-",SUM(IF('CO-PO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Mapping'!S$7, IF(OR($AS82="-",SUM(IF('CO-PO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2" s="54" t="str">
        <f>IF('CO-PO Mapping'!T$2, IF(OR($AN82="-",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Mapping'!T$6, IF(OR($AR82="-",SUM(IF('CO-PO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Mapping'!T$7, IF(OR($AS82="-",SUM(IF('CO-PO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2" s="54" t="str">
        <f>IF('CO-PO Mapping'!U$2, IF(OR($AN82="-",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Mapping'!U$6, IF(OR($AR82="-",SUM(IF('CO-PO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Mapping'!U$7, IF(OR($AS82="-",SUM(IF('CO-PO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2" s="54" t="str">
        <f>IF('CO-PO Mapping'!V$2, IF(OR($AN82="-",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Mapping'!V$6, IF(OR($AR82="-",SUM(IF('CO-PO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Mapping'!V$7, IF(OR($AS82="-",SUM(IF('CO-PO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2" s="54" t="str">
        <f>IF('CO-PO Mapping'!W$2, IF(OR($AN82="-",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Mapping'!W$6, IF(OR($AR82="-",SUM(IF('CO-PO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Mapping'!W$7, IF(OR($AS82="-",SUM(IF('CO-PO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2" s="54" t="str">
        <f>IF('CO-PO Mapping'!X$2, IF(OR($AN82="-",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Mapping'!X$6, IF(OR($AR82="-",SUM(IF('CO-PO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Mapping'!X$7, IF(OR($AS82="-",SUM(IF('CO-PO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2" s="54" t="str">
        <f>IF('CO-PO Mapping'!Y$2, IF(OR($AN82="-",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Mapping'!Y$6, IF(OR($AR82="-",SUM(IF('CO-PO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Mapping'!Y$7, IF(OR($AS82="-",SUM(IF('CO-PO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2" s="54" t="str">
        <f>IF('CO-PO Mapping'!Z$2, IF(OR($AN82="-",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Mapping'!Z$6, IF(OR($AR82="-",SUM(IF('CO-PO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Mapping'!Z$7, IF(OR($AS82="-",SUM(IF('CO-PO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3" spans="1:57" ht="15" customHeight="1" x14ac:dyDescent="0.2">
      <c r="A83" s="29"/>
      <c r="B83" s="71"/>
      <c r="C83" s="72"/>
      <c r="D83" s="72"/>
      <c r="E83" s="59"/>
      <c r="F83" s="59"/>
      <c r="G83" s="59"/>
      <c r="H83" s="46" t="str">
        <f t="shared" si="29"/>
        <v>-</v>
      </c>
      <c r="I83" s="59"/>
      <c r="J83" s="59"/>
      <c r="K83" s="59"/>
      <c r="L83" s="59"/>
      <c r="M83" s="59"/>
      <c r="N83" s="59"/>
      <c r="O83" s="47" t="str">
        <f t="shared" si="30"/>
        <v>-</v>
      </c>
      <c r="P83" s="59"/>
      <c r="Q83" s="59"/>
      <c r="R83" s="59"/>
      <c r="S83" s="59"/>
      <c r="T83" s="59"/>
      <c r="U83" s="59"/>
      <c r="V83" s="48" t="str">
        <f t="shared" si="31"/>
        <v>-</v>
      </c>
      <c r="W83" s="49" t="str">
        <f t="shared" si="28"/>
        <v>-</v>
      </c>
      <c r="X83" s="50" t="str">
        <f t="shared" si="32"/>
        <v>-</v>
      </c>
      <c r="Y83" s="100"/>
      <c r="Z83" s="51" t="str">
        <f t="shared" si="26"/>
        <v/>
      </c>
      <c r="AA83" s="51" t="str">
        <f t="shared" si="27"/>
        <v/>
      </c>
      <c r="AB83" s="45">
        <f t="shared" si="11"/>
        <v>0</v>
      </c>
      <c r="AC83" s="45">
        <f t="shared" si="11"/>
        <v>0</v>
      </c>
      <c r="AD83" s="45">
        <f t="shared" si="11"/>
        <v>0</v>
      </c>
      <c r="AE83" s="45">
        <f t="shared" si="11"/>
        <v>0</v>
      </c>
      <c r="AF83" s="45">
        <f t="shared" si="11"/>
        <v>0</v>
      </c>
      <c r="AG83" s="45">
        <f t="shared" si="25"/>
        <v>0</v>
      </c>
      <c r="AH83" s="52">
        <f t="shared" si="12"/>
        <v>0</v>
      </c>
      <c r="AI83" s="52">
        <f t="shared" si="13"/>
        <v>0</v>
      </c>
      <c r="AJ83" s="52">
        <f t="shared" si="14"/>
        <v>0</v>
      </c>
      <c r="AK83" s="52">
        <f t="shared" si="22"/>
        <v>0</v>
      </c>
      <c r="AL83" s="52">
        <f t="shared" si="15"/>
        <v>0</v>
      </c>
      <c r="AM83" s="52">
        <f t="shared" si="16"/>
        <v>0</v>
      </c>
      <c r="AN83" s="53" t="str">
        <f t="shared" si="23"/>
        <v>-</v>
      </c>
      <c r="AO83" s="53" t="str">
        <f t="shared" si="17"/>
        <v>-</v>
      </c>
      <c r="AP83" s="53" t="str">
        <f t="shared" si="18"/>
        <v>-</v>
      </c>
      <c r="AQ83" s="53" t="str">
        <f t="shared" si="19"/>
        <v>-</v>
      </c>
      <c r="AR83" s="53" t="str">
        <f t="shared" si="20"/>
        <v>-</v>
      </c>
      <c r="AS83" s="53" t="str">
        <f t="shared" si="21"/>
        <v>-</v>
      </c>
      <c r="AT83" s="54" t="str">
        <f>IF('CO-PO Mapping'!O$2, IF(OR($AN83="-",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Mapping'!O$6, IF(OR($AR83="-",SUM(IF('CO-PO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Mapping'!O$7, IF(OR($AS83="-",SUM(IF('CO-PO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3" s="54" t="str">
        <f>IF('CO-PO Mapping'!P$2, IF(OR($AN83="-",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Mapping'!P$6, IF(OR($AR83="-",SUM(IF('CO-PO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Mapping'!P$7, IF(OR($AS83="-",SUM(IF('CO-PO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3" s="54" t="str">
        <f>IF('CO-PO Mapping'!Q$2, IF(OR($AN83="-",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Mapping'!Q$6, IF(OR($AR83="-",SUM(IF('CO-PO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Mapping'!Q$7, IF(OR($AS83="-",SUM(IF('CO-PO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3" s="54" t="str">
        <f>IF('CO-PO Mapping'!R$2, IF(OR($AN83="-",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Mapping'!R$6, IF(OR($AR83="-",SUM(IF('CO-PO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Mapping'!R$7, IF(OR($AS83="-",SUM(IF('CO-PO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3" s="54" t="str">
        <f>IF('CO-PO Mapping'!S$2, IF(OR($AN83="-",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Mapping'!S$6, IF(OR($AR83="-",SUM(IF('CO-PO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Mapping'!S$7, IF(OR($AS83="-",SUM(IF('CO-PO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3" s="54" t="str">
        <f>IF('CO-PO Mapping'!T$2, IF(OR($AN83="-",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Mapping'!T$6, IF(OR($AR83="-",SUM(IF('CO-PO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Mapping'!T$7, IF(OR($AS83="-",SUM(IF('CO-PO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3" s="54" t="str">
        <f>IF('CO-PO Mapping'!U$2, IF(OR($AN83="-",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Mapping'!U$6, IF(OR($AR83="-",SUM(IF('CO-PO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Mapping'!U$7, IF(OR($AS83="-",SUM(IF('CO-PO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3" s="54" t="str">
        <f>IF('CO-PO Mapping'!V$2, IF(OR($AN83="-",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Mapping'!V$6, IF(OR($AR83="-",SUM(IF('CO-PO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Mapping'!V$7, IF(OR($AS83="-",SUM(IF('CO-PO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3" s="54" t="str">
        <f>IF('CO-PO Mapping'!W$2, IF(OR($AN83="-",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Mapping'!W$6, IF(OR($AR83="-",SUM(IF('CO-PO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Mapping'!W$7, IF(OR($AS83="-",SUM(IF('CO-PO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3" s="54" t="str">
        <f>IF('CO-PO Mapping'!X$2, IF(OR($AN83="-",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Mapping'!X$6, IF(OR($AR83="-",SUM(IF('CO-PO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Mapping'!X$7, IF(OR($AS83="-",SUM(IF('CO-PO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3" s="54" t="str">
        <f>IF('CO-PO Mapping'!Y$2, IF(OR($AN83="-",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Mapping'!Y$6, IF(OR($AR83="-",SUM(IF('CO-PO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Mapping'!Y$7, IF(OR($AS83="-",SUM(IF('CO-PO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3" s="54" t="str">
        <f>IF('CO-PO Mapping'!Z$2, IF(OR($AN83="-",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Mapping'!Z$6, IF(OR($AR83="-",SUM(IF('CO-PO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Mapping'!Z$7, IF(OR($AS83="-",SUM(IF('CO-PO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4" spans="1:57" ht="15" customHeight="1" x14ac:dyDescent="0.2">
      <c r="A84" s="71"/>
      <c r="B84" s="101"/>
      <c r="C84" s="72"/>
      <c r="D84" s="72"/>
      <c r="E84" s="59"/>
      <c r="F84" s="59"/>
      <c r="G84" s="59"/>
      <c r="H84" s="46" t="str">
        <f t="shared" si="29"/>
        <v>-</v>
      </c>
      <c r="I84" s="59"/>
      <c r="J84" s="59"/>
      <c r="K84" s="59"/>
      <c r="L84" s="59"/>
      <c r="M84" s="59"/>
      <c r="N84" s="59"/>
      <c r="O84" s="47" t="str">
        <f t="shared" si="30"/>
        <v>-</v>
      </c>
      <c r="P84" s="59"/>
      <c r="Q84" s="59"/>
      <c r="R84" s="59"/>
      <c r="S84" s="59"/>
      <c r="T84" s="59"/>
      <c r="U84" s="59"/>
      <c r="V84" s="48" t="str">
        <f t="shared" si="31"/>
        <v>-</v>
      </c>
      <c r="W84" s="49" t="str">
        <f t="shared" si="28"/>
        <v>-</v>
      </c>
      <c r="X84" s="50" t="str">
        <f t="shared" si="32"/>
        <v>-</v>
      </c>
      <c r="Y84" s="100"/>
      <c r="Z84" s="51" t="str">
        <f t="shared" si="26"/>
        <v/>
      </c>
      <c r="AA84" s="51" t="str">
        <f t="shared" si="27"/>
        <v/>
      </c>
      <c r="AB84" s="45">
        <f t="shared" si="11"/>
        <v>0</v>
      </c>
      <c r="AC84" s="45">
        <f t="shared" si="11"/>
        <v>0</v>
      </c>
      <c r="AD84" s="45">
        <f t="shared" si="11"/>
        <v>0</v>
      </c>
      <c r="AE84" s="45">
        <f t="shared" si="11"/>
        <v>0</v>
      </c>
      <c r="AF84" s="45">
        <f t="shared" si="11"/>
        <v>0</v>
      </c>
      <c r="AG84" s="45">
        <f t="shared" si="25"/>
        <v>0</v>
      </c>
      <c r="AH84" s="52">
        <f t="shared" si="12"/>
        <v>0</v>
      </c>
      <c r="AI84" s="52">
        <f t="shared" si="13"/>
        <v>0</v>
      </c>
      <c r="AJ84" s="52">
        <f t="shared" si="14"/>
        <v>0</v>
      </c>
      <c r="AK84" s="52">
        <f t="shared" si="22"/>
        <v>0</v>
      </c>
      <c r="AL84" s="52">
        <f t="shared" si="15"/>
        <v>0</v>
      </c>
      <c r="AM84" s="52">
        <f t="shared" si="16"/>
        <v>0</v>
      </c>
      <c r="AN84" s="53" t="str">
        <f t="shared" si="23"/>
        <v>-</v>
      </c>
      <c r="AO84" s="53" t="str">
        <f t="shared" si="17"/>
        <v>-</v>
      </c>
      <c r="AP84" s="53" t="str">
        <f t="shared" si="18"/>
        <v>-</v>
      </c>
      <c r="AQ84" s="53" t="str">
        <f t="shared" si="19"/>
        <v>-</v>
      </c>
      <c r="AR84" s="53" t="str">
        <f t="shared" si="20"/>
        <v>-</v>
      </c>
      <c r="AS84" s="53" t="str">
        <f>IF(OR($Z84="",AND(AM84=0,$Z84="")),"-",IF(AM84&gt;=$AQ$27,"Y","N"))</f>
        <v>-</v>
      </c>
      <c r="AT84" s="54" t="str">
        <f>IF('CO-PO Mapping'!O$2, IF(OR($AN84="-",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Mapping'!O$6, IF(OR($AR84="-",SUM(IF('CO-PO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Mapping'!O$7, IF(OR($AS84="-",SUM(IF('CO-PO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4" s="54" t="str">
        <f>IF('CO-PO Mapping'!P$2, IF(OR($AN84="-",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Mapping'!P$6, IF(OR($AR84="-",SUM(IF('CO-PO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Mapping'!P$7, IF(OR($AS84="-",SUM(IF('CO-PO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4" s="54" t="str">
        <f>IF('CO-PO Mapping'!Q$2, IF(OR($AN84="-",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Mapping'!Q$6, IF(OR($AR84="-",SUM(IF('CO-PO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Mapping'!Q$7, IF(OR($AS84="-",SUM(IF('CO-PO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4" s="54" t="str">
        <f>IF('CO-PO Mapping'!R$2, IF(OR($AN84="-",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Mapping'!R$6, IF(OR($AR84="-",SUM(IF('CO-PO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Mapping'!R$7, IF(OR($AS84="-",SUM(IF('CO-PO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4" s="54" t="str">
        <f>IF('CO-PO Mapping'!S$2, IF(OR($AN84="-",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Mapping'!S$6, IF(OR($AR84="-",SUM(IF('CO-PO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Mapping'!S$7, IF(OR($AS84="-",SUM(IF('CO-PO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4" s="54" t="str">
        <f>IF('CO-PO Mapping'!T$2, IF(OR($AN84="-",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Mapping'!T$6, IF(OR($AR84="-",SUM(IF('CO-PO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Mapping'!T$7, IF(OR($AS84="-",SUM(IF('CO-PO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4" s="54" t="str">
        <f>IF('CO-PO Mapping'!U$2, IF(OR($AN84="-",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Mapping'!U$6, IF(OR($AR84="-",SUM(IF('CO-PO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Mapping'!U$7, IF(OR($AS84="-",SUM(IF('CO-PO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4" s="54" t="str">
        <f>IF('CO-PO Mapping'!V$2, IF(OR($AN84="-",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Mapping'!V$6, IF(OR($AR84="-",SUM(IF('CO-PO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Mapping'!V$7, IF(OR($AS84="-",SUM(IF('CO-PO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4" s="54" t="str">
        <f>IF('CO-PO Mapping'!W$2, IF(OR($AN84="-",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Mapping'!W$6, IF(OR($AR84="-",SUM(IF('CO-PO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Mapping'!W$7, IF(OR($AS84="-",SUM(IF('CO-PO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4" s="54" t="str">
        <f>IF('CO-PO Mapping'!X$2, IF(OR($AN84="-",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Mapping'!X$6, IF(OR($AR84="-",SUM(IF('CO-PO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Mapping'!X$7, IF(OR($AS84="-",SUM(IF('CO-PO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4" s="54" t="str">
        <f>IF('CO-PO Mapping'!Y$2, IF(OR($AN84="-",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Mapping'!Y$6, IF(OR($AR84="-",SUM(IF('CO-PO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Mapping'!Y$7, IF(OR($AS84="-",SUM(IF('CO-PO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4" s="54" t="str">
        <f>IF('CO-PO Mapping'!Z$2, IF(OR($AN84="-",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Mapping'!Z$6, IF(OR($AR84="-",SUM(IF('CO-PO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Mapping'!Z$7, IF(OR($AS84="-",SUM(IF('CO-PO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5" spans="1:57" ht="15" customHeight="1" x14ac:dyDescent="0.2">
      <c r="A85" s="71"/>
      <c r="B85" s="101"/>
      <c r="C85" s="72"/>
      <c r="D85" s="72"/>
      <c r="E85" s="59"/>
      <c r="F85" s="59"/>
      <c r="G85" s="59"/>
      <c r="H85" s="46" t="str">
        <f t="shared" si="29"/>
        <v>-</v>
      </c>
      <c r="I85" s="59"/>
      <c r="J85" s="59"/>
      <c r="K85" s="59"/>
      <c r="L85" s="59"/>
      <c r="M85" s="59"/>
      <c r="N85" s="59"/>
      <c r="O85" s="47" t="str">
        <f t="shared" si="30"/>
        <v>-</v>
      </c>
      <c r="P85" s="59"/>
      <c r="Q85" s="59"/>
      <c r="R85" s="59"/>
      <c r="S85" s="59"/>
      <c r="T85" s="59"/>
      <c r="U85" s="59"/>
      <c r="V85" s="48" t="str">
        <f t="shared" si="31"/>
        <v>-</v>
      </c>
      <c r="W85" s="49" t="str">
        <f t="shared" si="28"/>
        <v>-</v>
      </c>
      <c r="X85" s="50" t="str">
        <f t="shared" si="32"/>
        <v>-</v>
      </c>
      <c r="Y85" s="100"/>
      <c r="Z85" s="51" t="str">
        <f t="shared" si="26"/>
        <v/>
      </c>
      <c r="AA85" s="51" t="str">
        <f t="shared" si="27"/>
        <v/>
      </c>
      <c r="AB85" s="45">
        <f t="shared" si="11"/>
        <v>0</v>
      </c>
      <c r="AC85" s="45">
        <f t="shared" si="11"/>
        <v>0</v>
      </c>
      <c r="AD85" s="45">
        <f t="shared" si="11"/>
        <v>0</v>
      </c>
      <c r="AE85" s="45">
        <f t="shared" si="11"/>
        <v>0</v>
      </c>
      <c r="AF85" s="45">
        <f t="shared" si="11"/>
        <v>0</v>
      </c>
      <c r="AG85" s="45">
        <f t="shared" si="25"/>
        <v>0</v>
      </c>
      <c r="AH85" s="52">
        <f t="shared" si="12"/>
        <v>0</v>
      </c>
      <c r="AI85" s="52">
        <f t="shared" si="13"/>
        <v>0</v>
      </c>
      <c r="AJ85" s="52">
        <f t="shared" si="14"/>
        <v>0</v>
      </c>
      <c r="AK85" s="52">
        <f t="shared" si="22"/>
        <v>0</v>
      </c>
      <c r="AL85" s="52">
        <f t="shared" si="15"/>
        <v>0</v>
      </c>
      <c r="AM85" s="52">
        <f t="shared" si="16"/>
        <v>0</v>
      </c>
      <c r="AN85" s="53" t="str">
        <f t="shared" si="23"/>
        <v>-</v>
      </c>
      <c r="AO85" s="53" t="str">
        <f t="shared" si="17"/>
        <v>-</v>
      </c>
      <c r="AP85" s="53" t="str">
        <f t="shared" si="18"/>
        <v>-</v>
      </c>
      <c r="AQ85" s="53" t="str">
        <f t="shared" si="19"/>
        <v>-</v>
      </c>
      <c r="AR85" s="53" t="str">
        <f t="shared" si="20"/>
        <v>-</v>
      </c>
      <c r="AS85" s="53" t="str">
        <f t="shared" si="21"/>
        <v>-</v>
      </c>
      <c r="AT85" s="54" t="str">
        <f>IF('CO-PO Mapping'!O$2, IF(OR($AN85="-",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Mapping'!O$6, IF(OR($AR85="-",SUM(IF('CO-PO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Mapping'!O$7, IF(OR($AS85="-",SUM(IF('CO-PO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5" s="54" t="str">
        <f>IF('CO-PO Mapping'!P$2, IF(OR($AN85="-",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Mapping'!P$6, IF(OR($AR85="-",SUM(IF('CO-PO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Mapping'!P$7, IF(OR($AS85="-",SUM(IF('CO-PO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5" s="54" t="str">
        <f>IF('CO-PO Mapping'!Q$2, IF(OR($AN85="-",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Mapping'!Q$6, IF(OR($AR85="-",SUM(IF('CO-PO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Mapping'!Q$7, IF(OR($AS85="-",SUM(IF('CO-PO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5" s="54" t="str">
        <f>IF('CO-PO Mapping'!R$2, IF(OR($AN85="-",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Mapping'!R$6, IF(OR($AR85="-",SUM(IF('CO-PO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Mapping'!R$7, IF(OR($AS85="-",SUM(IF('CO-PO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5" s="54" t="str">
        <f>IF('CO-PO Mapping'!S$2, IF(OR($AN85="-",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Mapping'!S$6, IF(OR($AR85="-",SUM(IF('CO-PO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Mapping'!S$7, IF(OR($AS85="-",SUM(IF('CO-PO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5" s="54" t="str">
        <f>IF('CO-PO Mapping'!T$2, IF(OR($AN85="-",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Mapping'!T$6, IF(OR($AR85="-",SUM(IF('CO-PO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Mapping'!T$7, IF(OR($AS85="-",SUM(IF('CO-PO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5" s="54" t="str">
        <f>IF('CO-PO Mapping'!U$2, IF(OR($AN85="-",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Mapping'!U$6, IF(OR($AR85="-",SUM(IF('CO-PO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Mapping'!U$7, IF(OR($AS85="-",SUM(IF('CO-PO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5" s="54" t="str">
        <f>IF('CO-PO Mapping'!V$2, IF(OR($AN85="-",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Mapping'!V$6, IF(OR($AR85="-",SUM(IF('CO-PO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Mapping'!V$7, IF(OR($AS85="-",SUM(IF('CO-PO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5" s="54" t="str">
        <f>IF('CO-PO Mapping'!W$2, IF(OR($AN85="-",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Mapping'!W$6, IF(OR($AR85="-",SUM(IF('CO-PO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Mapping'!W$7, IF(OR($AS85="-",SUM(IF('CO-PO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5" s="54" t="str">
        <f>IF('CO-PO Mapping'!X$2, IF(OR($AN85="-",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Mapping'!X$6, IF(OR($AR85="-",SUM(IF('CO-PO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Mapping'!X$7, IF(OR($AS85="-",SUM(IF('CO-PO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5" s="54" t="str">
        <f>IF('CO-PO Mapping'!Y$2, IF(OR($AN85="-",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Mapping'!Y$6, IF(OR($AR85="-",SUM(IF('CO-PO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Mapping'!Y$7, IF(OR($AS85="-",SUM(IF('CO-PO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5" s="54" t="str">
        <f>IF('CO-PO Mapping'!Z$2, IF(OR($AN85="-",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Mapping'!Z$6, IF(OR($AR85="-",SUM(IF('CO-PO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Mapping'!Z$7, IF(OR($AS85="-",SUM(IF('CO-PO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6" spans="1:57" ht="15" customHeight="1" x14ac:dyDescent="0.2">
      <c r="A86" s="71"/>
      <c r="B86" s="101"/>
      <c r="C86" s="72"/>
      <c r="D86" s="72"/>
      <c r="E86" s="59"/>
      <c r="F86" s="59"/>
      <c r="G86" s="59"/>
      <c r="H86" s="46" t="str">
        <f t="shared" si="29"/>
        <v>-</v>
      </c>
      <c r="I86" s="59"/>
      <c r="J86" s="59"/>
      <c r="K86" s="59"/>
      <c r="L86" s="59"/>
      <c r="M86" s="59"/>
      <c r="N86" s="59"/>
      <c r="O86" s="47" t="str">
        <f t="shared" si="30"/>
        <v>-</v>
      </c>
      <c r="P86" s="59"/>
      <c r="Q86" s="59"/>
      <c r="R86" s="59"/>
      <c r="S86" s="59"/>
      <c r="T86" s="59"/>
      <c r="U86" s="59"/>
      <c r="V86" s="48" t="str">
        <f t="shared" si="31"/>
        <v>-</v>
      </c>
      <c r="W86" s="49" t="str">
        <f t="shared" si="28"/>
        <v>-</v>
      </c>
      <c r="X86" s="50" t="str">
        <f t="shared" si="32"/>
        <v>-</v>
      </c>
      <c r="Y86" s="100"/>
      <c r="Z86" s="51" t="str">
        <f t="shared" si="26"/>
        <v/>
      </c>
      <c r="AA86" s="51" t="str">
        <f t="shared" si="27"/>
        <v/>
      </c>
      <c r="AB86" s="45">
        <f t="shared" si="11"/>
        <v>0</v>
      </c>
      <c r="AC86" s="45">
        <f t="shared" si="11"/>
        <v>0</v>
      </c>
      <c r="AD86" s="45">
        <f t="shared" si="11"/>
        <v>0</v>
      </c>
      <c r="AE86" s="45">
        <f t="shared" si="11"/>
        <v>0</v>
      </c>
      <c r="AF86" s="45">
        <f t="shared" si="11"/>
        <v>0</v>
      </c>
      <c r="AG86" s="45">
        <f t="shared" si="25"/>
        <v>0</v>
      </c>
      <c r="AH86" s="52">
        <f t="shared" si="12"/>
        <v>0</v>
      </c>
      <c r="AI86" s="52">
        <f t="shared" si="13"/>
        <v>0</v>
      </c>
      <c r="AJ86" s="52">
        <f t="shared" si="14"/>
        <v>0</v>
      </c>
      <c r="AK86" s="52">
        <f t="shared" si="22"/>
        <v>0</v>
      </c>
      <c r="AL86" s="52">
        <f t="shared" si="15"/>
        <v>0</v>
      </c>
      <c r="AM86" s="52">
        <f t="shared" si="16"/>
        <v>0</v>
      </c>
      <c r="AN86" s="53" t="str">
        <f t="shared" si="23"/>
        <v>-</v>
      </c>
      <c r="AO86" s="53" t="str">
        <f t="shared" si="17"/>
        <v>-</v>
      </c>
      <c r="AP86" s="53" t="str">
        <f t="shared" si="18"/>
        <v>-</v>
      </c>
      <c r="AQ86" s="53" t="str">
        <f t="shared" si="19"/>
        <v>-</v>
      </c>
      <c r="AR86" s="53" t="str">
        <f t="shared" si="20"/>
        <v>-</v>
      </c>
      <c r="AS86" s="53" t="str">
        <f t="shared" si="21"/>
        <v>-</v>
      </c>
      <c r="AT86" s="54" t="str">
        <f>IF('CO-PO Mapping'!O$2, IF(OR($AN86="-",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Mapping'!O$6, IF(OR($AR86="-",SUM(IF('CO-PO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Mapping'!O$7, IF(OR($AS86="-",SUM(IF('CO-PO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6" s="54" t="str">
        <f>IF('CO-PO Mapping'!P$2, IF(OR($AN86="-",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Mapping'!P$6, IF(OR($AR86="-",SUM(IF('CO-PO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Mapping'!P$7, IF(OR($AS86="-",SUM(IF('CO-PO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6" s="54" t="str">
        <f>IF('CO-PO Mapping'!Q$2, IF(OR($AN86="-",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Mapping'!Q$6, IF(OR($AR86="-",SUM(IF('CO-PO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Mapping'!Q$7, IF(OR($AS86="-",SUM(IF('CO-PO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6" s="54" t="str">
        <f>IF('CO-PO Mapping'!R$2, IF(OR($AN86="-",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Mapping'!R$6, IF(OR($AR86="-",SUM(IF('CO-PO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Mapping'!R$7, IF(OR($AS86="-",SUM(IF('CO-PO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6" s="54" t="str">
        <f>IF('CO-PO Mapping'!S$2, IF(OR($AN86="-",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Mapping'!S$6, IF(OR($AR86="-",SUM(IF('CO-PO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Mapping'!S$7, IF(OR($AS86="-",SUM(IF('CO-PO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6" s="54" t="str">
        <f>IF('CO-PO Mapping'!T$2, IF(OR($AN86="-",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Mapping'!T$6, IF(OR($AR86="-",SUM(IF('CO-PO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Mapping'!T$7, IF(OR($AS86="-",SUM(IF('CO-PO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6" s="54" t="str">
        <f>IF('CO-PO Mapping'!U$2, IF(OR($AN86="-",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Mapping'!U$6, IF(OR($AR86="-",SUM(IF('CO-PO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Mapping'!U$7, IF(OR($AS86="-",SUM(IF('CO-PO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6" s="54" t="str">
        <f>IF('CO-PO Mapping'!V$2, IF(OR($AN86="-",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Mapping'!V$6, IF(OR($AR86="-",SUM(IF('CO-PO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Mapping'!V$7, IF(OR($AS86="-",SUM(IF('CO-PO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6" s="54" t="str">
        <f>IF('CO-PO Mapping'!W$2, IF(OR($AN86="-",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Mapping'!W$6, IF(OR($AR86="-",SUM(IF('CO-PO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Mapping'!W$7, IF(OR($AS86="-",SUM(IF('CO-PO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6" s="54" t="str">
        <f>IF('CO-PO Mapping'!X$2, IF(OR($AN86="-",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Mapping'!X$6, IF(OR($AR86="-",SUM(IF('CO-PO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Mapping'!X$7, IF(OR($AS86="-",SUM(IF('CO-PO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6" s="54" t="str">
        <f>IF('CO-PO Mapping'!Y$2, IF(OR($AN86="-",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Mapping'!Y$6, IF(OR($AR86="-",SUM(IF('CO-PO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Mapping'!Y$7, IF(OR($AS86="-",SUM(IF('CO-PO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6" s="54" t="str">
        <f>IF('CO-PO Mapping'!Z$2, IF(OR($AN86="-",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Mapping'!Z$6, IF(OR($AR86="-",SUM(IF('CO-PO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Mapping'!Z$7, IF(OR($AS86="-",SUM(IF('CO-PO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7" spans="1:57" ht="15" customHeight="1" x14ac:dyDescent="0.2">
      <c r="A87" s="71"/>
      <c r="B87" s="101"/>
      <c r="C87" s="72"/>
      <c r="D87" s="72"/>
      <c r="E87" s="59"/>
      <c r="F87" s="59"/>
      <c r="G87" s="59"/>
      <c r="H87" s="46" t="str">
        <f t="shared" si="29"/>
        <v>-</v>
      </c>
      <c r="I87" s="59"/>
      <c r="J87" s="59"/>
      <c r="K87" s="59"/>
      <c r="L87" s="59"/>
      <c r="M87" s="59"/>
      <c r="N87" s="59"/>
      <c r="O87" s="47" t="str">
        <f t="shared" si="30"/>
        <v>-</v>
      </c>
      <c r="P87" s="59"/>
      <c r="Q87" s="59"/>
      <c r="R87" s="59"/>
      <c r="S87" s="59"/>
      <c r="T87" s="59"/>
      <c r="U87" s="59"/>
      <c r="V87" s="48" t="str">
        <f t="shared" si="31"/>
        <v>-</v>
      </c>
      <c r="W87" s="49" t="str">
        <f t="shared" si="28"/>
        <v>-</v>
      </c>
      <c r="X87" s="50" t="str">
        <f t="shared" si="32"/>
        <v>-</v>
      </c>
      <c r="Y87" s="100"/>
      <c r="Z87" s="51" t="str">
        <f t="shared" si="26"/>
        <v/>
      </c>
      <c r="AA87" s="51" t="str">
        <f t="shared" si="27"/>
        <v/>
      </c>
      <c r="AB87" s="45">
        <f t="shared" si="11"/>
        <v>0</v>
      </c>
      <c r="AC87" s="45">
        <f t="shared" si="11"/>
        <v>0</v>
      </c>
      <c r="AD87" s="45">
        <f t="shared" si="11"/>
        <v>0</v>
      </c>
      <c r="AE87" s="45">
        <f t="shared" si="11"/>
        <v>0</v>
      </c>
      <c r="AF87" s="45">
        <f t="shared" si="11"/>
        <v>0</v>
      </c>
      <c r="AG87" s="45">
        <f t="shared" si="25"/>
        <v>0</v>
      </c>
      <c r="AH87" s="52">
        <f t="shared" si="12"/>
        <v>0</v>
      </c>
      <c r="AI87" s="52">
        <f t="shared" si="13"/>
        <v>0</v>
      </c>
      <c r="AJ87" s="52">
        <f t="shared" si="14"/>
        <v>0</v>
      </c>
      <c r="AK87" s="52">
        <f t="shared" si="22"/>
        <v>0</v>
      </c>
      <c r="AL87" s="52">
        <f t="shared" si="15"/>
        <v>0</v>
      </c>
      <c r="AM87" s="52">
        <f t="shared" si="16"/>
        <v>0</v>
      </c>
      <c r="AN87" s="53" t="str">
        <f t="shared" si="23"/>
        <v>-</v>
      </c>
      <c r="AO87" s="53" t="str">
        <f t="shared" si="17"/>
        <v>-</v>
      </c>
      <c r="AP87" s="53" t="str">
        <f t="shared" si="18"/>
        <v>-</v>
      </c>
      <c r="AQ87" s="53" t="str">
        <f t="shared" si="19"/>
        <v>-</v>
      </c>
      <c r="AR87" s="53" t="str">
        <f t="shared" si="20"/>
        <v>-</v>
      </c>
      <c r="AS87" s="53" t="str">
        <f t="shared" si="21"/>
        <v>-</v>
      </c>
      <c r="AT87" s="54" t="str">
        <f>IF('CO-PO Mapping'!O$2, IF(OR($AN87="-",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Mapping'!O$6, IF(OR($AR87="-",SUM(IF('CO-PO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Mapping'!O$7, IF(OR($AS87="-",SUM(IF('CO-PO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7" s="54" t="str">
        <f>IF('CO-PO Mapping'!P$2, IF(OR($AN87="-",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Mapping'!P$6, IF(OR($AR87="-",SUM(IF('CO-PO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Mapping'!P$7, IF(OR($AS87="-",SUM(IF('CO-PO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7" s="54" t="str">
        <f>IF('CO-PO Mapping'!Q$2, IF(OR($AN87="-",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Mapping'!Q$6, IF(OR($AR87="-",SUM(IF('CO-PO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Mapping'!Q$7, IF(OR($AS87="-",SUM(IF('CO-PO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7" s="54" t="str">
        <f>IF('CO-PO Mapping'!R$2, IF(OR($AN87="-",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Mapping'!R$6, IF(OR($AR87="-",SUM(IF('CO-PO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Mapping'!R$7, IF(OR($AS87="-",SUM(IF('CO-PO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7" s="54" t="str">
        <f>IF('CO-PO Mapping'!S$2, IF(OR($AN87="-",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Mapping'!S$6, IF(OR($AR87="-",SUM(IF('CO-PO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Mapping'!S$7, IF(OR($AS87="-",SUM(IF('CO-PO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7" s="54" t="str">
        <f>IF('CO-PO Mapping'!T$2, IF(OR($AN87="-",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Mapping'!T$6, IF(OR($AR87="-",SUM(IF('CO-PO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Mapping'!T$7, IF(OR($AS87="-",SUM(IF('CO-PO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7" s="54" t="str">
        <f>IF('CO-PO Mapping'!U$2, IF(OR($AN87="-",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Mapping'!U$6, IF(OR($AR87="-",SUM(IF('CO-PO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Mapping'!U$7, IF(OR($AS87="-",SUM(IF('CO-PO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7" s="54" t="str">
        <f>IF('CO-PO Mapping'!V$2, IF(OR($AN87="-",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Mapping'!V$6, IF(OR($AR87="-",SUM(IF('CO-PO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Mapping'!V$7, IF(OR($AS87="-",SUM(IF('CO-PO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7" s="54" t="str">
        <f>IF('CO-PO Mapping'!W$2, IF(OR($AN87="-",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Mapping'!W$6, IF(OR($AR87="-",SUM(IF('CO-PO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Mapping'!W$7, IF(OR($AS87="-",SUM(IF('CO-PO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7" s="54" t="str">
        <f>IF('CO-PO Mapping'!X$2, IF(OR($AN87="-",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Mapping'!X$6, IF(OR($AR87="-",SUM(IF('CO-PO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Mapping'!X$7, IF(OR($AS87="-",SUM(IF('CO-PO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7" s="54" t="str">
        <f>IF('CO-PO Mapping'!Y$2, IF(OR($AN87="-",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Mapping'!Y$6, IF(OR($AR87="-",SUM(IF('CO-PO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Mapping'!Y$7, IF(OR($AS87="-",SUM(IF('CO-PO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7" s="54" t="str">
        <f>IF('CO-PO Mapping'!Z$2, IF(OR($AN87="-",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Mapping'!Z$6, IF(OR($AR87="-",SUM(IF('CO-PO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Mapping'!Z$7, IF(OR($AS87="-",SUM(IF('CO-PO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8" spans="1:57" ht="15" customHeight="1" x14ac:dyDescent="0.2">
      <c r="A88" s="71"/>
      <c r="B88" s="101"/>
      <c r="C88" s="72"/>
      <c r="D88" s="72"/>
      <c r="E88" s="59"/>
      <c r="F88" s="59"/>
      <c r="G88" s="59"/>
      <c r="H88" s="46" t="str">
        <f t="shared" si="29"/>
        <v>-</v>
      </c>
      <c r="I88" s="59"/>
      <c r="J88" s="59"/>
      <c r="K88" s="59"/>
      <c r="L88" s="59"/>
      <c r="M88" s="59"/>
      <c r="N88" s="59"/>
      <c r="O88" s="47" t="str">
        <f t="shared" si="30"/>
        <v>-</v>
      </c>
      <c r="P88" s="59"/>
      <c r="Q88" s="59"/>
      <c r="R88" s="59"/>
      <c r="S88" s="59"/>
      <c r="T88" s="59"/>
      <c r="U88" s="59"/>
      <c r="V88" s="48" t="str">
        <f t="shared" si="31"/>
        <v>-</v>
      </c>
      <c r="W88" s="49" t="str">
        <f t="shared" si="28"/>
        <v>-</v>
      </c>
      <c r="X88" s="50" t="str">
        <f t="shared" si="32"/>
        <v>-</v>
      </c>
      <c r="Y88" s="100"/>
      <c r="Z88" s="51" t="str">
        <f t="shared" si="26"/>
        <v/>
      </c>
      <c r="AA88" s="51" t="str">
        <f t="shared" si="27"/>
        <v/>
      </c>
      <c r="AB88" s="45">
        <f t="shared" si="11"/>
        <v>0</v>
      </c>
      <c r="AC88" s="45">
        <f t="shared" si="11"/>
        <v>0</v>
      </c>
      <c r="AD88" s="45">
        <f t="shared" si="11"/>
        <v>0</v>
      </c>
      <c r="AE88" s="45">
        <f t="shared" si="11"/>
        <v>0</v>
      </c>
      <c r="AF88" s="45">
        <f t="shared" si="11"/>
        <v>0</v>
      </c>
      <c r="AG88" s="45">
        <f t="shared" si="25"/>
        <v>0</v>
      </c>
      <c r="AH88" s="52">
        <f t="shared" si="12"/>
        <v>0</v>
      </c>
      <c r="AI88" s="52">
        <f t="shared" si="13"/>
        <v>0</v>
      </c>
      <c r="AJ88" s="52">
        <f t="shared" si="14"/>
        <v>0</v>
      </c>
      <c r="AK88" s="52">
        <f t="shared" si="22"/>
        <v>0</v>
      </c>
      <c r="AL88" s="52">
        <f t="shared" si="15"/>
        <v>0</v>
      </c>
      <c r="AM88" s="52">
        <f t="shared" si="16"/>
        <v>0</v>
      </c>
      <c r="AN88" s="53" t="str">
        <f t="shared" si="23"/>
        <v>-</v>
      </c>
      <c r="AO88" s="53" t="str">
        <f t="shared" si="17"/>
        <v>-</v>
      </c>
      <c r="AP88" s="53" t="str">
        <f t="shared" si="18"/>
        <v>-</v>
      </c>
      <c r="AQ88" s="53" t="str">
        <f t="shared" si="19"/>
        <v>-</v>
      </c>
      <c r="AR88" s="53" t="str">
        <f t="shared" si="20"/>
        <v>-</v>
      </c>
      <c r="AS88" s="53" t="str">
        <f t="shared" si="21"/>
        <v>-</v>
      </c>
      <c r="AT88" s="54" t="str">
        <f>IF('CO-PO Mapping'!O$2, IF(OR($AN88="-",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Mapping'!O$6, IF(OR($AR88="-",SUM(IF('CO-PO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Mapping'!O$7, IF(OR($AS88="-",SUM(IF('CO-PO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8" s="54" t="str">
        <f>IF('CO-PO Mapping'!P$2, IF(OR($AN88="-",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Mapping'!P$6, IF(OR($AR88="-",SUM(IF('CO-PO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Mapping'!P$7, IF(OR($AS88="-",SUM(IF('CO-PO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8" s="54" t="str">
        <f>IF('CO-PO Mapping'!Q$2, IF(OR($AN88="-",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Mapping'!Q$6, IF(OR($AR88="-",SUM(IF('CO-PO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Mapping'!Q$7, IF(OR($AS88="-",SUM(IF('CO-PO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8" s="54" t="str">
        <f>IF('CO-PO Mapping'!R$2, IF(OR($AN88="-",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Mapping'!R$6, IF(OR($AR88="-",SUM(IF('CO-PO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Mapping'!R$7, IF(OR($AS88="-",SUM(IF('CO-PO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8" s="54" t="str">
        <f>IF('CO-PO Mapping'!S$2, IF(OR($AN88="-",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Mapping'!S$6, IF(OR($AR88="-",SUM(IF('CO-PO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Mapping'!S$7, IF(OR($AS88="-",SUM(IF('CO-PO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8" s="54" t="str">
        <f>IF('CO-PO Mapping'!T$2, IF(OR($AN88="-",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Mapping'!T$6, IF(OR($AR88="-",SUM(IF('CO-PO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Mapping'!T$7, IF(OR($AS88="-",SUM(IF('CO-PO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8" s="54" t="str">
        <f>IF('CO-PO Mapping'!U$2, IF(OR($AN88="-",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Mapping'!U$6, IF(OR($AR88="-",SUM(IF('CO-PO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Mapping'!U$7, IF(OR($AS88="-",SUM(IF('CO-PO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8" s="54" t="str">
        <f>IF('CO-PO Mapping'!V$2, IF(OR($AN88="-",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Mapping'!V$6, IF(OR($AR88="-",SUM(IF('CO-PO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Mapping'!V$7, IF(OR($AS88="-",SUM(IF('CO-PO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8" s="54" t="str">
        <f>IF('CO-PO Mapping'!W$2, IF(OR($AN88="-",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Mapping'!W$6, IF(OR($AR88="-",SUM(IF('CO-PO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Mapping'!W$7, IF(OR($AS88="-",SUM(IF('CO-PO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8" s="54" t="str">
        <f>IF('CO-PO Mapping'!X$2, IF(OR($AN88="-",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Mapping'!X$6, IF(OR($AR88="-",SUM(IF('CO-PO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Mapping'!X$7, IF(OR($AS88="-",SUM(IF('CO-PO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8" s="54" t="str">
        <f>IF('CO-PO Mapping'!Y$2, IF(OR($AN88="-",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Mapping'!Y$6, IF(OR($AR88="-",SUM(IF('CO-PO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Mapping'!Y$7, IF(OR($AS88="-",SUM(IF('CO-PO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8" s="54" t="str">
        <f>IF('CO-PO Mapping'!Z$2, IF(OR($AN88="-",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Mapping'!Z$6, IF(OR($AR88="-",SUM(IF('CO-PO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Mapping'!Z$7, IF(OR($AS88="-",SUM(IF('CO-PO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9" spans="1:57" ht="15" customHeight="1" x14ac:dyDescent="0.2">
      <c r="A89" s="71"/>
      <c r="B89" s="101"/>
      <c r="C89" s="72"/>
      <c r="D89" s="72"/>
      <c r="E89" s="59"/>
      <c r="F89" s="59"/>
      <c r="G89" s="59"/>
      <c r="H89" s="46" t="str">
        <f t="shared" si="29"/>
        <v>-</v>
      </c>
      <c r="I89" s="59"/>
      <c r="J89" s="59"/>
      <c r="K89" s="59"/>
      <c r="L89" s="59"/>
      <c r="M89" s="59"/>
      <c r="N89" s="59"/>
      <c r="O89" s="47" t="str">
        <f t="shared" si="30"/>
        <v>-</v>
      </c>
      <c r="P89" s="59"/>
      <c r="Q89" s="59"/>
      <c r="R89" s="59"/>
      <c r="S89" s="59"/>
      <c r="T89" s="59"/>
      <c r="U89" s="59"/>
      <c r="V89" s="48" t="str">
        <f t="shared" si="31"/>
        <v>-</v>
      </c>
      <c r="W89" s="49" t="str">
        <f t="shared" si="28"/>
        <v>-</v>
      </c>
      <c r="X89" s="50" t="str">
        <f t="shared" si="32"/>
        <v>-</v>
      </c>
      <c r="Y89" s="100"/>
      <c r="Z89" s="51" t="str">
        <f t="shared" si="26"/>
        <v/>
      </c>
      <c r="AA89" s="51" t="str">
        <f t="shared" si="27"/>
        <v/>
      </c>
      <c r="AB89" s="45">
        <f t="shared" si="11"/>
        <v>0</v>
      </c>
      <c r="AC89" s="45">
        <f t="shared" si="11"/>
        <v>0</v>
      </c>
      <c r="AD89" s="45">
        <f t="shared" si="11"/>
        <v>0</v>
      </c>
      <c r="AE89" s="45">
        <f t="shared" si="11"/>
        <v>0</v>
      </c>
      <c r="AF89" s="45">
        <f t="shared" si="11"/>
        <v>0</v>
      </c>
      <c r="AG89" s="45">
        <f t="shared" si="25"/>
        <v>0</v>
      </c>
      <c r="AH89" s="52">
        <f t="shared" si="12"/>
        <v>0</v>
      </c>
      <c r="AI89" s="52">
        <f t="shared" si="13"/>
        <v>0</v>
      </c>
      <c r="AJ89" s="52">
        <f t="shared" si="14"/>
        <v>0</v>
      </c>
      <c r="AK89" s="52">
        <f t="shared" si="22"/>
        <v>0</v>
      </c>
      <c r="AL89" s="52">
        <f t="shared" si="15"/>
        <v>0</v>
      </c>
      <c r="AM89" s="52">
        <f t="shared" si="16"/>
        <v>0</v>
      </c>
      <c r="AN89" s="53" t="str">
        <f t="shared" si="23"/>
        <v>-</v>
      </c>
      <c r="AO89" s="53" t="str">
        <f t="shared" si="17"/>
        <v>-</v>
      </c>
      <c r="AP89" s="53" t="str">
        <f t="shared" si="18"/>
        <v>-</v>
      </c>
      <c r="AQ89" s="53" t="str">
        <f t="shared" si="19"/>
        <v>-</v>
      </c>
      <c r="AR89" s="53" t="str">
        <f t="shared" si="20"/>
        <v>-</v>
      </c>
      <c r="AS89" s="53" t="str">
        <f t="shared" si="21"/>
        <v>-</v>
      </c>
      <c r="AT89" s="54" t="str">
        <f>IF('CO-PO Mapping'!O$2, IF(OR($AN89="-",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Mapping'!O$6, IF(OR($AR89="-",SUM(IF('CO-PO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Mapping'!O$7, IF(OR($AS89="-",SUM(IF('CO-PO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9" s="54" t="str">
        <f>IF('CO-PO Mapping'!P$2, IF(OR($AN89="-",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Mapping'!P$6, IF(OR($AR89="-",SUM(IF('CO-PO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Mapping'!P$7, IF(OR($AS89="-",SUM(IF('CO-PO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9" s="54" t="str">
        <f>IF('CO-PO Mapping'!Q$2, IF(OR($AN89="-",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Mapping'!Q$6, IF(OR($AR89="-",SUM(IF('CO-PO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Mapping'!Q$7, IF(OR($AS89="-",SUM(IF('CO-PO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9" s="54" t="str">
        <f>IF('CO-PO Mapping'!R$2, IF(OR($AN89="-",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Mapping'!R$6, IF(OR($AR89="-",SUM(IF('CO-PO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Mapping'!R$7, IF(OR($AS89="-",SUM(IF('CO-PO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9" s="54" t="str">
        <f>IF('CO-PO Mapping'!S$2, IF(OR($AN89="-",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Mapping'!S$6, IF(OR($AR89="-",SUM(IF('CO-PO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Mapping'!S$7, IF(OR($AS89="-",SUM(IF('CO-PO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9" s="54" t="str">
        <f>IF('CO-PO Mapping'!T$2, IF(OR($AN89="-",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Mapping'!T$6, IF(OR($AR89="-",SUM(IF('CO-PO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Mapping'!T$7, IF(OR($AS89="-",SUM(IF('CO-PO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9" s="54" t="str">
        <f>IF('CO-PO Mapping'!U$2, IF(OR($AN89="-",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Mapping'!U$6, IF(OR($AR89="-",SUM(IF('CO-PO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Mapping'!U$7, IF(OR($AS89="-",SUM(IF('CO-PO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9" s="54" t="str">
        <f>IF('CO-PO Mapping'!V$2, IF(OR($AN89="-",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Mapping'!V$6, IF(OR($AR89="-",SUM(IF('CO-PO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Mapping'!V$7, IF(OR($AS89="-",SUM(IF('CO-PO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9" s="54" t="str">
        <f>IF('CO-PO Mapping'!W$2, IF(OR($AN89="-",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Mapping'!W$6, IF(OR($AR89="-",SUM(IF('CO-PO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Mapping'!W$7, IF(OR($AS89="-",SUM(IF('CO-PO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9" s="54" t="str">
        <f>IF('CO-PO Mapping'!X$2, IF(OR($AN89="-",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Mapping'!X$6, IF(OR($AR89="-",SUM(IF('CO-PO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Mapping'!X$7, IF(OR($AS89="-",SUM(IF('CO-PO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9" s="54" t="str">
        <f>IF('CO-PO Mapping'!Y$2, IF(OR($AN89="-",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Mapping'!Y$6, IF(OR($AR89="-",SUM(IF('CO-PO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Mapping'!Y$7, IF(OR($AS89="-",SUM(IF('CO-PO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9" s="54" t="str">
        <f>IF('CO-PO Mapping'!Z$2, IF(OR($AN89="-",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Mapping'!Z$6, IF(OR($AR89="-",SUM(IF('CO-PO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Mapping'!Z$7, IF(OR($AS89="-",SUM(IF('CO-PO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0" spans="1:57" ht="15" customHeight="1" x14ac:dyDescent="0.2">
      <c r="A90" s="71"/>
      <c r="B90" s="101"/>
      <c r="C90" s="72"/>
      <c r="D90" s="72"/>
      <c r="E90" s="59"/>
      <c r="F90" s="59"/>
      <c r="G90" s="59"/>
      <c r="H90" s="46" t="str">
        <f t="shared" si="29"/>
        <v>-</v>
      </c>
      <c r="I90" s="59"/>
      <c r="J90" s="59"/>
      <c r="K90" s="59"/>
      <c r="L90" s="59"/>
      <c r="M90" s="59"/>
      <c r="N90" s="59"/>
      <c r="O90" s="47" t="str">
        <f t="shared" si="30"/>
        <v>-</v>
      </c>
      <c r="P90" s="59"/>
      <c r="Q90" s="59"/>
      <c r="R90" s="59"/>
      <c r="S90" s="59"/>
      <c r="T90" s="59"/>
      <c r="U90" s="59"/>
      <c r="V90" s="48" t="str">
        <f t="shared" si="31"/>
        <v>-</v>
      </c>
      <c r="W90" s="49" t="str">
        <f t="shared" si="28"/>
        <v>-</v>
      </c>
      <c r="X90" s="50" t="str">
        <f t="shared" si="32"/>
        <v>-</v>
      </c>
      <c r="Y90" s="100"/>
      <c r="Z90" s="51" t="str">
        <f t="shared" si="26"/>
        <v/>
      </c>
      <c r="AA90" s="51" t="str">
        <f t="shared" si="27"/>
        <v/>
      </c>
      <c r="AB90" s="45">
        <f t="shared" si="11"/>
        <v>0</v>
      </c>
      <c r="AC90" s="45">
        <f t="shared" si="11"/>
        <v>0</v>
      </c>
      <c r="AD90" s="45">
        <f t="shared" si="11"/>
        <v>0</v>
      </c>
      <c r="AE90" s="45">
        <f t="shared" si="11"/>
        <v>0</v>
      </c>
      <c r="AF90" s="45">
        <f t="shared" ref="AF90:AF100" si="33">IF($W90="Absent",0,SUMIF($C$28:$U$28,SUBSTITUTE(SUBSTITUTE(AF$28,"[",""),"]",""),$C90:$U90))</f>
        <v>0</v>
      </c>
      <c r="AG90" s="45">
        <f t="shared" si="25"/>
        <v>0</v>
      </c>
      <c r="AH90" s="52">
        <f t="shared" si="12"/>
        <v>0</v>
      </c>
      <c r="AI90" s="52">
        <f t="shared" si="13"/>
        <v>0</v>
      </c>
      <c r="AJ90" s="52">
        <f t="shared" si="14"/>
        <v>0</v>
      </c>
      <c r="AK90" s="52">
        <f t="shared" si="22"/>
        <v>0</v>
      </c>
      <c r="AL90" s="52">
        <f t="shared" si="15"/>
        <v>0</v>
      </c>
      <c r="AM90" s="52">
        <f t="shared" si="16"/>
        <v>0</v>
      </c>
      <c r="AN90" s="53" t="str">
        <f t="shared" si="23"/>
        <v>-</v>
      </c>
      <c r="AO90" s="53" t="str">
        <f t="shared" si="17"/>
        <v>-</v>
      </c>
      <c r="AP90" s="53" t="str">
        <f t="shared" si="18"/>
        <v>-</v>
      </c>
      <c r="AQ90" s="53" t="str">
        <f t="shared" si="19"/>
        <v>-</v>
      </c>
      <c r="AR90" s="53" t="str">
        <f t="shared" si="20"/>
        <v>-</v>
      </c>
      <c r="AS90" s="53" t="str">
        <f t="shared" si="21"/>
        <v>-</v>
      </c>
      <c r="AT90" s="54" t="str">
        <f>IF('CO-PO Mapping'!O$2, IF(OR($AN90="-",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Mapping'!O$6, IF(OR($AR90="-",SUM(IF('CO-PO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Mapping'!O$7, IF(OR($AS90="-",SUM(IF('CO-PO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0" s="54" t="str">
        <f>IF('CO-PO Mapping'!P$2, IF(OR($AN90="-",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Mapping'!P$6, IF(OR($AR90="-",SUM(IF('CO-PO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Mapping'!P$7, IF(OR($AS90="-",SUM(IF('CO-PO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0" s="54" t="str">
        <f>IF('CO-PO Mapping'!Q$2, IF(OR($AN90="-",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Mapping'!Q$6, IF(OR($AR90="-",SUM(IF('CO-PO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Mapping'!Q$7, IF(OR($AS90="-",SUM(IF('CO-PO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0" s="54" t="str">
        <f>IF('CO-PO Mapping'!R$2, IF(OR($AN90="-",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Mapping'!R$6, IF(OR($AR90="-",SUM(IF('CO-PO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Mapping'!R$7, IF(OR($AS90="-",SUM(IF('CO-PO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0" s="54" t="str">
        <f>IF('CO-PO Mapping'!S$2, IF(OR($AN90="-",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Mapping'!S$6, IF(OR($AR90="-",SUM(IF('CO-PO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Mapping'!S$7, IF(OR($AS90="-",SUM(IF('CO-PO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0" s="54" t="str">
        <f>IF('CO-PO Mapping'!T$2, IF(OR($AN90="-",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Mapping'!T$6, IF(OR($AR90="-",SUM(IF('CO-PO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Mapping'!T$7, IF(OR($AS90="-",SUM(IF('CO-PO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0" s="54" t="str">
        <f>IF('CO-PO Mapping'!U$2, IF(OR($AN90="-",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Mapping'!U$6, IF(OR($AR90="-",SUM(IF('CO-PO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Mapping'!U$7, IF(OR($AS90="-",SUM(IF('CO-PO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0" s="54" t="str">
        <f>IF('CO-PO Mapping'!V$2, IF(OR($AN90="-",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Mapping'!V$6, IF(OR($AR90="-",SUM(IF('CO-PO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Mapping'!V$7, IF(OR($AS90="-",SUM(IF('CO-PO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0" s="54" t="str">
        <f>IF('CO-PO Mapping'!W$2, IF(OR($AN90="-",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Mapping'!W$6, IF(OR($AR90="-",SUM(IF('CO-PO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Mapping'!W$7, IF(OR($AS90="-",SUM(IF('CO-PO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0" s="54" t="str">
        <f>IF('CO-PO Mapping'!X$2, IF(OR($AN90="-",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Mapping'!X$6, IF(OR($AR90="-",SUM(IF('CO-PO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Mapping'!X$7, IF(OR($AS90="-",SUM(IF('CO-PO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0" s="54" t="str">
        <f>IF('CO-PO Mapping'!Y$2, IF(OR($AN90="-",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Mapping'!Y$6, IF(OR($AR90="-",SUM(IF('CO-PO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Mapping'!Y$7, IF(OR($AS90="-",SUM(IF('CO-PO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0" s="54" t="str">
        <f>IF('CO-PO Mapping'!Z$2, IF(OR($AN90="-",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Mapping'!Z$6, IF(OR($AR90="-",SUM(IF('CO-PO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Mapping'!Z$7, IF(OR($AS90="-",SUM(IF('CO-PO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1" spans="1:57" ht="15" customHeight="1" x14ac:dyDescent="0.2">
      <c r="A91" s="71"/>
      <c r="B91" s="101"/>
      <c r="C91" s="72"/>
      <c r="D91" s="72"/>
      <c r="E91" s="59"/>
      <c r="F91" s="59"/>
      <c r="G91" s="59"/>
      <c r="H91" s="46" t="str">
        <f t="shared" si="29"/>
        <v>-</v>
      </c>
      <c r="I91" s="59"/>
      <c r="J91" s="59"/>
      <c r="K91" s="59"/>
      <c r="L91" s="59"/>
      <c r="M91" s="59"/>
      <c r="N91" s="59"/>
      <c r="O91" s="47" t="str">
        <f t="shared" si="30"/>
        <v>-</v>
      </c>
      <c r="P91" s="59"/>
      <c r="Q91" s="59"/>
      <c r="R91" s="59"/>
      <c r="S91" s="59"/>
      <c r="T91" s="59"/>
      <c r="U91" s="59"/>
      <c r="V91" s="48" t="str">
        <f t="shared" si="31"/>
        <v>-</v>
      </c>
      <c r="W91" s="49" t="str">
        <f t="shared" si="28"/>
        <v>-</v>
      </c>
      <c r="X91" s="50" t="str">
        <f t="shared" si="32"/>
        <v>-</v>
      </c>
      <c r="Y91" s="100"/>
      <c r="Z91" s="51" t="str">
        <f t="shared" si="26"/>
        <v/>
      </c>
      <c r="AA91" s="51" t="str">
        <f t="shared" si="27"/>
        <v/>
      </c>
      <c r="AB91" s="45">
        <f t="shared" si="11"/>
        <v>0</v>
      </c>
      <c r="AC91" s="45">
        <f t="shared" si="11"/>
        <v>0</v>
      </c>
      <c r="AD91" s="45">
        <f t="shared" si="11"/>
        <v>0</v>
      </c>
      <c r="AE91" s="45">
        <f t="shared" si="11"/>
        <v>0</v>
      </c>
      <c r="AF91" s="45">
        <f t="shared" si="33"/>
        <v>0</v>
      </c>
      <c r="AG91" s="45">
        <f t="shared" si="25"/>
        <v>0</v>
      </c>
      <c r="AH91" s="52">
        <f t="shared" si="12"/>
        <v>0</v>
      </c>
      <c r="AI91" s="52">
        <f t="shared" si="13"/>
        <v>0</v>
      </c>
      <c r="AJ91" s="52">
        <f t="shared" si="14"/>
        <v>0</v>
      </c>
      <c r="AK91" s="52">
        <f t="shared" si="22"/>
        <v>0</v>
      </c>
      <c r="AL91" s="52">
        <f t="shared" si="15"/>
        <v>0</v>
      </c>
      <c r="AM91" s="52">
        <f t="shared" si="16"/>
        <v>0</v>
      </c>
      <c r="AN91" s="53" t="str">
        <f t="shared" si="23"/>
        <v>-</v>
      </c>
      <c r="AO91" s="53" t="str">
        <f t="shared" si="17"/>
        <v>-</v>
      </c>
      <c r="AP91" s="53" t="str">
        <f t="shared" si="18"/>
        <v>-</v>
      </c>
      <c r="AQ91" s="53" t="str">
        <f t="shared" si="19"/>
        <v>-</v>
      </c>
      <c r="AR91" s="53" t="str">
        <f t="shared" si="20"/>
        <v>-</v>
      </c>
      <c r="AS91" s="53" t="str">
        <f t="shared" si="21"/>
        <v>-</v>
      </c>
      <c r="AT91" s="54" t="str">
        <f>IF('CO-PO Mapping'!O$2, IF(OR($AN91="-",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Mapping'!O$6, IF(OR($AR91="-",SUM(IF('CO-PO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Mapping'!O$7, IF(OR($AS91="-",SUM(IF('CO-PO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1" s="54" t="str">
        <f>IF('CO-PO Mapping'!P$2, IF(OR($AN91="-",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Mapping'!P$6, IF(OR($AR91="-",SUM(IF('CO-PO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Mapping'!P$7, IF(OR($AS91="-",SUM(IF('CO-PO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1" s="54" t="str">
        <f>IF('CO-PO Mapping'!Q$2, IF(OR($AN91="-",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Mapping'!Q$6, IF(OR($AR91="-",SUM(IF('CO-PO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Mapping'!Q$7, IF(OR($AS91="-",SUM(IF('CO-PO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1" s="54" t="str">
        <f>IF('CO-PO Mapping'!R$2, IF(OR($AN91="-",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Mapping'!R$6, IF(OR($AR91="-",SUM(IF('CO-PO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Mapping'!R$7, IF(OR($AS91="-",SUM(IF('CO-PO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1" s="54" t="str">
        <f>IF('CO-PO Mapping'!S$2, IF(OR($AN91="-",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Mapping'!S$6, IF(OR($AR91="-",SUM(IF('CO-PO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Mapping'!S$7, IF(OR($AS91="-",SUM(IF('CO-PO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1" s="54" t="str">
        <f>IF('CO-PO Mapping'!T$2, IF(OR($AN91="-",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Mapping'!T$6, IF(OR($AR91="-",SUM(IF('CO-PO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Mapping'!T$7, IF(OR($AS91="-",SUM(IF('CO-PO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1" s="54" t="str">
        <f>IF('CO-PO Mapping'!U$2, IF(OR($AN91="-",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Mapping'!U$6, IF(OR($AR91="-",SUM(IF('CO-PO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Mapping'!U$7, IF(OR($AS91="-",SUM(IF('CO-PO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1" s="54" t="str">
        <f>IF('CO-PO Mapping'!V$2, IF(OR($AN91="-",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Mapping'!V$6, IF(OR($AR91="-",SUM(IF('CO-PO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Mapping'!V$7, IF(OR($AS91="-",SUM(IF('CO-PO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1" s="54" t="str">
        <f>IF('CO-PO Mapping'!W$2, IF(OR($AN91="-",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Mapping'!W$6, IF(OR($AR91="-",SUM(IF('CO-PO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Mapping'!W$7, IF(OR($AS91="-",SUM(IF('CO-PO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1" s="54" t="str">
        <f>IF('CO-PO Mapping'!X$2, IF(OR($AN91="-",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Mapping'!X$6, IF(OR($AR91="-",SUM(IF('CO-PO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Mapping'!X$7, IF(OR($AS91="-",SUM(IF('CO-PO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1" s="54" t="str">
        <f>IF('CO-PO Mapping'!Y$2, IF(OR($AN91="-",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Mapping'!Y$6, IF(OR($AR91="-",SUM(IF('CO-PO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Mapping'!Y$7, IF(OR($AS91="-",SUM(IF('CO-PO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1" s="54" t="str">
        <f>IF('CO-PO Mapping'!Z$2, IF(OR($AN91="-",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Mapping'!Z$6, IF(OR($AR91="-",SUM(IF('CO-PO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Mapping'!Z$7, IF(OR($AS91="-",SUM(IF('CO-PO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2" spans="1:57" ht="15" customHeight="1" x14ac:dyDescent="0.2">
      <c r="A92" s="71"/>
      <c r="B92" s="101"/>
      <c r="C92" s="72"/>
      <c r="D92" s="72"/>
      <c r="E92" s="59"/>
      <c r="F92" s="59"/>
      <c r="G92" s="59"/>
      <c r="H92" s="46" t="str">
        <f t="shared" si="29"/>
        <v>-</v>
      </c>
      <c r="I92" s="59"/>
      <c r="J92" s="59"/>
      <c r="K92" s="59"/>
      <c r="L92" s="59"/>
      <c r="M92" s="59"/>
      <c r="N92" s="59"/>
      <c r="O92" s="47" t="str">
        <f t="shared" si="30"/>
        <v>-</v>
      </c>
      <c r="P92" s="59"/>
      <c r="Q92" s="59"/>
      <c r="R92" s="59"/>
      <c r="S92" s="59"/>
      <c r="T92" s="59"/>
      <c r="U92" s="59"/>
      <c r="V92" s="48" t="str">
        <f t="shared" si="31"/>
        <v>-</v>
      </c>
      <c r="W92" s="49" t="str">
        <f t="shared" si="28"/>
        <v>-</v>
      </c>
      <c r="X92" s="50" t="str">
        <f t="shared" si="32"/>
        <v>-</v>
      </c>
      <c r="Y92" s="100"/>
      <c r="Z92" s="51" t="str">
        <f t="shared" si="26"/>
        <v/>
      </c>
      <c r="AA92" s="51" t="str">
        <f t="shared" si="27"/>
        <v/>
      </c>
      <c r="AB92" s="45">
        <f t="shared" si="11"/>
        <v>0</v>
      </c>
      <c r="AC92" s="45">
        <f t="shared" si="11"/>
        <v>0</v>
      </c>
      <c r="AD92" s="45">
        <f t="shared" si="11"/>
        <v>0</v>
      </c>
      <c r="AE92" s="45">
        <f t="shared" si="11"/>
        <v>0</v>
      </c>
      <c r="AF92" s="45">
        <f t="shared" si="33"/>
        <v>0</v>
      </c>
      <c r="AG92" s="45">
        <f t="shared" si="25"/>
        <v>0</v>
      </c>
      <c r="AH92" s="52">
        <f t="shared" si="12"/>
        <v>0</v>
      </c>
      <c r="AI92" s="52">
        <f t="shared" si="13"/>
        <v>0</v>
      </c>
      <c r="AJ92" s="52">
        <f t="shared" si="14"/>
        <v>0</v>
      </c>
      <c r="AK92" s="52">
        <f t="shared" si="22"/>
        <v>0</v>
      </c>
      <c r="AL92" s="52">
        <f t="shared" si="15"/>
        <v>0</v>
      </c>
      <c r="AM92" s="52">
        <f t="shared" si="16"/>
        <v>0</v>
      </c>
      <c r="AN92" s="53" t="str">
        <f t="shared" si="23"/>
        <v>-</v>
      </c>
      <c r="AO92" s="53" t="str">
        <f t="shared" si="17"/>
        <v>-</v>
      </c>
      <c r="AP92" s="53" t="str">
        <f t="shared" si="18"/>
        <v>-</v>
      </c>
      <c r="AQ92" s="53" t="str">
        <f t="shared" si="19"/>
        <v>-</v>
      </c>
      <c r="AR92" s="53" t="str">
        <f t="shared" si="20"/>
        <v>-</v>
      </c>
      <c r="AS92" s="53" t="str">
        <f t="shared" si="21"/>
        <v>-</v>
      </c>
      <c r="AT92" s="54" t="str">
        <f>IF('CO-PO Mapping'!O$2, IF(OR($AN92="-",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Mapping'!O$6, IF(OR($AR92="-",SUM(IF('CO-PO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Mapping'!O$7, IF(OR($AS92="-",SUM(IF('CO-PO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2" s="54" t="str">
        <f>IF('CO-PO Mapping'!P$2, IF(OR($AN92="-",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Mapping'!P$6, IF(OR($AR92="-",SUM(IF('CO-PO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Mapping'!P$7, IF(OR($AS92="-",SUM(IF('CO-PO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2" s="54" t="str">
        <f>IF('CO-PO Mapping'!Q$2, IF(OR($AN92="-",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Mapping'!Q$6, IF(OR($AR92="-",SUM(IF('CO-PO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Mapping'!Q$7, IF(OR($AS92="-",SUM(IF('CO-PO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2" s="54" t="str">
        <f>IF('CO-PO Mapping'!R$2, IF(OR($AN92="-",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Mapping'!R$6, IF(OR($AR92="-",SUM(IF('CO-PO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Mapping'!R$7, IF(OR($AS92="-",SUM(IF('CO-PO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2" s="54" t="str">
        <f>IF('CO-PO Mapping'!S$2, IF(OR($AN92="-",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Mapping'!S$6, IF(OR($AR92="-",SUM(IF('CO-PO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Mapping'!S$7, IF(OR($AS92="-",SUM(IF('CO-PO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2" s="54" t="str">
        <f>IF('CO-PO Mapping'!T$2, IF(OR($AN92="-",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Mapping'!T$6, IF(OR($AR92="-",SUM(IF('CO-PO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Mapping'!T$7, IF(OR($AS92="-",SUM(IF('CO-PO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2" s="54" t="str">
        <f>IF('CO-PO Mapping'!U$2, IF(OR($AN92="-",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Mapping'!U$6, IF(OR($AR92="-",SUM(IF('CO-PO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Mapping'!U$7, IF(OR($AS92="-",SUM(IF('CO-PO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2" s="54" t="str">
        <f>IF('CO-PO Mapping'!V$2, IF(OR($AN92="-",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Mapping'!V$6, IF(OR($AR92="-",SUM(IF('CO-PO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Mapping'!V$7, IF(OR($AS92="-",SUM(IF('CO-PO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2" s="54" t="str">
        <f>IF('CO-PO Mapping'!W$2, IF(OR($AN92="-",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Mapping'!W$6, IF(OR($AR92="-",SUM(IF('CO-PO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Mapping'!W$7, IF(OR($AS92="-",SUM(IF('CO-PO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2" s="54" t="str">
        <f>IF('CO-PO Mapping'!X$2, IF(OR($AN92="-",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Mapping'!X$6, IF(OR($AR92="-",SUM(IF('CO-PO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Mapping'!X$7, IF(OR($AS92="-",SUM(IF('CO-PO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2" s="54" t="str">
        <f>IF('CO-PO Mapping'!Y$2, IF(OR($AN92="-",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Mapping'!Y$6, IF(OR($AR92="-",SUM(IF('CO-PO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Mapping'!Y$7, IF(OR($AS92="-",SUM(IF('CO-PO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2" s="54" t="str">
        <f>IF('CO-PO Mapping'!Z$2, IF(OR($AN92="-",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Mapping'!Z$6, IF(OR($AR92="-",SUM(IF('CO-PO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Mapping'!Z$7, IF(OR($AS92="-",SUM(IF('CO-PO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3" spans="1:57" ht="15" customHeight="1" x14ac:dyDescent="0.2">
      <c r="A93" s="71"/>
      <c r="B93" s="101"/>
      <c r="C93" s="72"/>
      <c r="D93" s="72"/>
      <c r="E93" s="59"/>
      <c r="F93" s="59"/>
      <c r="G93" s="59"/>
      <c r="H93" s="46" t="str">
        <f t="shared" si="29"/>
        <v>-</v>
      </c>
      <c r="I93" s="59"/>
      <c r="J93" s="59"/>
      <c r="K93" s="59"/>
      <c r="L93" s="59"/>
      <c r="M93" s="59"/>
      <c r="N93" s="59"/>
      <c r="O93" s="47" t="str">
        <f t="shared" si="30"/>
        <v>-</v>
      </c>
      <c r="P93" s="59"/>
      <c r="Q93" s="59"/>
      <c r="R93" s="59"/>
      <c r="S93" s="59"/>
      <c r="T93" s="59"/>
      <c r="U93" s="59"/>
      <c r="V93" s="48" t="str">
        <f t="shared" si="31"/>
        <v>-</v>
      </c>
      <c r="W93" s="49" t="str">
        <f t="shared" si="28"/>
        <v>-</v>
      </c>
      <c r="X93" s="50" t="str">
        <f t="shared" si="32"/>
        <v>-</v>
      </c>
      <c r="Y93" s="100"/>
      <c r="Z93" s="51" t="str">
        <f t="shared" si="26"/>
        <v/>
      </c>
      <c r="AA93" s="51" t="str">
        <f t="shared" si="27"/>
        <v/>
      </c>
      <c r="AB93" s="45">
        <f t="shared" si="11"/>
        <v>0</v>
      </c>
      <c r="AC93" s="45">
        <f t="shared" si="11"/>
        <v>0</v>
      </c>
      <c r="AD93" s="45">
        <f t="shared" si="11"/>
        <v>0</v>
      </c>
      <c r="AE93" s="45">
        <f t="shared" si="11"/>
        <v>0</v>
      </c>
      <c r="AF93" s="45">
        <f t="shared" si="33"/>
        <v>0</v>
      </c>
      <c r="AG93" s="45">
        <f t="shared" si="25"/>
        <v>0</v>
      </c>
      <c r="AH93" s="52">
        <f t="shared" si="12"/>
        <v>0</v>
      </c>
      <c r="AI93" s="52">
        <f t="shared" si="13"/>
        <v>0</v>
      </c>
      <c r="AJ93" s="52">
        <f t="shared" si="14"/>
        <v>0</v>
      </c>
      <c r="AK93" s="52">
        <f t="shared" si="22"/>
        <v>0</v>
      </c>
      <c r="AL93" s="52">
        <f t="shared" si="15"/>
        <v>0</v>
      </c>
      <c r="AM93" s="52">
        <f t="shared" si="16"/>
        <v>0</v>
      </c>
      <c r="AN93" s="53" t="str">
        <f t="shared" si="23"/>
        <v>-</v>
      </c>
      <c r="AO93" s="53" t="str">
        <f t="shared" si="17"/>
        <v>-</v>
      </c>
      <c r="AP93" s="53" t="str">
        <f t="shared" si="18"/>
        <v>-</v>
      </c>
      <c r="AQ93" s="53" t="str">
        <f t="shared" si="19"/>
        <v>-</v>
      </c>
      <c r="AR93" s="53" t="str">
        <f t="shared" si="20"/>
        <v>-</v>
      </c>
      <c r="AS93" s="53" t="str">
        <f t="shared" si="21"/>
        <v>-</v>
      </c>
      <c r="AT93" s="54" t="str">
        <f>IF('CO-PO Mapping'!O$2, IF(OR($AN93="-",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Mapping'!O$6, IF(OR($AR93="-",SUM(IF('CO-PO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Mapping'!O$7, IF(OR($AS93="-",SUM(IF('CO-PO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3" s="54" t="str">
        <f>IF('CO-PO Mapping'!P$2, IF(OR($AN93="-",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Mapping'!P$6, IF(OR($AR93="-",SUM(IF('CO-PO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Mapping'!P$7, IF(OR($AS93="-",SUM(IF('CO-PO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3" s="54" t="str">
        <f>IF('CO-PO Mapping'!Q$2, IF(OR($AN93="-",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Mapping'!Q$6, IF(OR($AR93="-",SUM(IF('CO-PO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Mapping'!Q$7, IF(OR($AS93="-",SUM(IF('CO-PO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3" s="54" t="str">
        <f>IF('CO-PO Mapping'!R$2, IF(OR($AN93="-",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Mapping'!R$6, IF(OR($AR93="-",SUM(IF('CO-PO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Mapping'!R$7, IF(OR($AS93="-",SUM(IF('CO-PO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3" s="54" t="str">
        <f>IF('CO-PO Mapping'!S$2, IF(OR($AN93="-",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Mapping'!S$6, IF(OR($AR93="-",SUM(IF('CO-PO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Mapping'!S$7, IF(OR($AS93="-",SUM(IF('CO-PO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3" s="54" t="str">
        <f>IF('CO-PO Mapping'!T$2, IF(OR($AN93="-",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Mapping'!T$6, IF(OR($AR93="-",SUM(IF('CO-PO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Mapping'!T$7, IF(OR($AS93="-",SUM(IF('CO-PO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3" s="54" t="str">
        <f>IF('CO-PO Mapping'!U$2, IF(OR($AN93="-",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Mapping'!U$6, IF(OR($AR93="-",SUM(IF('CO-PO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Mapping'!U$7, IF(OR($AS93="-",SUM(IF('CO-PO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3" s="54" t="str">
        <f>IF('CO-PO Mapping'!V$2, IF(OR($AN93="-",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Mapping'!V$6, IF(OR($AR93="-",SUM(IF('CO-PO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Mapping'!V$7, IF(OR($AS93="-",SUM(IF('CO-PO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3" s="54" t="str">
        <f>IF('CO-PO Mapping'!W$2, IF(OR($AN93="-",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Mapping'!W$6, IF(OR($AR93="-",SUM(IF('CO-PO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Mapping'!W$7, IF(OR($AS93="-",SUM(IF('CO-PO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3" s="54" t="str">
        <f>IF('CO-PO Mapping'!X$2, IF(OR($AN93="-",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Mapping'!X$6, IF(OR($AR93="-",SUM(IF('CO-PO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Mapping'!X$7, IF(OR($AS93="-",SUM(IF('CO-PO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3" s="54" t="str">
        <f>IF('CO-PO Mapping'!Y$2, IF(OR($AN93="-",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Mapping'!Y$6, IF(OR($AR93="-",SUM(IF('CO-PO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Mapping'!Y$7, IF(OR($AS93="-",SUM(IF('CO-PO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3" s="54" t="str">
        <f>IF('CO-PO Mapping'!Z$2, IF(OR($AN93="-",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Mapping'!Z$6, IF(OR($AR93="-",SUM(IF('CO-PO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Mapping'!Z$7, IF(OR($AS93="-",SUM(IF('CO-PO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4" spans="1:57" ht="15" customHeight="1" x14ac:dyDescent="0.2">
      <c r="A94" s="71"/>
      <c r="B94" s="71"/>
      <c r="C94" s="72"/>
      <c r="D94" s="72"/>
      <c r="E94" s="59"/>
      <c r="F94" s="59"/>
      <c r="G94" s="59"/>
      <c r="H94" s="46" t="str">
        <f t="shared" si="29"/>
        <v>-</v>
      </c>
      <c r="I94" s="59"/>
      <c r="J94" s="59"/>
      <c r="K94" s="59"/>
      <c r="L94" s="59"/>
      <c r="M94" s="59"/>
      <c r="N94" s="59"/>
      <c r="O94" s="47" t="str">
        <f t="shared" si="30"/>
        <v>-</v>
      </c>
      <c r="P94" s="59"/>
      <c r="Q94" s="59"/>
      <c r="R94" s="59"/>
      <c r="S94" s="59"/>
      <c r="T94" s="59"/>
      <c r="U94" s="59"/>
      <c r="V94" s="48" t="str">
        <f t="shared" si="31"/>
        <v>-</v>
      </c>
      <c r="W94" s="49" t="str">
        <f t="shared" si="28"/>
        <v>-</v>
      </c>
      <c r="X94" s="50" t="str">
        <f t="shared" si="32"/>
        <v>-</v>
      </c>
      <c r="Y94" s="100"/>
      <c r="Z94" s="51" t="str">
        <f t="shared" ref="Z94:Z100" si="34">IF(A94="","",A94)</f>
        <v/>
      </c>
      <c r="AA94" s="51" t="str">
        <f t="shared" ref="AA94:AA100" si="35">IF(B94="","",B94)</f>
        <v/>
      </c>
      <c r="AB94" s="45">
        <f t="shared" si="11"/>
        <v>0</v>
      </c>
      <c r="AC94" s="45">
        <f t="shared" si="11"/>
        <v>0</v>
      </c>
      <c r="AD94" s="45">
        <f t="shared" si="11"/>
        <v>0</v>
      </c>
      <c r="AE94" s="45">
        <f t="shared" si="11"/>
        <v>0</v>
      </c>
      <c r="AF94" s="45">
        <f t="shared" si="33"/>
        <v>0</v>
      </c>
      <c r="AG94" s="45">
        <f t="shared" si="25"/>
        <v>0</v>
      </c>
      <c r="AH94" s="52">
        <f t="shared" si="12"/>
        <v>0</v>
      </c>
      <c r="AI94" s="52">
        <f t="shared" si="13"/>
        <v>0</v>
      </c>
      <c r="AJ94" s="52">
        <f t="shared" si="14"/>
        <v>0</v>
      </c>
      <c r="AK94" s="52">
        <f t="shared" si="22"/>
        <v>0</v>
      </c>
      <c r="AL94" s="52">
        <f t="shared" si="15"/>
        <v>0</v>
      </c>
      <c r="AM94" s="52">
        <f t="shared" si="16"/>
        <v>0</v>
      </c>
      <c r="AN94" s="53" t="str">
        <f t="shared" si="23"/>
        <v>-</v>
      </c>
      <c r="AO94" s="53" t="str">
        <f t="shared" si="17"/>
        <v>-</v>
      </c>
      <c r="AP94" s="53" t="str">
        <f t="shared" si="18"/>
        <v>-</v>
      </c>
      <c r="AQ94" s="53" t="str">
        <f t="shared" si="19"/>
        <v>-</v>
      </c>
      <c r="AR94" s="53" t="str">
        <f t="shared" si="20"/>
        <v>-</v>
      </c>
      <c r="AS94" s="53" t="str">
        <f t="shared" si="21"/>
        <v>-</v>
      </c>
      <c r="AT94" s="54" t="str">
        <f>IF('CO-PO Mapping'!O$2, IF(OR($AN94="-",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Mapping'!O$6, IF(OR($AR94="-",SUM(IF('CO-PO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Mapping'!O$7, IF(OR($AS94="-",SUM(IF('CO-PO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4" s="54" t="str">
        <f>IF('CO-PO Mapping'!P$2, IF(OR($AN94="-",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Mapping'!P$6, IF(OR($AR94="-",SUM(IF('CO-PO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Mapping'!P$7, IF(OR($AS94="-",SUM(IF('CO-PO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4" s="54" t="str">
        <f>IF('CO-PO Mapping'!Q$2, IF(OR($AN94="-",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Mapping'!Q$6, IF(OR($AR94="-",SUM(IF('CO-PO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Mapping'!Q$7, IF(OR($AS94="-",SUM(IF('CO-PO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4" s="54" t="str">
        <f>IF('CO-PO Mapping'!R$2, IF(OR($AN94="-",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Mapping'!R$6, IF(OR($AR94="-",SUM(IF('CO-PO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Mapping'!R$7, IF(OR($AS94="-",SUM(IF('CO-PO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4" s="54" t="str">
        <f>IF('CO-PO Mapping'!S$2, IF(OR($AN94="-",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Mapping'!S$6, IF(OR($AR94="-",SUM(IF('CO-PO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Mapping'!S$7, IF(OR($AS94="-",SUM(IF('CO-PO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4" s="54" t="str">
        <f>IF('CO-PO Mapping'!T$2, IF(OR($AN94="-",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Mapping'!T$6, IF(OR($AR94="-",SUM(IF('CO-PO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Mapping'!T$7, IF(OR($AS94="-",SUM(IF('CO-PO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4" s="54" t="str">
        <f>IF('CO-PO Mapping'!U$2, IF(OR($AN94="-",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Mapping'!U$6, IF(OR($AR94="-",SUM(IF('CO-PO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Mapping'!U$7, IF(OR($AS94="-",SUM(IF('CO-PO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4" s="54" t="str">
        <f>IF('CO-PO Mapping'!V$2, IF(OR($AN94="-",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Mapping'!V$6, IF(OR($AR94="-",SUM(IF('CO-PO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Mapping'!V$7, IF(OR($AS94="-",SUM(IF('CO-PO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4" s="54" t="str">
        <f>IF('CO-PO Mapping'!W$2, IF(OR($AN94="-",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Mapping'!W$6, IF(OR($AR94="-",SUM(IF('CO-PO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Mapping'!W$7, IF(OR($AS94="-",SUM(IF('CO-PO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4" s="54" t="str">
        <f>IF('CO-PO Mapping'!X$2, IF(OR($AN94="-",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Mapping'!X$6, IF(OR($AR94="-",SUM(IF('CO-PO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Mapping'!X$7, IF(OR($AS94="-",SUM(IF('CO-PO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4" s="54" t="str">
        <f>IF('CO-PO Mapping'!Y$2, IF(OR($AN94="-",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Mapping'!Y$6, IF(OR($AR94="-",SUM(IF('CO-PO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Mapping'!Y$7, IF(OR($AS94="-",SUM(IF('CO-PO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4" s="54" t="str">
        <f>IF('CO-PO Mapping'!Z$2, IF(OR($AN94="-",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Mapping'!Z$6, IF(OR($AR94="-",SUM(IF('CO-PO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Mapping'!Z$7, IF(OR($AS94="-",SUM(IF('CO-PO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5" spans="1:57" ht="15" customHeight="1" x14ac:dyDescent="0.2">
      <c r="A95" s="71"/>
      <c r="B95" s="71"/>
      <c r="C95" s="72"/>
      <c r="D95" s="72"/>
      <c r="E95" s="59"/>
      <c r="F95" s="59"/>
      <c r="G95" s="59"/>
      <c r="H95" s="46" t="str">
        <f t="shared" si="29"/>
        <v>-</v>
      </c>
      <c r="I95" s="59"/>
      <c r="J95" s="59"/>
      <c r="K95" s="59"/>
      <c r="L95" s="59"/>
      <c r="M95" s="59"/>
      <c r="N95" s="59"/>
      <c r="O95" s="47" t="str">
        <f t="shared" si="30"/>
        <v>-</v>
      </c>
      <c r="P95" s="59"/>
      <c r="Q95" s="59"/>
      <c r="R95" s="59"/>
      <c r="S95" s="59"/>
      <c r="T95" s="59"/>
      <c r="U95" s="59"/>
      <c r="V95" s="48" t="str">
        <f t="shared" si="31"/>
        <v>-</v>
      </c>
      <c r="W95" s="49" t="str">
        <f t="shared" si="28"/>
        <v>-</v>
      </c>
      <c r="X95" s="50" t="str">
        <f t="shared" si="32"/>
        <v>-</v>
      </c>
      <c r="Y95" s="100"/>
      <c r="Z95" s="51" t="str">
        <f t="shared" si="34"/>
        <v/>
      </c>
      <c r="AA95" s="51" t="str">
        <f t="shared" si="35"/>
        <v/>
      </c>
      <c r="AB95" s="45">
        <f t="shared" ref="AB95:AE100" si="36">IF($W95="Absent",0,SUMIF($C$28:$U$28,SUBSTITUTE(SUBSTITUTE(AB$28,"[",""),"]",""),$C95:$U95))</f>
        <v>0</v>
      </c>
      <c r="AC95" s="45">
        <f t="shared" si="36"/>
        <v>0</v>
      </c>
      <c r="AD95" s="45">
        <f t="shared" si="36"/>
        <v>0</v>
      </c>
      <c r="AE95" s="45">
        <f t="shared" si="36"/>
        <v>0</v>
      </c>
      <c r="AF95" s="45">
        <f t="shared" si="33"/>
        <v>0</v>
      </c>
      <c r="AG95" s="45">
        <f t="shared" si="25"/>
        <v>0</v>
      </c>
      <c r="AH95" s="52">
        <f t="shared" si="12"/>
        <v>0</v>
      </c>
      <c r="AI95" s="52">
        <f t="shared" si="13"/>
        <v>0</v>
      </c>
      <c r="AJ95" s="52">
        <f t="shared" si="14"/>
        <v>0</v>
      </c>
      <c r="AK95" s="52">
        <f t="shared" si="22"/>
        <v>0</v>
      </c>
      <c r="AL95" s="52">
        <f t="shared" ref="AL95:AL100" si="37">IF($AF$29=0,0,AF95*100/$AF$29)</f>
        <v>0</v>
      </c>
      <c r="AM95" s="52">
        <f t="shared" ref="AM95:AM100" si="38">IF($AG$29=0,0,AG95*100/$AG$29)</f>
        <v>0</v>
      </c>
      <c r="AN95" s="53" t="str">
        <f t="shared" si="23"/>
        <v>-</v>
      </c>
      <c r="AO95" s="53" t="str">
        <f t="shared" si="17"/>
        <v>-</v>
      </c>
      <c r="AP95" s="53" t="str">
        <f t="shared" si="18"/>
        <v>-</v>
      </c>
      <c r="AQ95" s="53" t="str">
        <f t="shared" si="19"/>
        <v>-</v>
      </c>
      <c r="AR95" s="53" t="str">
        <f t="shared" si="19"/>
        <v>-</v>
      </c>
      <c r="AS95" s="53" t="str">
        <f t="shared" si="19"/>
        <v>-</v>
      </c>
      <c r="AT95" s="54" t="str">
        <f>IF('CO-PO Mapping'!O$2, IF(OR($AN95="-",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Mapping'!O$6, IF(OR($AR95="-",SUM(IF('CO-PO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Mapping'!O$7, IF(OR($AS95="-",SUM(IF('CO-PO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5" s="54" t="str">
        <f>IF('CO-PO Mapping'!P$2, IF(OR($AN95="-",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Mapping'!P$6, IF(OR($AR95="-",SUM(IF('CO-PO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Mapping'!P$7, IF(OR($AS95="-",SUM(IF('CO-PO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5" s="54" t="str">
        <f>IF('CO-PO Mapping'!Q$2, IF(OR($AN95="-",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Mapping'!Q$6, IF(OR($AR95="-",SUM(IF('CO-PO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Mapping'!Q$7, IF(OR($AS95="-",SUM(IF('CO-PO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5" s="54" t="str">
        <f>IF('CO-PO Mapping'!R$2, IF(OR($AN95="-",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Mapping'!R$6, IF(OR($AR95="-",SUM(IF('CO-PO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Mapping'!R$7, IF(OR($AS95="-",SUM(IF('CO-PO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5" s="54" t="str">
        <f>IF('CO-PO Mapping'!S$2, IF(OR($AN95="-",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Mapping'!S$6, IF(OR($AR95="-",SUM(IF('CO-PO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Mapping'!S$7, IF(OR($AS95="-",SUM(IF('CO-PO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5" s="54" t="str">
        <f>IF('CO-PO Mapping'!T$2, IF(OR($AN95="-",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Mapping'!T$6, IF(OR($AR95="-",SUM(IF('CO-PO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Mapping'!T$7, IF(OR($AS95="-",SUM(IF('CO-PO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5" s="54" t="str">
        <f>IF('CO-PO Mapping'!U$2, IF(OR($AN95="-",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Mapping'!U$6, IF(OR($AR95="-",SUM(IF('CO-PO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Mapping'!U$7, IF(OR($AS95="-",SUM(IF('CO-PO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5" s="54" t="str">
        <f>IF('CO-PO Mapping'!V$2, IF(OR($AN95="-",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Mapping'!V$6, IF(OR($AR95="-",SUM(IF('CO-PO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Mapping'!V$7, IF(OR($AS95="-",SUM(IF('CO-PO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5" s="54" t="str">
        <f>IF('CO-PO Mapping'!W$2, IF(OR($AN95="-",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Mapping'!W$6, IF(OR($AR95="-",SUM(IF('CO-PO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Mapping'!W$7, IF(OR($AS95="-",SUM(IF('CO-PO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5" s="54" t="str">
        <f>IF('CO-PO Mapping'!X$2, IF(OR($AN95="-",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Mapping'!X$6, IF(OR($AR95="-",SUM(IF('CO-PO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Mapping'!X$7, IF(OR($AS95="-",SUM(IF('CO-PO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5" s="54" t="str">
        <f>IF('CO-PO Mapping'!Y$2, IF(OR($AN95="-",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Mapping'!Y$6, IF(OR($AR95="-",SUM(IF('CO-PO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Mapping'!Y$7, IF(OR($AS95="-",SUM(IF('CO-PO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5" s="54" t="str">
        <f>IF('CO-PO Mapping'!Z$2, IF(OR($AN95="-",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Mapping'!Z$6, IF(OR($AR95="-",SUM(IF('CO-PO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Mapping'!Z$7, IF(OR($AS95="-",SUM(IF('CO-PO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6" spans="1:57" ht="15" customHeight="1" x14ac:dyDescent="0.2">
      <c r="A96" s="71"/>
      <c r="B96" s="71"/>
      <c r="C96" s="72"/>
      <c r="D96" s="72"/>
      <c r="E96" s="59"/>
      <c r="F96" s="59"/>
      <c r="G96" s="59"/>
      <c r="H96" s="46" t="str">
        <f t="shared" si="29"/>
        <v>-</v>
      </c>
      <c r="I96" s="59"/>
      <c r="J96" s="59"/>
      <c r="K96" s="59"/>
      <c r="L96" s="59"/>
      <c r="M96" s="59"/>
      <c r="N96" s="59"/>
      <c r="O96" s="47" t="str">
        <f t="shared" si="30"/>
        <v>-</v>
      </c>
      <c r="P96" s="59"/>
      <c r="Q96" s="59"/>
      <c r="R96" s="59"/>
      <c r="S96" s="59"/>
      <c r="T96" s="59"/>
      <c r="U96" s="59"/>
      <c r="V96" s="48" t="str">
        <f t="shared" si="31"/>
        <v>-</v>
      </c>
      <c r="W96" s="49" t="str">
        <f t="shared" si="28"/>
        <v>-</v>
      </c>
      <c r="X96" s="50" t="str">
        <f t="shared" si="32"/>
        <v>-</v>
      </c>
      <c r="Y96" s="100"/>
      <c r="Z96" s="51" t="str">
        <f t="shared" si="34"/>
        <v/>
      </c>
      <c r="AA96" s="51" t="str">
        <f t="shared" si="35"/>
        <v/>
      </c>
      <c r="AB96" s="45">
        <f t="shared" si="36"/>
        <v>0</v>
      </c>
      <c r="AC96" s="45">
        <f t="shared" si="36"/>
        <v>0</v>
      </c>
      <c r="AD96" s="45">
        <f t="shared" si="36"/>
        <v>0</v>
      </c>
      <c r="AE96" s="45">
        <f t="shared" si="36"/>
        <v>0</v>
      </c>
      <c r="AF96" s="45">
        <f t="shared" si="33"/>
        <v>0</v>
      </c>
      <c r="AG96" s="45">
        <f t="shared" si="25"/>
        <v>0</v>
      </c>
      <c r="AH96" s="52">
        <f t="shared" si="12"/>
        <v>0</v>
      </c>
      <c r="AI96" s="52">
        <f t="shared" si="13"/>
        <v>0</v>
      </c>
      <c r="AJ96" s="52">
        <f t="shared" si="14"/>
        <v>0</v>
      </c>
      <c r="AK96" s="52">
        <f t="shared" si="22"/>
        <v>0</v>
      </c>
      <c r="AL96" s="52">
        <f t="shared" si="37"/>
        <v>0</v>
      </c>
      <c r="AM96" s="52">
        <f t="shared" si="38"/>
        <v>0</v>
      </c>
      <c r="AN96" s="53" t="str">
        <f t="shared" si="23"/>
        <v>-</v>
      </c>
      <c r="AO96" s="53" t="str">
        <f t="shared" si="17"/>
        <v>-</v>
      </c>
      <c r="AP96" s="53" t="str">
        <f t="shared" si="18"/>
        <v>-</v>
      </c>
      <c r="AQ96" s="53" t="str">
        <f t="shared" si="19"/>
        <v>-</v>
      </c>
      <c r="AR96" s="53" t="str">
        <f t="shared" si="19"/>
        <v>-</v>
      </c>
      <c r="AS96" s="53" t="str">
        <f t="shared" si="19"/>
        <v>-</v>
      </c>
      <c r="AT96" s="54" t="str">
        <f>IF('CO-PO Mapping'!O$2, IF(OR($AN96="-",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Mapping'!O$6, IF(OR($AR96="-",SUM(IF('CO-PO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Mapping'!O$7, IF(OR($AS96="-",SUM(IF('CO-PO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6" s="54" t="str">
        <f>IF('CO-PO Mapping'!P$2, IF(OR($AN96="-",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Mapping'!P$6, IF(OR($AR96="-",SUM(IF('CO-PO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Mapping'!P$7, IF(OR($AS96="-",SUM(IF('CO-PO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6" s="54" t="str">
        <f>IF('CO-PO Mapping'!Q$2, IF(OR($AN96="-",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Mapping'!Q$6, IF(OR($AR96="-",SUM(IF('CO-PO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Mapping'!Q$7, IF(OR($AS96="-",SUM(IF('CO-PO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6" s="54" t="str">
        <f>IF('CO-PO Mapping'!R$2, IF(OR($AN96="-",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Mapping'!R$6, IF(OR($AR96="-",SUM(IF('CO-PO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Mapping'!R$7, IF(OR($AS96="-",SUM(IF('CO-PO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6" s="54" t="str">
        <f>IF('CO-PO Mapping'!S$2, IF(OR($AN96="-",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Mapping'!S$6, IF(OR($AR96="-",SUM(IF('CO-PO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Mapping'!S$7, IF(OR($AS96="-",SUM(IF('CO-PO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6" s="54" t="str">
        <f>IF('CO-PO Mapping'!T$2, IF(OR($AN96="-",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Mapping'!T$6, IF(OR($AR96="-",SUM(IF('CO-PO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Mapping'!T$7, IF(OR($AS96="-",SUM(IF('CO-PO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6" s="54" t="str">
        <f>IF('CO-PO Mapping'!U$2, IF(OR($AN96="-",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Mapping'!U$6, IF(OR($AR96="-",SUM(IF('CO-PO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Mapping'!U$7, IF(OR($AS96="-",SUM(IF('CO-PO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6" s="54" t="str">
        <f>IF('CO-PO Mapping'!V$2, IF(OR($AN96="-",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Mapping'!V$6, IF(OR($AR96="-",SUM(IF('CO-PO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Mapping'!V$7, IF(OR($AS96="-",SUM(IF('CO-PO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6" s="54" t="str">
        <f>IF('CO-PO Mapping'!W$2, IF(OR($AN96="-",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Mapping'!W$6, IF(OR($AR96="-",SUM(IF('CO-PO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Mapping'!W$7, IF(OR($AS96="-",SUM(IF('CO-PO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6" s="54" t="str">
        <f>IF('CO-PO Mapping'!X$2, IF(OR($AN96="-",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Mapping'!X$6, IF(OR($AR96="-",SUM(IF('CO-PO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Mapping'!X$7, IF(OR($AS96="-",SUM(IF('CO-PO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6" s="54" t="str">
        <f>IF('CO-PO Mapping'!Y$2, IF(OR($AN96="-",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Mapping'!Y$6, IF(OR($AR96="-",SUM(IF('CO-PO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Mapping'!Y$7, IF(OR($AS96="-",SUM(IF('CO-PO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6" s="54" t="str">
        <f>IF('CO-PO Mapping'!Z$2, IF(OR($AN96="-",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Mapping'!Z$6, IF(OR($AR96="-",SUM(IF('CO-PO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Mapping'!Z$7, IF(OR($AS96="-",SUM(IF('CO-PO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7" spans="1:57" ht="15" customHeight="1" x14ac:dyDescent="0.2">
      <c r="A97" s="29"/>
      <c r="B97" s="71"/>
      <c r="C97" s="72"/>
      <c r="D97" s="72"/>
      <c r="E97" s="59"/>
      <c r="F97" s="59"/>
      <c r="G97" s="59"/>
      <c r="H97" s="46" t="str">
        <f t="shared" si="29"/>
        <v>-</v>
      </c>
      <c r="I97" s="59"/>
      <c r="J97" s="59"/>
      <c r="K97" s="59"/>
      <c r="L97" s="59"/>
      <c r="M97" s="59"/>
      <c r="N97" s="59"/>
      <c r="O97" s="47" t="str">
        <f t="shared" si="30"/>
        <v>-</v>
      </c>
      <c r="P97" s="59"/>
      <c r="Q97" s="59"/>
      <c r="R97" s="59"/>
      <c r="S97" s="59"/>
      <c r="T97" s="59"/>
      <c r="U97" s="59"/>
      <c r="V97" s="48" t="str">
        <f t="shared" si="31"/>
        <v>-</v>
      </c>
      <c r="W97" s="49" t="str">
        <f t="shared" si="28"/>
        <v>-</v>
      </c>
      <c r="X97" s="50" t="str">
        <f t="shared" si="32"/>
        <v>-</v>
      </c>
      <c r="Y97" s="100"/>
      <c r="Z97" s="51" t="str">
        <f t="shared" si="34"/>
        <v/>
      </c>
      <c r="AA97" s="51" t="str">
        <f t="shared" si="35"/>
        <v/>
      </c>
      <c r="AB97" s="45">
        <f t="shared" si="36"/>
        <v>0</v>
      </c>
      <c r="AC97" s="45">
        <f t="shared" si="36"/>
        <v>0</v>
      </c>
      <c r="AD97" s="45">
        <f t="shared" si="36"/>
        <v>0</v>
      </c>
      <c r="AE97" s="45">
        <f t="shared" si="36"/>
        <v>0</v>
      </c>
      <c r="AF97" s="45">
        <f t="shared" si="33"/>
        <v>0</v>
      </c>
      <c r="AG97" s="45">
        <f t="shared" si="25"/>
        <v>0</v>
      </c>
      <c r="AH97" s="52">
        <f t="shared" si="12"/>
        <v>0</v>
      </c>
      <c r="AI97" s="52">
        <f t="shared" si="13"/>
        <v>0</v>
      </c>
      <c r="AJ97" s="52">
        <f t="shared" si="14"/>
        <v>0</v>
      </c>
      <c r="AK97" s="52">
        <f t="shared" si="22"/>
        <v>0</v>
      </c>
      <c r="AL97" s="52">
        <f t="shared" si="37"/>
        <v>0</v>
      </c>
      <c r="AM97" s="52">
        <f>IF($AG$29=0,0,AG97*100/$AG$29)</f>
        <v>0</v>
      </c>
      <c r="AN97" s="53" t="str">
        <f t="shared" si="23"/>
        <v>-</v>
      </c>
      <c r="AO97" s="53" t="str">
        <f t="shared" si="17"/>
        <v>-</v>
      </c>
      <c r="AP97" s="53" t="str">
        <f t="shared" si="18"/>
        <v>-</v>
      </c>
      <c r="AQ97" s="53" t="str">
        <f t="shared" si="19"/>
        <v>-</v>
      </c>
      <c r="AR97" s="53" t="str">
        <f t="shared" si="19"/>
        <v>-</v>
      </c>
      <c r="AS97" s="53" t="str">
        <f t="shared" si="19"/>
        <v>-</v>
      </c>
      <c r="AT97" s="54" t="str">
        <f>IF('CO-PO Mapping'!O$2, IF(OR($AN97="-",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Mapping'!O$6, IF(OR($AR97="-",SUM(IF('CO-PO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Mapping'!O$7, IF(OR($AS97="-",SUM(IF('CO-PO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7" s="54" t="str">
        <f>IF('CO-PO Mapping'!P$2, IF(OR($AN97="-",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Mapping'!P$6, IF(OR($AR97="-",SUM(IF('CO-PO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Mapping'!P$7, IF(OR($AS97="-",SUM(IF('CO-PO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7" s="54" t="str">
        <f>IF('CO-PO Mapping'!Q$2, IF(OR($AN97="-",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Mapping'!Q$6, IF(OR($AR97="-",SUM(IF('CO-PO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Mapping'!Q$7, IF(OR($AS97="-",SUM(IF('CO-PO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7" s="54" t="str">
        <f>IF('CO-PO Mapping'!R$2, IF(OR($AN97="-",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Mapping'!R$6, IF(OR($AR97="-",SUM(IF('CO-PO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Mapping'!R$7, IF(OR($AS97="-",SUM(IF('CO-PO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7" s="54" t="str">
        <f>IF('CO-PO Mapping'!S$2, IF(OR($AN97="-",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Mapping'!S$6, IF(OR($AR97="-",SUM(IF('CO-PO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Mapping'!S$7, IF(OR($AS97="-",SUM(IF('CO-PO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7" s="54" t="str">
        <f>IF('CO-PO Mapping'!T$2, IF(OR($AN97="-",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Mapping'!T$6, IF(OR($AR97="-",SUM(IF('CO-PO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Mapping'!T$7, IF(OR($AS97="-",SUM(IF('CO-PO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7" s="54" t="str">
        <f>IF('CO-PO Mapping'!U$2, IF(OR($AN97="-",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Mapping'!U$6, IF(OR($AR97="-",SUM(IF('CO-PO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Mapping'!U$7, IF(OR($AS97="-",SUM(IF('CO-PO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7" s="54" t="str">
        <f>IF('CO-PO Mapping'!V$2, IF(OR($AN97="-",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Mapping'!V$6, IF(OR($AR97="-",SUM(IF('CO-PO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Mapping'!V$7, IF(OR($AS97="-",SUM(IF('CO-PO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7" s="54" t="str">
        <f>IF('CO-PO Mapping'!W$2, IF(OR($AN97="-",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Mapping'!W$6, IF(OR($AR97="-",SUM(IF('CO-PO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Mapping'!W$7, IF(OR($AS97="-",SUM(IF('CO-PO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7" s="54" t="str">
        <f>IF('CO-PO Mapping'!X$2, IF(OR($AN97="-",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Mapping'!X$6, IF(OR($AR97="-",SUM(IF('CO-PO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Mapping'!X$7, IF(OR($AS97="-",SUM(IF('CO-PO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7" s="54" t="str">
        <f>IF('CO-PO Mapping'!Y$2, IF(OR($AN97="-",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Mapping'!Y$6, IF(OR($AR97="-",SUM(IF('CO-PO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Mapping'!Y$7, IF(OR($AS97="-",SUM(IF('CO-PO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7" s="54" t="str">
        <f>IF('CO-PO Mapping'!Z$2, IF(OR($AN97="-",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Mapping'!Z$6, IF(OR($AR97="-",SUM(IF('CO-PO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Mapping'!Z$7, IF(OR($AS97="-",SUM(IF('CO-PO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8" spans="1:57" ht="15" customHeight="1" x14ac:dyDescent="0.2">
      <c r="A98" s="29"/>
      <c r="B98" s="71"/>
      <c r="C98" s="72"/>
      <c r="D98" s="72"/>
      <c r="E98" s="59"/>
      <c r="F98" s="59"/>
      <c r="G98" s="59"/>
      <c r="H98" s="46" t="str">
        <f t="shared" si="29"/>
        <v>-</v>
      </c>
      <c r="I98" s="59"/>
      <c r="J98" s="59"/>
      <c r="K98" s="59"/>
      <c r="L98" s="59"/>
      <c r="M98" s="59"/>
      <c r="N98" s="59"/>
      <c r="O98" s="47" t="str">
        <f t="shared" si="30"/>
        <v>-</v>
      </c>
      <c r="P98" s="59"/>
      <c r="Q98" s="59"/>
      <c r="R98" s="59"/>
      <c r="S98" s="59"/>
      <c r="T98" s="59"/>
      <c r="U98" s="59"/>
      <c r="V98" s="48" t="str">
        <f t="shared" si="31"/>
        <v>-</v>
      </c>
      <c r="W98" s="49" t="str">
        <f t="shared" si="28"/>
        <v>-</v>
      </c>
      <c r="X98" s="50" t="str">
        <f t="shared" si="32"/>
        <v>-</v>
      </c>
      <c r="Y98" s="100"/>
      <c r="Z98" s="51" t="str">
        <f t="shared" si="34"/>
        <v/>
      </c>
      <c r="AA98" s="51" t="str">
        <f t="shared" si="35"/>
        <v/>
      </c>
      <c r="AB98" s="45">
        <f t="shared" si="36"/>
        <v>0</v>
      </c>
      <c r="AC98" s="45">
        <f t="shared" si="36"/>
        <v>0</v>
      </c>
      <c r="AD98" s="45">
        <f t="shared" si="36"/>
        <v>0</v>
      </c>
      <c r="AE98" s="45">
        <f t="shared" si="36"/>
        <v>0</v>
      </c>
      <c r="AF98" s="45">
        <f t="shared" si="33"/>
        <v>0</v>
      </c>
      <c r="AG98" s="45">
        <f t="shared" si="25"/>
        <v>0</v>
      </c>
      <c r="AH98" s="52">
        <f t="shared" si="12"/>
        <v>0</v>
      </c>
      <c r="AI98" s="52">
        <f t="shared" si="13"/>
        <v>0</v>
      </c>
      <c r="AJ98" s="52">
        <f t="shared" si="14"/>
        <v>0</v>
      </c>
      <c r="AK98" s="52">
        <f t="shared" si="22"/>
        <v>0</v>
      </c>
      <c r="AL98" s="52">
        <f t="shared" si="37"/>
        <v>0</v>
      </c>
      <c r="AM98" s="52">
        <f t="shared" si="38"/>
        <v>0</v>
      </c>
      <c r="AN98" s="53" t="str">
        <f t="shared" si="23"/>
        <v>-</v>
      </c>
      <c r="AO98" s="53" t="str">
        <f t="shared" si="17"/>
        <v>-</v>
      </c>
      <c r="AP98" s="53" t="str">
        <f t="shared" si="18"/>
        <v>-</v>
      </c>
      <c r="AQ98" s="53" t="str">
        <f t="shared" si="19"/>
        <v>-</v>
      </c>
      <c r="AR98" s="53" t="str">
        <f t="shared" si="19"/>
        <v>-</v>
      </c>
      <c r="AS98" s="53" t="str">
        <f t="shared" si="19"/>
        <v>-</v>
      </c>
      <c r="AT98" s="54" t="str">
        <f>IF('CO-PO Mapping'!O$2, IF(OR($AN98="-",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Mapping'!O$6, IF(OR($AR98="-",SUM(IF('CO-PO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Mapping'!O$7, IF(OR($AS98="-",SUM(IF('CO-PO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8" s="54" t="str">
        <f>IF('CO-PO Mapping'!P$2, IF(OR($AN98="-",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Mapping'!P$6, IF(OR($AR98="-",SUM(IF('CO-PO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Mapping'!P$7, IF(OR($AS98="-",SUM(IF('CO-PO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8" s="54" t="str">
        <f>IF('CO-PO Mapping'!Q$2, IF(OR($AN98="-",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Mapping'!Q$6, IF(OR($AR98="-",SUM(IF('CO-PO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Mapping'!Q$7, IF(OR($AS98="-",SUM(IF('CO-PO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8" s="54" t="str">
        <f>IF('CO-PO Mapping'!R$2, IF(OR($AN98="-",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Mapping'!R$6, IF(OR($AR98="-",SUM(IF('CO-PO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Mapping'!R$7, IF(OR($AS98="-",SUM(IF('CO-PO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8" s="54" t="str">
        <f>IF('CO-PO Mapping'!S$2, IF(OR($AN98="-",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Mapping'!S$6, IF(OR($AR98="-",SUM(IF('CO-PO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Mapping'!S$7, IF(OR($AS98="-",SUM(IF('CO-PO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8" s="54" t="str">
        <f>IF('CO-PO Mapping'!T$2, IF(OR($AN98="-",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Mapping'!T$6, IF(OR($AR98="-",SUM(IF('CO-PO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Mapping'!T$7, IF(OR($AS98="-",SUM(IF('CO-PO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8" s="54" t="str">
        <f>IF('CO-PO Mapping'!U$2, IF(OR($AN98="-",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Mapping'!U$6, IF(OR($AR98="-",SUM(IF('CO-PO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Mapping'!U$7, IF(OR($AS98="-",SUM(IF('CO-PO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8" s="54" t="str">
        <f>IF('CO-PO Mapping'!V$2, IF(OR($AN98="-",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Mapping'!V$6, IF(OR($AR98="-",SUM(IF('CO-PO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Mapping'!V$7, IF(OR($AS98="-",SUM(IF('CO-PO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8" s="54" t="str">
        <f>IF('CO-PO Mapping'!W$2, IF(OR($AN98="-",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Mapping'!W$6, IF(OR($AR98="-",SUM(IF('CO-PO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Mapping'!W$7, IF(OR($AS98="-",SUM(IF('CO-PO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8" s="54" t="str">
        <f>IF('CO-PO Mapping'!X$2, IF(OR($AN98="-",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Mapping'!X$6, IF(OR($AR98="-",SUM(IF('CO-PO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Mapping'!X$7, IF(OR($AS98="-",SUM(IF('CO-PO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8" s="54" t="str">
        <f>IF('CO-PO Mapping'!Y$2, IF(OR($AN98="-",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Mapping'!Y$6, IF(OR($AR98="-",SUM(IF('CO-PO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Mapping'!Y$7, IF(OR($AS98="-",SUM(IF('CO-PO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8" s="54" t="str">
        <f>IF('CO-PO Mapping'!Z$2, IF(OR($AN98="-",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Mapping'!Z$6, IF(OR($AR98="-",SUM(IF('CO-PO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Mapping'!Z$7, IF(OR($AS98="-",SUM(IF('CO-PO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9" spans="1:57" ht="15" customHeight="1" x14ac:dyDescent="0.2">
      <c r="A99" s="29"/>
      <c r="B99" s="71"/>
      <c r="C99" s="72"/>
      <c r="D99" s="72"/>
      <c r="E99" s="59"/>
      <c r="F99" s="59"/>
      <c r="G99" s="59"/>
      <c r="H99" s="46" t="str">
        <f t="shared" si="29"/>
        <v>-</v>
      </c>
      <c r="I99" s="59"/>
      <c r="J99" s="59"/>
      <c r="K99" s="59"/>
      <c r="L99" s="59"/>
      <c r="M99" s="59"/>
      <c r="N99" s="59"/>
      <c r="O99" s="47" t="str">
        <f t="shared" si="30"/>
        <v>-</v>
      </c>
      <c r="P99" s="59"/>
      <c r="Q99" s="59"/>
      <c r="R99" s="59"/>
      <c r="S99" s="59"/>
      <c r="T99" s="59"/>
      <c r="U99" s="59"/>
      <c r="V99" s="48" t="str">
        <f t="shared" si="31"/>
        <v>-</v>
      </c>
      <c r="W99" s="49" t="str">
        <f t="shared" si="28"/>
        <v>-</v>
      </c>
      <c r="X99" s="50" t="str">
        <f t="shared" si="32"/>
        <v>-</v>
      </c>
      <c r="Y99" s="100"/>
      <c r="Z99" s="51" t="str">
        <f t="shared" si="34"/>
        <v/>
      </c>
      <c r="AA99" s="51" t="str">
        <f t="shared" si="35"/>
        <v/>
      </c>
      <c r="AB99" s="45">
        <f t="shared" si="36"/>
        <v>0</v>
      </c>
      <c r="AC99" s="45">
        <f t="shared" si="36"/>
        <v>0</v>
      </c>
      <c r="AD99" s="45">
        <f t="shared" si="36"/>
        <v>0</v>
      </c>
      <c r="AE99" s="45">
        <f t="shared" si="36"/>
        <v>0</v>
      </c>
      <c r="AF99" s="45">
        <f t="shared" si="33"/>
        <v>0</v>
      </c>
      <c r="AG99" s="45">
        <f t="shared" si="25"/>
        <v>0</v>
      </c>
      <c r="AH99" s="52">
        <f t="shared" si="12"/>
        <v>0</v>
      </c>
      <c r="AI99" s="52">
        <f t="shared" si="13"/>
        <v>0</v>
      </c>
      <c r="AJ99" s="52">
        <f t="shared" si="14"/>
        <v>0</v>
      </c>
      <c r="AK99" s="52">
        <f t="shared" si="22"/>
        <v>0</v>
      </c>
      <c r="AL99" s="52">
        <f t="shared" si="37"/>
        <v>0</v>
      </c>
      <c r="AM99" s="52">
        <f t="shared" si="38"/>
        <v>0</v>
      </c>
      <c r="AN99" s="53" t="str">
        <f t="shared" si="23"/>
        <v>-</v>
      </c>
      <c r="AO99" s="53" t="str">
        <f t="shared" si="17"/>
        <v>-</v>
      </c>
      <c r="AP99" s="53" t="str">
        <f t="shared" si="18"/>
        <v>-</v>
      </c>
      <c r="AQ99" s="53" t="str">
        <f t="shared" si="19"/>
        <v>-</v>
      </c>
      <c r="AR99" s="53" t="str">
        <f t="shared" si="19"/>
        <v>-</v>
      </c>
      <c r="AS99" s="53" t="str">
        <f t="shared" si="19"/>
        <v>-</v>
      </c>
      <c r="AT99" s="54" t="str">
        <f>IF('CO-PO Mapping'!O$2, IF(OR($AN99="-",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Mapping'!O$6, IF(OR($AR99="-",SUM(IF('CO-PO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Mapping'!O$7, IF(OR($AS99="-",SUM(IF('CO-PO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9" s="54" t="str">
        <f>IF('CO-PO Mapping'!P$2, IF(OR($AN99="-",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Mapping'!P$6, IF(OR($AR99="-",SUM(IF('CO-PO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Mapping'!P$7, IF(OR($AS99="-",SUM(IF('CO-PO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9" s="54" t="str">
        <f>IF('CO-PO Mapping'!Q$2, IF(OR($AN99="-",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Mapping'!Q$6, IF(OR($AR99="-",SUM(IF('CO-PO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Mapping'!Q$7, IF(OR($AS99="-",SUM(IF('CO-PO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9" s="54" t="str">
        <f>IF('CO-PO Mapping'!R$2, IF(OR($AN99="-",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Mapping'!R$6, IF(OR($AR99="-",SUM(IF('CO-PO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Mapping'!R$7, IF(OR($AS99="-",SUM(IF('CO-PO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9" s="54" t="str">
        <f>IF('CO-PO Mapping'!S$2, IF(OR($AN99="-",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Mapping'!S$6, IF(OR($AR99="-",SUM(IF('CO-PO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Mapping'!S$7, IF(OR($AS99="-",SUM(IF('CO-PO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9" s="54" t="str">
        <f>IF('CO-PO Mapping'!T$2, IF(OR($AN99="-",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Mapping'!T$6, IF(OR($AR99="-",SUM(IF('CO-PO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Mapping'!T$7, IF(OR($AS99="-",SUM(IF('CO-PO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9" s="54" t="str">
        <f>IF('CO-PO Mapping'!U$2, IF(OR($AN99="-",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Mapping'!U$6, IF(OR($AR99="-",SUM(IF('CO-PO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Mapping'!U$7, IF(OR($AS99="-",SUM(IF('CO-PO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9" s="54" t="str">
        <f>IF('CO-PO Mapping'!V$2, IF(OR($AN99="-",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Mapping'!V$6, IF(OR($AR99="-",SUM(IF('CO-PO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Mapping'!V$7, IF(OR($AS99="-",SUM(IF('CO-PO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9" s="54" t="str">
        <f>IF('CO-PO Mapping'!W$2, IF(OR($AN99="-",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Mapping'!W$6, IF(OR($AR99="-",SUM(IF('CO-PO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Mapping'!W$7, IF(OR($AS99="-",SUM(IF('CO-PO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9" s="54" t="str">
        <f>IF('CO-PO Mapping'!X$2, IF(OR($AN99="-",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Mapping'!X$6, IF(OR($AR99="-",SUM(IF('CO-PO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Mapping'!X$7, IF(OR($AS99="-",SUM(IF('CO-PO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9" s="54" t="str">
        <f>IF('CO-PO Mapping'!Y$2, IF(OR($AN99="-",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Mapping'!Y$6, IF(OR($AR99="-",SUM(IF('CO-PO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Mapping'!Y$7, IF(OR($AS99="-",SUM(IF('CO-PO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9" s="54" t="str">
        <f>IF('CO-PO Mapping'!Z$2, IF(OR($AN99="-",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Mapping'!Z$6, IF(OR($AR99="-",SUM(IF('CO-PO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Mapping'!Z$7, IF(OR($AS99="-",SUM(IF('CO-PO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0" spans="1:57" ht="15" customHeight="1" x14ac:dyDescent="0.2">
      <c r="A100" s="29"/>
      <c r="B100" s="71"/>
      <c r="C100" s="72"/>
      <c r="D100" s="72"/>
      <c r="E100" s="59"/>
      <c r="F100" s="59"/>
      <c r="G100" s="59"/>
      <c r="H100" s="46" t="str">
        <f t="shared" si="29"/>
        <v>-</v>
      </c>
      <c r="I100" s="59"/>
      <c r="J100" s="59"/>
      <c r="K100" s="59"/>
      <c r="L100" s="59"/>
      <c r="M100" s="59"/>
      <c r="N100" s="59"/>
      <c r="O100" s="47" t="str">
        <f t="shared" si="30"/>
        <v>-</v>
      </c>
      <c r="P100" s="59"/>
      <c r="Q100" s="59"/>
      <c r="R100" s="59"/>
      <c r="S100" s="59"/>
      <c r="T100" s="59"/>
      <c r="U100" s="59"/>
      <c r="V100" s="48" t="str">
        <f t="shared" si="31"/>
        <v>-</v>
      </c>
      <c r="W100" s="49" t="str">
        <f t="shared" si="28"/>
        <v>-</v>
      </c>
      <c r="X100" s="50" t="str">
        <f t="shared" si="32"/>
        <v>-</v>
      </c>
      <c r="Y100" s="100"/>
      <c r="Z100" s="51" t="str">
        <f t="shared" si="34"/>
        <v/>
      </c>
      <c r="AA100" s="51" t="str">
        <f t="shared" si="35"/>
        <v/>
      </c>
      <c r="AB100" s="45">
        <f t="shared" si="36"/>
        <v>0</v>
      </c>
      <c r="AC100" s="45">
        <f t="shared" si="36"/>
        <v>0</v>
      </c>
      <c r="AD100" s="45">
        <f t="shared" si="36"/>
        <v>0</v>
      </c>
      <c r="AE100" s="45">
        <f t="shared" si="36"/>
        <v>0</v>
      </c>
      <c r="AF100" s="45">
        <f t="shared" si="33"/>
        <v>0</v>
      </c>
      <c r="AG100" s="45">
        <f t="shared" si="25"/>
        <v>0</v>
      </c>
      <c r="AH100" s="52">
        <f t="shared" si="12"/>
        <v>0</v>
      </c>
      <c r="AI100" s="52">
        <f t="shared" si="13"/>
        <v>0</v>
      </c>
      <c r="AJ100" s="52">
        <f t="shared" si="14"/>
        <v>0</v>
      </c>
      <c r="AK100" s="52">
        <f t="shared" si="22"/>
        <v>0</v>
      </c>
      <c r="AL100" s="52">
        <f t="shared" si="37"/>
        <v>0</v>
      </c>
      <c r="AM100" s="52">
        <f t="shared" si="38"/>
        <v>0</v>
      </c>
      <c r="AN100" s="53" t="str">
        <f t="shared" si="23"/>
        <v>-</v>
      </c>
      <c r="AO100" s="53" t="str">
        <f t="shared" si="17"/>
        <v>-</v>
      </c>
      <c r="AP100" s="53" t="str">
        <f t="shared" si="18"/>
        <v>-</v>
      </c>
      <c r="AQ100" s="53" t="str">
        <f t="shared" si="19"/>
        <v>-</v>
      </c>
      <c r="AR100" s="53" t="str">
        <f t="shared" si="19"/>
        <v>-</v>
      </c>
      <c r="AS100" s="53" t="str">
        <f t="shared" si="19"/>
        <v>-</v>
      </c>
      <c r="AT100" s="54" t="str">
        <f>IF('CO-PO Mapping'!O$2, IF(OR($AN100="-",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Mapping'!O$6, IF(OR($AR100="-",SUM(IF('CO-PO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Mapping'!O$7, IF(OR($AS100="-",SUM(IF('CO-PO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100" s="54" t="str">
        <f>IF('CO-PO Mapping'!P$2, IF(OR($AN100="-",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Mapping'!P$6, IF(OR($AR100="-",SUM(IF('CO-PO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Mapping'!P$7, IF(OR($AS100="-",SUM(IF('CO-PO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100" s="54" t="str">
        <f>IF('CO-PO Mapping'!Q$2, IF(OR($AN100="-",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Mapping'!Q$6, IF(OR($AR100="-",SUM(IF('CO-PO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Mapping'!Q$7, IF(OR($AS100="-",SUM(IF('CO-PO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100" s="54" t="str">
        <f>IF('CO-PO Mapping'!R$2, IF(OR($AN100="-",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Mapping'!R$6, IF(OR($AR100="-",SUM(IF('CO-PO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Mapping'!R$7, IF(OR($AS100="-",SUM(IF('CO-PO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100" s="54" t="str">
        <f>IF('CO-PO Mapping'!S$2, IF(OR($AN100="-",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Mapping'!S$6, IF(OR($AR100="-",SUM(IF('CO-PO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Mapping'!S$7, IF(OR($AS100="-",SUM(IF('CO-PO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100" s="54" t="str">
        <f>IF('CO-PO Mapping'!T$2, IF(OR($AN100="-",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Mapping'!T$6, IF(OR($AR100="-",SUM(IF('CO-PO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Mapping'!T$7, IF(OR($AS100="-",SUM(IF('CO-PO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100" s="54" t="str">
        <f>IF('CO-PO Mapping'!U$2, IF(OR($AN100="-",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Mapping'!U$6, IF(OR($AR100="-",SUM(IF('CO-PO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Mapping'!U$7, IF(OR($AS100="-",SUM(IF('CO-PO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100" s="54" t="str">
        <f>IF('CO-PO Mapping'!V$2, IF(OR($AN100="-",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Mapping'!V$6, IF(OR($AR100="-",SUM(IF('CO-PO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Mapping'!V$7, IF(OR($AS100="-",SUM(IF('CO-PO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100" s="54" t="str">
        <f>IF('CO-PO Mapping'!W$2, IF(OR($AN100="-",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Mapping'!W$6, IF(OR($AR100="-",SUM(IF('CO-PO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Mapping'!W$7, IF(OR($AS100="-",SUM(IF('CO-PO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100" s="54" t="str">
        <f>IF('CO-PO Mapping'!X$2, IF(OR($AN100="-",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Mapping'!X$6, IF(OR($AR100="-",SUM(IF('CO-PO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Mapping'!X$7, IF(OR($AS100="-",SUM(IF('CO-PO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100" s="54" t="str">
        <f>IF('CO-PO Mapping'!Y$2, IF(OR($AN100="-",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Mapping'!Y$6, IF(OR($AR100="-",SUM(IF('CO-PO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Mapping'!Y$7, IF(OR($AS100="-",SUM(IF('CO-PO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100" s="54" t="str">
        <f>IF('CO-PO Mapping'!Z$2, IF(OR($AN100="-",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Mapping'!Z$6, IF(OR($AR100="-",SUM(IF('CO-PO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Mapping'!Z$7, IF(OR($AS100="-",SUM(IF('CO-PO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1" spans="1:57" ht="15" customHeight="1" x14ac:dyDescent="0.2">
      <c r="A101" s="62"/>
      <c r="B101" s="62"/>
      <c r="C101" s="62"/>
      <c r="Z101" s="92"/>
      <c r="AA101" s="92"/>
      <c r="AB101" s="92"/>
      <c r="AC101" s="92"/>
      <c r="AD101" s="92"/>
      <c r="AE101" s="92"/>
      <c r="AF101" s="92"/>
      <c r="AG101" s="92"/>
      <c r="AH101" s="92"/>
      <c r="AI101" s="102"/>
      <c r="AJ101" s="102"/>
      <c r="AK101" s="102"/>
      <c r="AL101" s="102"/>
      <c r="AM101" s="10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C101" s="92"/>
      <c r="BD101" s="92"/>
      <c r="BE101" s="92"/>
    </row>
    <row r="102" spans="1:57" ht="19.5" customHeight="1" x14ac:dyDescent="0.2">
      <c r="A102" s="62"/>
      <c r="B102" s="103" t="s">
        <v>59</v>
      </c>
      <c r="C102" s="103"/>
      <c r="D102" s="103">
        <f>COUNTA(A30:A100)</f>
        <v>27</v>
      </c>
      <c r="J102" s="62"/>
      <c r="Z102" s="92"/>
      <c r="AA102" s="92"/>
      <c r="AB102" s="92"/>
      <c r="AC102" s="92"/>
      <c r="AD102" s="92"/>
      <c r="AE102" s="92"/>
      <c r="AF102" s="92"/>
      <c r="AG102" s="92"/>
      <c r="AH102" s="92"/>
      <c r="AI102" s="176" t="s">
        <v>60</v>
      </c>
      <c r="AJ102" s="176"/>
      <c r="AK102" s="176"/>
      <c r="AL102" s="176"/>
      <c r="AM102" s="92"/>
      <c r="AN102" s="56" t="str">
        <f>IF(COUNTIF(AN30:AN$100,"*Y*")&gt;0,IF(COUNTIF(AN30:AN$100,"*Y*")&gt;($E$105*$AQ$27/100),"YES","NO"),"-")</f>
        <v>-</v>
      </c>
      <c r="AO102" s="56" t="str">
        <f>IF(COUNTIF(AO30:AO$100,"*Y*")&gt;0,IF(COUNTIF(AO30:AO$100,"*Y*")&gt;($E$105*$AQ$27/100),"YES","NO"),"-")</f>
        <v>-</v>
      </c>
      <c r="AP102" s="56" t="str">
        <f>IF(COUNTIF(AP30:AP$100,"*Y*")&gt;0,IF(COUNTIF(AP30:AP$100,"*Y*")&gt;($E$105*$AQ$27/100),"YES","NO"),"-")</f>
        <v>YES</v>
      </c>
      <c r="AQ102" s="56" t="str">
        <f>IF(COUNTIF(AQ30:AQ$100,"*Y*")&gt;0,IF(COUNTIF(AQ30:AQ$100,"*Y*")&gt;($E$105*$AQ$27/100),"YES","NO"),"-")</f>
        <v>-</v>
      </c>
      <c r="AR102" s="56" t="str">
        <f>IF(COUNTIF(AR30:AR$100,"*Y*")&gt;0,IF(COUNTIF(AR30:AR$100,"*Y*")&gt;($E$105*$AQ$27/100),"YES","NO"),"-")</f>
        <v>-</v>
      </c>
      <c r="AS102" s="56" t="str">
        <f>IF(COUNTIF(AS30:AS$100,"*Y*")&gt;0,IF(COUNTIF(AS30:AS$100,"*Y*")&gt;($E$105*$AQ$27/100),"YES","NO"),"-")</f>
        <v>-</v>
      </c>
      <c r="AT102" s="56" t="str">
        <f>IF(COUNTIF(AT30:AT$100,"*Y*")&gt;0,IF(COUNTIF(AT30:AT$100,"*Y*")&gt;($E$105*$AQ$27/100),"YES","NO"),"-")</f>
        <v>-</v>
      </c>
      <c r="AU102" s="56" t="str">
        <f>IF(COUNTIF(AU30:AU$100,"*Y*")&gt;0,IF(COUNTIF(AU30:AU$100,"*Y*")&gt;($E$105*$AQ$27/100),"YES","NO"),"-")</f>
        <v>-</v>
      </c>
      <c r="AV102" s="56" t="str">
        <f>IF(COUNTIF(AV30:AV$100,"*Y*")&gt;0,IF(COUNTIF(AV30:AV$100,"*Y*")&gt;($E$105*$AQ$27/100),"YES","NO"),"-")</f>
        <v>-</v>
      </c>
      <c r="AW102" s="56" t="str">
        <f>IF(COUNTIF(AW30:AW$100,"*Y*")&gt;0,IF(COUNTIF(AW30:AW$100,"*Y*")&gt;($E$105*$AQ$27/100),"YES","NO"),"-")</f>
        <v>-</v>
      </c>
      <c r="AX102" s="56" t="str">
        <f>IF(COUNTIF(AX30:AX$100,"*Y*")&gt;0,IF(COUNTIF(AX30:AX$100,"*Y*")&gt;($E$105*$AQ$27/100),"YES","NO"),"-")</f>
        <v>-</v>
      </c>
      <c r="AY102" s="56" t="str">
        <f>IF(COUNTIF(AY30:AY$100,"*Y*")&gt;0,IF(COUNTIF(AY30:AY$100,"*Y*")&gt;($E$105*$AQ$27/100),"YES","NO"),"-")</f>
        <v>-</v>
      </c>
      <c r="AZ102" s="56" t="str">
        <f>IF(COUNTIF(AZ30:AZ$100,"*Y*")&gt;0,IF(COUNTIF(AZ30:AZ$100,"*Y*")&gt;($E$105*$AQ$27/100),"YES","NO"),"-")</f>
        <v>-</v>
      </c>
      <c r="BA102" s="56" t="str">
        <f>IF(COUNTIF(BA30:BA$100,"*Y*")&gt;0,IF(COUNTIF(BA30:BA$100,"*Y*")&gt;($E$105*$AQ$27/100),"YES","NO"),"-")</f>
        <v>-</v>
      </c>
      <c r="BB102" s="56" t="str">
        <f>IF(COUNTIF(BB30:BB$100,"*Y*")&gt;0,IF(COUNTIF(BB30:BB$100,"*Y*")&gt;($E$105*$AQ$27/100),"YES","NO"),"-")</f>
        <v>-</v>
      </c>
      <c r="BC102" s="56" t="str">
        <f>IF(COUNTIF(BC30:BC$100,"*Y*")&gt;0,IF(COUNTIF(BC30:BC$100,"*Y*")&gt;($E$105*$AQ$27/100),"YES","NO"),"-")</f>
        <v>-</v>
      </c>
      <c r="BD102" s="56" t="str">
        <f>IF(COUNTIF(BD30:BD$100,"*Y*")&gt;0,IF(COUNTIF(BD30:BD$100,"*Y*")&gt;($E$105*$AQ$27/100),"YES","NO"),"-")</f>
        <v>-</v>
      </c>
      <c r="BE102" s="56" t="str">
        <f>IF(COUNTIF(BE30:BE$100,"*Y*")&gt;0,IF(COUNTIF(BE30:BE$100,"*Y*")&gt;($E$105*$AQ$27/100),"YES","NO"),"-")</f>
        <v>-</v>
      </c>
    </row>
    <row r="103" spans="1:57" ht="15" customHeight="1" x14ac:dyDescent="0.2">
      <c r="A103" s="62"/>
      <c r="B103" s="103"/>
      <c r="C103" s="103"/>
      <c r="D103" s="103"/>
      <c r="Z103" s="92"/>
      <c r="AA103" s="92"/>
      <c r="AB103" s="92"/>
      <c r="AC103" s="92"/>
      <c r="AD103" s="92"/>
      <c r="AE103" s="92"/>
      <c r="AF103" s="92"/>
      <c r="AG103" s="92"/>
      <c r="AH103" s="92"/>
      <c r="AI103" s="176" t="s">
        <v>61</v>
      </c>
      <c r="AJ103" s="176"/>
      <c r="AK103" s="176"/>
      <c r="AL103" s="176"/>
      <c r="AM103" s="92"/>
      <c r="AN103" s="57" t="str">
        <f t="shared" ref="AN103:AP103" si="39">IF(COUNTIF(AN$30:AN$100,"*Y*")&gt;0,COUNTIF(AN$30:AN$100,"*Y*")*100/$D$102,"-")</f>
        <v>-</v>
      </c>
      <c r="AO103" s="57" t="str">
        <f t="shared" si="39"/>
        <v>-</v>
      </c>
      <c r="AP103" s="57">
        <f t="shared" si="39"/>
        <v>92.592592592592595</v>
      </c>
      <c r="AQ103" s="57" t="str">
        <f>IF(COUNTIF(AQ$30:AQ$100,"*Y*")&gt;0,COUNTIF(AQ$30:AQ$100,"*Y*")*100/$D$102,"-")</f>
        <v>-</v>
      </c>
      <c r="AR103" s="57" t="str">
        <f t="shared" ref="AR103:AS103" si="40">IF(COUNTIF(AR$30:AR$100,"*Y*")&gt;0,COUNTIF(AR$30:AR$100,"*Y*")*100/$D$102,"-")</f>
        <v>-</v>
      </c>
      <c r="AS103" s="57" t="str">
        <f t="shared" si="40"/>
        <v>-</v>
      </c>
      <c r="AT103" s="57" t="str">
        <f>IF(COUNTIF(AT$30:AT$100,"*Y*")&gt;0,COUNTIF(AT$30:AT$100,"*Y*")*100/$D$102,"-")</f>
        <v>-</v>
      </c>
      <c r="AU103" s="57" t="str">
        <f>IF(COUNTIF(AU$30:AU$100,"*Y*")&gt;0,COUNTIF(AU$30:AU$100,"*Y*")*100/$D$102,"-")</f>
        <v>-</v>
      </c>
      <c r="AV103" s="57" t="str">
        <f>IF(COUNTIF(AV$30:AV$100,"*Y*")&gt;0,COUNTIF(AV$30:AV$100,"*Y*")*100/$D$102,"-")</f>
        <v>-</v>
      </c>
      <c r="AW103" s="57" t="str">
        <f t="shared" ref="AW103:BE103" si="41">IF(COUNTIF(AW$30:AW$100,"*Y*")&gt;0,COUNTIF(AW$30:AW$100,"*Y*")*100/$D$102,"-")</f>
        <v>-</v>
      </c>
      <c r="AX103" s="57" t="str">
        <f t="shared" si="41"/>
        <v>-</v>
      </c>
      <c r="AY103" s="57" t="str">
        <f t="shared" si="41"/>
        <v>-</v>
      </c>
      <c r="AZ103" s="57" t="str">
        <f t="shared" si="41"/>
        <v>-</v>
      </c>
      <c r="BA103" s="57" t="str">
        <f t="shared" si="41"/>
        <v>-</v>
      </c>
      <c r="BB103" s="57" t="str">
        <f t="shared" si="41"/>
        <v>-</v>
      </c>
      <c r="BC103" s="57" t="str">
        <f t="shared" si="41"/>
        <v>-</v>
      </c>
      <c r="BD103" s="57" t="str">
        <f t="shared" si="41"/>
        <v>-</v>
      </c>
      <c r="BE103" s="57" t="str">
        <f t="shared" si="41"/>
        <v>-</v>
      </c>
    </row>
    <row r="104" spans="1:57" ht="19.5" customHeight="1" x14ac:dyDescent="0.2">
      <c r="B104" s="171" t="s">
        <v>62</v>
      </c>
      <c r="C104" s="171"/>
      <c r="D104" s="171"/>
      <c r="E104" s="171"/>
      <c r="F104" s="171"/>
      <c r="G104" s="171"/>
      <c r="H104" s="171"/>
      <c r="I104" s="171"/>
      <c r="J104" s="171"/>
      <c r="K104" s="92"/>
      <c r="L104" s="92"/>
      <c r="M104" s="92"/>
      <c r="N104" s="92"/>
      <c r="O104" s="92"/>
      <c r="P104" s="92"/>
    </row>
    <row r="105" spans="1:57" ht="15" customHeight="1" x14ac:dyDescent="0.2">
      <c r="A105" s="92"/>
      <c r="B105" s="149" t="s">
        <v>83</v>
      </c>
      <c r="C105" s="175"/>
      <c r="D105" s="150"/>
      <c r="E105" s="172">
        <f>COUNTIF($W$30:$W$100,"&gt;0")</f>
        <v>26</v>
      </c>
      <c r="F105" s="173"/>
      <c r="G105" s="173"/>
      <c r="H105" s="173"/>
      <c r="I105" s="173"/>
      <c r="J105" s="174"/>
      <c r="K105" s="92"/>
      <c r="L105" s="92"/>
      <c r="M105" s="92"/>
      <c r="N105" s="92"/>
      <c r="O105" s="92"/>
      <c r="P105" s="92"/>
    </row>
    <row r="106" spans="1:57" ht="15" customHeight="1" x14ac:dyDescent="0.2">
      <c r="A106" s="104"/>
      <c r="B106" s="147"/>
      <c r="C106" s="196"/>
      <c r="D106" s="196"/>
      <c r="E106" s="196"/>
      <c r="F106" s="196"/>
      <c r="G106" s="196"/>
      <c r="H106" s="196"/>
      <c r="I106" s="196"/>
      <c r="J106" s="148"/>
      <c r="K106" s="104"/>
      <c r="L106" s="104"/>
      <c r="M106" s="104"/>
      <c r="N106" s="104"/>
      <c r="O106" s="104"/>
      <c r="P106" s="104"/>
      <c r="Q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</row>
    <row r="107" spans="1:57" ht="15" customHeight="1" x14ac:dyDescent="0.2">
      <c r="A107" s="104"/>
      <c r="B107" s="149" t="s">
        <v>66</v>
      </c>
      <c r="C107" s="150"/>
      <c r="D107" s="149" t="s">
        <v>67</v>
      </c>
      <c r="E107" s="175"/>
      <c r="F107" s="175"/>
      <c r="G107" s="150"/>
      <c r="H107" s="149" t="s">
        <v>68</v>
      </c>
      <c r="I107" s="175"/>
      <c r="J107" s="150"/>
      <c r="K107" s="104"/>
      <c r="L107" s="104"/>
      <c r="M107" s="104"/>
      <c r="N107" s="104"/>
      <c r="O107" s="104"/>
      <c r="P107" s="104"/>
      <c r="Q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</row>
    <row r="108" spans="1:57" ht="15" customHeight="1" x14ac:dyDescent="0.2">
      <c r="A108" s="104"/>
      <c r="B108" s="147" t="s">
        <v>70</v>
      </c>
      <c r="C108" s="148"/>
      <c r="D108" s="145">
        <f>COUNTIF($X$30:$X$100,B108)</f>
        <v>0</v>
      </c>
      <c r="E108" s="145"/>
      <c r="F108" s="145"/>
      <c r="G108" s="145"/>
      <c r="H108" s="146">
        <f>IF($D$102&gt;0,D108*100/$D$102,0)</f>
        <v>0</v>
      </c>
      <c r="I108" s="146"/>
      <c r="J108" s="146"/>
      <c r="K108" s="104"/>
      <c r="L108" s="104"/>
      <c r="M108" s="104"/>
      <c r="N108" s="104"/>
      <c r="O108" s="104"/>
      <c r="P108" s="104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</row>
    <row r="109" spans="1:57" ht="15" customHeight="1" x14ac:dyDescent="0.2">
      <c r="A109" s="104"/>
      <c r="B109" s="147" t="s">
        <v>11</v>
      </c>
      <c r="C109" s="148"/>
      <c r="D109" s="145">
        <f t="shared" ref="D109:D117" si="42">COUNTIF($X$30:$X$100,B109)</f>
        <v>0</v>
      </c>
      <c r="E109" s="145"/>
      <c r="F109" s="145"/>
      <c r="G109" s="145"/>
      <c r="H109" s="146">
        <f t="shared" ref="H109:H116" si="43">IF($D$102&gt;0,D109*100/$D$102,0)</f>
        <v>0</v>
      </c>
      <c r="I109" s="146"/>
      <c r="J109" s="146"/>
      <c r="K109" s="104"/>
      <c r="L109" s="104"/>
      <c r="M109" s="104"/>
      <c r="N109" s="104"/>
      <c r="O109" s="104"/>
      <c r="P109" s="104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</row>
    <row r="110" spans="1:57" ht="15" customHeight="1" x14ac:dyDescent="0.2">
      <c r="A110" s="104"/>
      <c r="B110" s="147" t="s">
        <v>78</v>
      </c>
      <c r="C110" s="148"/>
      <c r="D110" s="145">
        <f t="shared" si="42"/>
        <v>0</v>
      </c>
      <c r="E110" s="145"/>
      <c r="F110" s="145"/>
      <c r="G110" s="145"/>
      <c r="H110" s="146">
        <f t="shared" si="43"/>
        <v>0</v>
      </c>
      <c r="I110" s="146"/>
      <c r="J110" s="146"/>
      <c r="K110" s="104"/>
      <c r="L110" s="104"/>
      <c r="M110" s="104"/>
      <c r="N110" s="104"/>
      <c r="O110" s="104"/>
      <c r="P110" s="104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</row>
    <row r="111" spans="1:57" ht="15" customHeight="1" x14ac:dyDescent="0.2">
      <c r="A111" s="104"/>
      <c r="B111" s="147" t="s">
        <v>72</v>
      </c>
      <c r="C111" s="148"/>
      <c r="D111" s="145">
        <f t="shared" si="42"/>
        <v>0</v>
      </c>
      <c r="E111" s="145"/>
      <c r="F111" s="145"/>
      <c r="G111" s="145"/>
      <c r="H111" s="146">
        <f t="shared" si="43"/>
        <v>0</v>
      </c>
      <c r="I111" s="146"/>
      <c r="J111" s="146"/>
      <c r="K111" s="104"/>
      <c r="L111" s="104"/>
      <c r="M111" s="104"/>
      <c r="N111" s="104"/>
      <c r="O111" s="104"/>
      <c r="P111" s="104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</row>
    <row r="112" spans="1:57" ht="15" customHeight="1" x14ac:dyDescent="0.2">
      <c r="A112" s="104"/>
      <c r="B112" s="147" t="s">
        <v>23</v>
      </c>
      <c r="C112" s="148"/>
      <c r="D112" s="145">
        <f t="shared" si="42"/>
        <v>0</v>
      </c>
      <c r="E112" s="145"/>
      <c r="F112" s="145"/>
      <c r="G112" s="145"/>
      <c r="H112" s="146">
        <f t="shared" si="43"/>
        <v>0</v>
      </c>
      <c r="I112" s="146"/>
      <c r="J112" s="146"/>
      <c r="K112" s="104"/>
      <c r="L112" s="104"/>
      <c r="M112" s="104"/>
      <c r="N112" s="104"/>
      <c r="O112" s="104"/>
      <c r="P112" s="104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</row>
    <row r="113" spans="1:48" ht="15" customHeight="1" x14ac:dyDescent="0.2">
      <c r="A113" s="104"/>
      <c r="B113" s="147" t="s">
        <v>79</v>
      </c>
      <c r="C113" s="148"/>
      <c r="D113" s="145">
        <f t="shared" si="42"/>
        <v>0</v>
      </c>
      <c r="E113" s="145"/>
      <c r="F113" s="145"/>
      <c r="G113" s="145"/>
      <c r="H113" s="146">
        <f t="shared" si="43"/>
        <v>0</v>
      </c>
      <c r="I113" s="146"/>
      <c r="J113" s="146"/>
      <c r="K113" s="104"/>
      <c r="L113" s="104"/>
      <c r="M113" s="104"/>
      <c r="N113" s="104"/>
      <c r="O113" s="104"/>
      <c r="P113" s="104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</row>
    <row r="114" spans="1:48" ht="15" customHeight="1" x14ac:dyDescent="0.2">
      <c r="A114" s="104"/>
      <c r="B114" s="147" t="s">
        <v>80</v>
      </c>
      <c r="C114" s="148"/>
      <c r="D114" s="145">
        <f t="shared" si="42"/>
        <v>0</v>
      </c>
      <c r="E114" s="145"/>
      <c r="F114" s="145"/>
      <c r="G114" s="145"/>
      <c r="H114" s="146">
        <f t="shared" si="43"/>
        <v>0</v>
      </c>
      <c r="I114" s="146"/>
      <c r="J114" s="146"/>
      <c r="K114" s="104"/>
      <c r="L114" s="104"/>
      <c r="M114" s="104"/>
      <c r="N114" s="104"/>
      <c r="O114" s="104"/>
      <c r="P114" s="104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</row>
    <row r="115" spans="1:48" ht="15" customHeight="1" x14ac:dyDescent="0.2">
      <c r="A115" s="104"/>
      <c r="B115" s="147" t="s">
        <v>35</v>
      </c>
      <c r="C115" s="148"/>
      <c r="D115" s="145">
        <f t="shared" si="42"/>
        <v>0</v>
      </c>
      <c r="E115" s="145"/>
      <c r="F115" s="145"/>
      <c r="G115" s="145"/>
      <c r="H115" s="146">
        <f t="shared" si="43"/>
        <v>0</v>
      </c>
      <c r="I115" s="146"/>
      <c r="J115" s="146"/>
      <c r="K115" s="104"/>
      <c r="L115" s="104"/>
      <c r="M115" s="104"/>
      <c r="N115" s="104"/>
      <c r="O115" s="104"/>
      <c r="P115" s="104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</row>
    <row r="116" spans="1:48" ht="15" customHeight="1" x14ac:dyDescent="0.2">
      <c r="A116" s="104"/>
      <c r="B116" s="147" t="s">
        <v>38</v>
      </c>
      <c r="C116" s="148"/>
      <c r="D116" s="145">
        <f t="shared" si="42"/>
        <v>0</v>
      </c>
      <c r="E116" s="145"/>
      <c r="F116" s="145"/>
      <c r="G116" s="145"/>
      <c r="H116" s="146">
        <f t="shared" si="43"/>
        <v>0</v>
      </c>
      <c r="I116" s="146"/>
      <c r="J116" s="146"/>
      <c r="K116" s="104"/>
      <c r="L116" s="104"/>
      <c r="M116" s="104"/>
      <c r="N116" s="104"/>
      <c r="O116" s="104"/>
      <c r="P116" s="104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</row>
    <row r="117" spans="1:48" ht="15" customHeight="1" x14ac:dyDescent="0.2">
      <c r="A117" s="104"/>
      <c r="B117" s="147" t="s">
        <v>81</v>
      </c>
      <c r="C117" s="148"/>
      <c r="D117" s="145">
        <f t="shared" si="42"/>
        <v>27</v>
      </c>
      <c r="E117" s="145"/>
      <c r="F117" s="145"/>
      <c r="G117" s="145"/>
      <c r="H117" s="146">
        <f t="shared" ref="H117" si="44">IF($D$102&gt;0,D117*100/$D$102,0)</f>
        <v>100</v>
      </c>
      <c r="I117" s="146"/>
      <c r="J117" s="146"/>
      <c r="K117" s="104"/>
      <c r="L117" s="104"/>
      <c r="M117" s="104"/>
      <c r="N117" s="104"/>
      <c r="O117" s="104"/>
      <c r="P117" s="104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</row>
    <row r="118" spans="1:48" ht="15" customHeight="1" x14ac:dyDescent="0.2">
      <c r="A118" s="104"/>
      <c r="B118" s="187" t="s">
        <v>123</v>
      </c>
      <c r="C118" s="188"/>
      <c r="D118" s="189">
        <f t="shared" ref="D118" si="45">COUNTIF($X$30:$X$100,B118)</f>
        <v>13</v>
      </c>
      <c r="E118" s="190"/>
      <c r="F118" s="190"/>
      <c r="G118" s="191"/>
      <c r="H118" s="146">
        <f t="shared" ref="H118:H119" si="46">IF($D$102&gt;0,D118*100/$D$102,0)</f>
        <v>48.148148148148145</v>
      </c>
      <c r="I118" s="146"/>
      <c r="J118" s="146"/>
      <c r="K118" s="104"/>
      <c r="L118" s="104"/>
      <c r="M118" s="104"/>
      <c r="N118" s="104"/>
      <c r="O118" s="104"/>
      <c r="P118" s="104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</row>
    <row r="119" spans="1:48" ht="15" customHeight="1" x14ac:dyDescent="0.2">
      <c r="A119" s="104"/>
      <c r="B119" s="149" t="s">
        <v>47</v>
      </c>
      <c r="C119" s="150"/>
      <c r="D119" s="166">
        <f>SUM(D108:D118)</f>
        <v>40</v>
      </c>
      <c r="E119" s="167"/>
      <c r="F119" s="167"/>
      <c r="G119" s="167"/>
      <c r="H119" s="146">
        <f t="shared" si="46"/>
        <v>148.14814814814815</v>
      </c>
      <c r="I119" s="146"/>
      <c r="J119" s="146"/>
      <c r="K119" s="104"/>
      <c r="L119" s="104"/>
      <c r="M119" s="104"/>
      <c r="N119" s="104"/>
      <c r="O119" s="104"/>
      <c r="P119" s="104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</row>
    <row r="120" spans="1:48" ht="15" customHeight="1" x14ac:dyDescent="0.2">
      <c r="A120" s="104"/>
      <c r="K120" s="104"/>
      <c r="L120" s="104"/>
      <c r="M120" s="104"/>
      <c r="N120" s="104"/>
      <c r="O120" s="104"/>
      <c r="P120" s="104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</row>
    <row r="121" spans="1:48" ht="15" customHeight="1" x14ac:dyDescent="0.2">
      <c r="A121" s="104"/>
      <c r="K121" s="104"/>
      <c r="L121" s="104"/>
      <c r="M121" s="104"/>
      <c r="N121" s="104"/>
      <c r="O121" s="104"/>
      <c r="P121" s="104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</row>
    <row r="122" spans="1:48" ht="15" customHeight="1" x14ac:dyDescent="0.2"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</row>
    <row r="123" spans="1:48" ht="15" customHeight="1" x14ac:dyDescent="0.2"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</row>
    <row r="124" spans="1:48" ht="15" customHeight="1" x14ac:dyDescent="0.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</row>
    <row r="125" spans="1:48" ht="15" customHeight="1" x14ac:dyDescent="0.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</row>
    <row r="126" spans="1:48" ht="15" customHeight="1" x14ac:dyDescent="0.2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</row>
    <row r="127" spans="1:48" ht="15" customHeight="1" x14ac:dyDescent="0.2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</row>
    <row r="128" spans="1:48" ht="15" customHeight="1" x14ac:dyDescent="0.2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</row>
    <row r="129" spans="1:48" ht="15" customHeight="1" x14ac:dyDescent="0.2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</row>
    <row r="130" spans="1:48" ht="15" customHeight="1" x14ac:dyDescent="0.2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</row>
    <row r="131" spans="1:48" ht="15" customHeight="1" x14ac:dyDescent="0.2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</row>
    <row r="132" spans="1:48" ht="15" customHeight="1" x14ac:dyDescent="0.2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</row>
    <row r="133" spans="1:48" ht="15" customHeight="1" x14ac:dyDescent="0.2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</row>
    <row r="134" spans="1:48" ht="15" customHeight="1" x14ac:dyDescent="0.2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</row>
    <row r="135" spans="1:48" ht="15" customHeight="1" x14ac:dyDescent="0.2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</row>
    <row r="136" spans="1:48" ht="15" customHeight="1" x14ac:dyDescent="0.2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</row>
    <row r="137" spans="1:48" ht="15" customHeight="1" x14ac:dyDescent="0.2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</row>
    <row r="138" spans="1:48" ht="15" customHeight="1" x14ac:dyDescent="0.2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</row>
    <row r="139" spans="1:48" ht="15" customHeight="1" x14ac:dyDescent="0.2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</row>
    <row r="140" spans="1:48" ht="15" customHeight="1" x14ac:dyDescent="0.2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</row>
    <row r="141" spans="1:48" ht="15" customHeight="1" x14ac:dyDescent="0.2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</row>
    <row r="142" spans="1:48" ht="15" customHeight="1" x14ac:dyDescent="0.2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</row>
    <row r="143" spans="1:48" ht="15" customHeight="1" x14ac:dyDescent="0.2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</row>
    <row r="144" spans="1:48" ht="15" customHeight="1" x14ac:dyDescent="0.2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</row>
    <row r="145" spans="1:48" ht="15" customHeight="1" x14ac:dyDescent="0.2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</row>
    <row r="146" spans="1:48" ht="15" customHeight="1" x14ac:dyDescent="0.2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</row>
    <row r="147" spans="1:48" ht="15" customHeight="1" x14ac:dyDescent="0.2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</row>
    <row r="148" spans="1:48" ht="15" customHeight="1" x14ac:dyDescent="0.2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</row>
    <row r="149" spans="1:48" ht="15" customHeight="1" x14ac:dyDescent="0.2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</row>
    <row r="150" spans="1:48" ht="15" customHeight="1" x14ac:dyDescent="0.2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</row>
    <row r="151" spans="1:48" ht="15" customHeight="1" x14ac:dyDescent="0.2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</row>
    <row r="152" spans="1:48" ht="15" customHeight="1" x14ac:dyDescent="0.2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</row>
    <row r="153" spans="1:48" ht="15" customHeight="1" x14ac:dyDescent="0.2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</row>
    <row r="154" spans="1:48" ht="15" customHeight="1" x14ac:dyDescent="0.2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</row>
    <row r="155" spans="1:48" ht="15" customHeight="1" x14ac:dyDescent="0.2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</row>
    <row r="156" spans="1:48" ht="15" customHeight="1" x14ac:dyDescent="0.2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</row>
    <row r="157" spans="1:48" ht="15" customHeight="1" x14ac:dyDescent="0.2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</row>
    <row r="158" spans="1:48" ht="15" customHeight="1" x14ac:dyDescent="0.2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</row>
    <row r="159" spans="1:48" ht="15" customHeight="1" x14ac:dyDescent="0.2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</row>
    <row r="160" spans="1:48" ht="15" customHeight="1" x14ac:dyDescent="0.2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</row>
    <row r="161" spans="1:48" ht="15" customHeight="1" x14ac:dyDescent="0.2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</row>
    <row r="162" spans="1:48" ht="15" customHeight="1" x14ac:dyDescent="0.2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</row>
    <row r="163" spans="1:48" ht="15" customHeight="1" x14ac:dyDescent="0.2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</row>
    <row r="164" spans="1:48" ht="15" customHeight="1" x14ac:dyDescent="0.2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</row>
    <row r="165" spans="1:48" ht="15" customHeight="1" x14ac:dyDescent="0.2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</row>
    <row r="166" spans="1:48" ht="15" customHeight="1" x14ac:dyDescent="0.2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</row>
    <row r="167" spans="1:48" ht="15" customHeight="1" x14ac:dyDescent="0.2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</row>
    <row r="168" spans="1:48" ht="15" customHeight="1" x14ac:dyDescent="0.2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</row>
    <row r="169" spans="1:48" ht="15" customHeight="1" x14ac:dyDescent="0.2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</row>
    <row r="170" spans="1:48" ht="15" customHeight="1" x14ac:dyDescent="0.2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</row>
    <row r="171" spans="1:48" ht="15" customHeight="1" x14ac:dyDescent="0.2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</row>
    <row r="172" spans="1:48" ht="15" customHeight="1" x14ac:dyDescent="0.2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</row>
    <row r="173" spans="1:48" ht="15" customHeight="1" x14ac:dyDescent="0.2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</row>
    <row r="174" spans="1:48" ht="15" customHeight="1" x14ac:dyDescent="0.2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</row>
    <row r="175" spans="1:48" ht="15" customHeight="1" x14ac:dyDescent="0.2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</row>
    <row r="176" spans="1:48" ht="15" customHeight="1" x14ac:dyDescent="0.2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</row>
    <row r="177" spans="1:48" ht="15" customHeight="1" x14ac:dyDescent="0.2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</row>
    <row r="178" spans="1:48" ht="15" customHeight="1" x14ac:dyDescent="0.2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</row>
    <row r="179" spans="1:48" ht="15" customHeight="1" x14ac:dyDescent="0.2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</row>
    <row r="180" spans="1:48" ht="15" customHeight="1" x14ac:dyDescent="0.2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</row>
    <row r="181" spans="1:48" ht="15" customHeight="1" x14ac:dyDescent="0.2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</row>
    <row r="182" spans="1:48" ht="15" customHeight="1" x14ac:dyDescent="0.2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</row>
    <row r="183" spans="1:48" ht="15" customHeight="1" x14ac:dyDescent="0.2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</row>
    <row r="184" spans="1:48" ht="15" customHeight="1" x14ac:dyDescent="0.2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</row>
    <row r="185" spans="1:48" ht="15" customHeight="1" x14ac:dyDescent="0.2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</row>
    <row r="186" spans="1:48" ht="15" customHeight="1" x14ac:dyDescent="0.2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</row>
    <row r="187" spans="1:48" ht="15" customHeight="1" x14ac:dyDescent="0.2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</row>
    <row r="188" spans="1:48" ht="15" customHeight="1" x14ac:dyDescent="0.2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</row>
    <row r="189" spans="1:48" ht="15" customHeight="1" x14ac:dyDescent="0.2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</row>
    <row r="190" spans="1:48" ht="15" customHeight="1" x14ac:dyDescent="0.2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</row>
    <row r="191" spans="1:48" ht="15" customHeight="1" x14ac:dyDescent="0.2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</row>
    <row r="192" spans="1:48" ht="15" customHeight="1" x14ac:dyDescent="0.2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</row>
    <row r="193" spans="1:48" ht="15" customHeight="1" x14ac:dyDescent="0.2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</row>
    <row r="194" spans="1:48" ht="15" customHeight="1" x14ac:dyDescent="0.2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</row>
    <row r="195" spans="1:48" ht="15" customHeight="1" x14ac:dyDescent="0.2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</row>
    <row r="196" spans="1:48" ht="15" customHeight="1" x14ac:dyDescent="0.2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</row>
    <row r="197" spans="1:48" ht="15" customHeight="1" x14ac:dyDescent="0.2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</row>
    <row r="198" spans="1:48" ht="15" customHeight="1" x14ac:dyDescent="0.2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</row>
    <row r="199" spans="1:48" ht="15" customHeight="1" x14ac:dyDescent="0.2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</row>
    <row r="200" spans="1:48" ht="15" customHeight="1" x14ac:dyDescent="0.2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</row>
    <row r="201" spans="1:48" ht="15" customHeight="1" x14ac:dyDescent="0.2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</row>
    <row r="202" spans="1:48" ht="15" customHeight="1" x14ac:dyDescent="0.2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</row>
    <row r="203" spans="1:48" ht="15" customHeight="1" x14ac:dyDescent="0.2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</row>
    <row r="204" spans="1:48" ht="15" customHeight="1" x14ac:dyDescent="0.2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</row>
    <row r="205" spans="1:48" ht="15" customHeight="1" x14ac:dyDescent="0.2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</row>
    <row r="206" spans="1:48" ht="15" customHeight="1" x14ac:dyDescent="0.2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</row>
    <row r="207" spans="1:48" ht="15" customHeight="1" x14ac:dyDescent="0.2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</row>
    <row r="208" spans="1:48" ht="15" customHeight="1" x14ac:dyDescent="0.2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</row>
    <row r="209" spans="1:48" ht="15" customHeight="1" x14ac:dyDescent="0.2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</row>
    <row r="210" spans="1:48" ht="15" customHeight="1" x14ac:dyDescent="0.2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</row>
    <row r="211" spans="1:48" ht="15" customHeight="1" x14ac:dyDescent="0.2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</row>
    <row r="212" spans="1:48" ht="15" customHeight="1" x14ac:dyDescent="0.2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</row>
    <row r="213" spans="1:48" ht="15" customHeight="1" x14ac:dyDescent="0.2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</row>
    <row r="214" spans="1:48" ht="15" customHeight="1" x14ac:dyDescent="0.2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</row>
    <row r="215" spans="1:48" ht="15" customHeight="1" x14ac:dyDescent="0.2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</row>
    <row r="216" spans="1:48" ht="15" customHeight="1" x14ac:dyDescent="0.2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</row>
    <row r="217" spans="1:48" ht="15" customHeight="1" x14ac:dyDescent="0.2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</row>
    <row r="218" spans="1:48" ht="15" customHeight="1" x14ac:dyDescent="0.2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</row>
    <row r="219" spans="1:48" ht="15" customHeight="1" x14ac:dyDescent="0.2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</row>
    <row r="220" spans="1:48" ht="15" customHeight="1" x14ac:dyDescent="0.2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</row>
    <row r="221" spans="1:48" ht="15" customHeight="1" x14ac:dyDescent="0.2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</row>
    <row r="222" spans="1:48" ht="15" customHeight="1" x14ac:dyDescent="0.2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</row>
    <row r="223" spans="1:48" ht="15" customHeight="1" x14ac:dyDescent="0.2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</row>
    <row r="224" spans="1:48" ht="15" customHeight="1" x14ac:dyDescent="0.2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</row>
    <row r="225" spans="1:48" ht="15" customHeight="1" x14ac:dyDescent="0.2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</row>
    <row r="226" spans="1:48" ht="15" customHeight="1" x14ac:dyDescent="0.2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</row>
    <row r="227" spans="1:48" ht="15" customHeight="1" x14ac:dyDescent="0.2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</row>
    <row r="228" spans="1:48" ht="15" customHeight="1" x14ac:dyDescent="0.2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</row>
    <row r="229" spans="1:48" ht="15" customHeight="1" x14ac:dyDescent="0.2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</row>
    <row r="230" spans="1:48" ht="15" customHeight="1" x14ac:dyDescent="0.2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</row>
    <row r="231" spans="1:48" ht="15" customHeight="1" x14ac:dyDescent="0.2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</row>
    <row r="232" spans="1:48" ht="15" customHeight="1" x14ac:dyDescent="0.2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</row>
    <row r="233" spans="1:48" ht="15" customHeight="1" x14ac:dyDescent="0.2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</row>
    <row r="234" spans="1:48" ht="15" customHeight="1" x14ac:dyDescent="0.2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</row>
    <row r="235" spans="1:48" ht="15" customHeight="1" x14ac:dyDescent="0.2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</row>
    <row r="236" spans="1:48" ht="15" customHeight="1" x14ac:dyDescent="0.2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</row>
    <row r="237" spans="1:48" ht="15" customHeight="1" x14ac:dyDescent="0.2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</row>
    <row r="238" spans="1:48" ht="15" customHeight="1" x14ac:dyDescent="0.2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</row>
    <row r="239" spans="1:48" ht="15" customHeight="1" x14ac:dyDescent="0.2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</row>
    <row r="240" spans="1:48" ht="15" customHeight="1" x14ac:dyDescent="0.2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</row>
    <row r="241" spans="1:48" ht="15" customHeight="1" x14ac:dyDescent="0.2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</row>
    <row r="242" spans="1:48" ht="15" customHeight="1" x14ac:dyDescent="0.2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</row>
    <row r="243" spans="1:48" ht="15" customHeight="1" x14ac:dyDescent="0.2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</row>
    <row r="244" spans="1:48" ht="15" customHeight="1" x14ac:dyDescent="0.2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</row>
    <row r="245" spans="1:48" ht="15" customHeight="1" x14ac:dyDescent="0.2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</row>
    <row r="246" spans="1:48" ht="15" customHeight="1" x14ac:dyDescent="0.2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</row>
    <row r="247" spans="1:48" ht="15" customHeight="1" x14ac:dyDescent="0.2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</row>
    <row r="248" spans="1:48" ht="15" customHeight="1" x14ac:dyDescent="0.2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</row>
    <row r="249" spans="1:48" ht="15" customHeight="1" x14ac:dyDescent="0.2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</row>
    <row r="250" spans="1:48" ht="15" customHeight="1" x14ac:dyDescent="0.2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</row>
    <row r="251" spans="1:48" ht="15" customHeight="1" x14ac:dyDescent="0.2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</row>
    <row r="252" spans="1:48" ht="15" customHeight="1" x14ac:dyDescent="0.2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</row>
    <row r="253" spans="1:48" ht="15" customHeight="1" x14ac:dyDescent="0.2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</row>
    <row r="254" spans="1:48" ht="15" customHeight="1" x14ac:dyDescent="0.2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</row>
    <row r="255" spans="1:48" ht="15" customHeight="1" x14ac:dyDescent="0.2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</row>
    <row r="256" spans="1:48" ht="15" customHeight="1" x14ac:dyDescent="0.2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</row>
    <row r="257" spans="1:48" ht="15" customHeight="1" x14ac:dyDescent="0.2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</row>
    <row r="258" spans="1:48" ht="15" customHeight="1" x14ac:dyDescent="0.2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</row>
    <row r="259" spans="1:48" ht="15" customHeight="1" x14ac:dyDescent="0.2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</row>
    <row r="260" spans="1:48" ht="15" customHeight="1" x14ac:dyDescent="0.2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</row>
    <row r="261" spans="1:48" ht="15" customHeight="1" x14ac:dyDescent="0.2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</row>
    <row r="262" spans="1:48" ht="15" customHeight="1" x14ac:dyDescent="0.2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</row>
    <row r="263" spans="1:48" ht="15" customHeight="1" x14ac:dyDescent="0.2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</row>
    <row r="264" spans="1:48" ht="15" customHeight="1" x14ac:dyDescent="0.2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</row>
    <row r="265" spans="1:48" ht="15" customHeight="1" x14ac:dyDescent="0.2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</row>
    <row r="266" spans="1:48" ht="15" customHeight="1" x14ac:dyDescent="0.2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</row>
    <row r="267" spans="1:48" ht="15" customHeight="1" x14ac:dyDescent="0.2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</row>
    <row r="268" spans="1:48" ht="15" customHeight="1" x14ac:dyDescent="0.2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</row>
    <row r="269" spans="1:48" ht="15" customHeight="1" x14ac:dyDescent="0.2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</row>
    <row r="270" spans="1:48" ht="15" customHeight="1" x14ac:dyDescent="0.2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</row>
    <row r="271" spans="1:48" ht="15" customHeight="1" x14ac:dyDescent="0.2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</row>
    <row r="272" spans="1:48" ht="15" customHeight="1" x14ac:dyDescent="0.2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</row>
    <row r="273" spans="1:48" ht="15" customHeight="1" x14ac:dyDescent="0.2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</row>
    <row r="274" spans="1:48" ht="15" customHeight="1" x14ac:dyDescent="0.2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</row>
    <row r="275" spans="1:48" ht="15" customHeight="1" x14ac:dyDescent="0.2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</row>
    <row r="276" spans="1:48" ht="15" customHeight="1" x14ac:dyDescent="0.2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</row>
    <row r="277" spans="1:48" ht="15" customHeight="1" x14ac:dyDescent="0.2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</row>
    <row r="278" spans="1:48" ht="15" customHeight="1" x14ac:dyDescent="0.2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</row>
    <row r="279" spans="1:48" ht="15" customHeight="1" x14ac:dyDescent="0.2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</row>
    <row r="280" spans="1:48" ht="15" customHeight="1" x14ac:dyDescent="0.2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</row>
    <row r="281" spans="1:48" ht="15" customHeight="1" x14ac:dyDescent="0.2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</row>
    <row r="282" spans="1:48" ht="15" customHeight="1" x14ac:dyDescent="0.2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</row>
    <row r="283" spans="1:48" ht="15" customHeight="1" x14ac:dyDescent="0.2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</row>
    <row r="284" spans="1:48" ht="15" customHeight="1" x14ac:dyDescent="0.2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</row>
    <row r="285" spans="1:48" ht="15" customHeight="1" x14ac:dyDescent="0.2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</row>
    <row r="286" spans="1:48" ht="15" customHeight="1" x14ac:dyDescent="0.2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</row>
    <row r="287" spans="1:48" ht="15" customHeight="1" x14ac:dyDescent="0.2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</row>
    <row r="288" spans="1:48" ht="15" customHeight="1" x14ac:dyDescent="0.2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</row>
    <row r="289" spans="1:48" ht="15" customHeight="1" x14ac:dyDescent="0.2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</row>
    <row r="290" spans="1:48" ht="15" customHeight="1" x14ac:dyDescent="0.2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</row>
    <row r="291" spans="1:48" ht="15" customHeight="1" x14ac:dyDescent="0.2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</row>
    <row r="292" spans="1:48" ht="15" customHeight="1" x14ac:dyDescent="0.2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</row>
    <row r="293" spans="1:48" ht="15" customHeight="1" x14ac:dyDescent="0.2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</row>
    <row r="294" spans="1:48" ht="15" customHeight="1" x14ac:dyDescent="0.2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</row>
    <row r="295" spans="1:48" ht="15" customHeight="1" x14ac:dyDescent="0.2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</row>
    <row r="296" spans="1:48" ht="15" customHeight="1" x14ac:dyDescent="0.2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</row>
    <row r="297" spans="1:48" ht="15" customHeight="1" x14ac:dyDescent="0.2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</row>
    <row r="298" spans="1:48" ht="12.75" customHeight="1" x14ac:dyDescent="0.2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</row>
    <row r="299" spans="1:48" ht="12.75" customHeight="1" x14ac:dyDescent="0.2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</row>
    <row r="300" spans="1:48" ht="12.75" customHeight="1" x14ac:dyDescent="0.2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</row>
    <row r="301" spans="1:48" ht="12.75" customHeight="1" x14ac:dyDescent="0.2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</row>
    <row r="302" spans="1:48" ht="12.75" customHeight="1" x14ac:dyDescent="0.2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</row>
    <row r="303" spans="1:48" ht="12.75" customHeight="1" x14ac:dyDescent="0.2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</row>
    <row r="304" spans="1:48" ht="12.75" customHeight="1" x14ac:dyDescent="0.2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</row>
    <row r="305" spans="1:48" ht="12.75" customHeight="1" x14ac:dyDescent="0.2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</row>
    <row r="306" spans="1:48" ht="12.75" customHeight="1" x14ac:dyDescent="0.2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</row>
    <row r="307" spans="1:48" ht="12.75" customHeight="1" x14ac:dyDescent="0.2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</row>
    <row r="308" spans="1:48" ht="12.75" customHeight="1" x14ac:dyDescent="0.2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</row>
    <row r="309" spans="1:48" ht="12.75" customHeight="1" x14ac:dyDescent="0.2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</row>
    <row r="310" spans="1:48" ht="12.75" customHeight="1" x14ac:dyDescent="0.2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</row>
    <row r="311" spans="1:48" ht="12.75" customHeight="1" x14ac:dyDescent="0.2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</row>
    <row r="312" spans="1:48" ht="12.75" customHeight="1" x14ac:dyDescent="0.2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</row>
    <row r="313" spans="1:48" ht="12.75" customHeight="1" x14ac:dyDescent="0.2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</row>
    <row r="314" spans="1:48" ht="12.75" customHeight="1" x14ac:dyDescent="0.2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</row>
    <row r="315" spans="1:48" ht="12.75" customHeight="1" x14ac:dyDescent="0.2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</row>
    <row r="316" spans="1:48" ht="12.75" customHeight="1" x14ac:dyDescent="0.2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</row>
    <row r="317" spans="1:48" ht="12.75" customHeight="1" x14ac:dyDescent="0.2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</row>
    <row r="318" spans="1:48" ht="12.75" customHeight="1" x14ac:dyDescent="0.2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</row>
    <row r="319" spans="1:48" ht="12.75" customHeight="1" x14ac:dyDescent="0.2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</row>
    <row r="320" spans="1:48" ht="12.75" customHeight="1" x14ac:dyDescent="0.2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</row>
    <row r="321" spans="1:48" ht="12.75" customHeight="1" x14ac:dyDescent="0.2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2"/>
      <c r="AJ321" s="62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</row>
    <row r="322" spans="1:48" ht="12.75" customHeight="1" x14ac:dyDescent="0.2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</row>
    <row r="323" spans="1:48" ht="12.75" customHeight="1" x14ac:dyDescent="0.2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</row>
    <row r="324" spans="1:48" ht="12.75" customHeight="1" x14ac:dyDescent="0.2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</row>
    <row r="325" spans="1:48" ht="12.75" customHeight="1" x14ac:dyDescent="0.2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</row>
    <row r="326" spans="1:48" ht="12.75" customHeight="1" x14ac:dyDescent="0.2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</row>
    <row r="327" spans="1:48" ht="12.75" customHeight="1" x14ac:dyDescent="0.2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2"/>
      <c r="AJ327" s="62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</row>
    <row r="328" spans="1:48" ht="12.75" customHeight="1" x14ac:dyDescent="0.2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</row>
    <row r="329" spans="1:48" ht="12.75" customHeight="1" x14ac:dyDescent="0.2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</row>
    <row r="330" spans="1:48" ht="12.75" customHeight="1" x14ac:dyDescent="0.2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</row>
    <row r="331" spans="1:48" ht="12.75" customHeight="1" x14ac:dyDescent="0.2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</row>
    <row r="332" spans="1:48" ht="12.75" customHeight="1" x14ac:dyDescent="0.2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</row>
    <row r="333" spans="1:48" ht="12.75" customHeight="1" x14ac:dyDescent="0.2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</row>
    <row r="334" spans="1:48" ht="12.75" customHeight="1" x14ac:dyDescent="0.2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</row>
    <row r="335" spans="1:48" ht="12.75" customHeight="1" x14ac:dyDescent="0.2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</row>
    <row r="336" spans="1:48" ht="12.75" customHeight="1" x14ac:dyDescent="0.2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</row>
    <row r="337" spans="1:48" ht="12.75" customHeight="1" x14ac:dyDescent="0.2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</row>
    <row r="338" spans="1:48" ht="12.75" customHeight="1" x14ac:dyDescent="0.2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</row>
    <row r="339" spans="1:48" ht="12.75" customHeight="1" x14ac:dyDescent="0.2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</row>
    <row r="340" spans="1:48" ht="12.75" customHeight="1" x14ac:dyDescent="0.2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</row>
    <row r="341" spans="1:48" ht="12.75" customHeight="1" x14ac:dyDescent="0.2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2"/>
      <c r="AJ341" s="62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</row>
    <row r="342" spans="1:48" ht="12.75" customHeight="1" x14ac:dyDescent="0.2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</row>
    <row r="343" spans="1:48" ht="12.75" customHeight="1" x14ac:dyDescent="0.2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2"/>
      <c r="AJ343" s="62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</row>
    <row r="344" spans="1:48" ht="12.75" customHeight="1" x14ac:dyDescent="0.2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</row>
    <row r="345" spans="1:48" ht="12.75" customHeight="1" x14ac:dyDescent="0.2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</row>
    <row r="346" spans="1:48" ht="12.75" customHeight="1" x14ac:dyDescent="0.2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</row>
    <row r="347" spans="1:48" ht="12.75" customHeight="1" x14ac:dyDescent="0.2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</row>
    <row r="348" spans="1:48" ht="12.75" customHeight="1" x14ac:dyDescent="0.2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</row>
    <row r="349" spans="1:48" ht="12.75" customHeight="1" x14ac:dyDescent="0.2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</row>
    <row r="350" spans="1:48" ht="12.75" customHeight="1" x14ac:dyDescent="0.2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</row>
    <row r="351" spans="1:48" ht="12.75" customHeight="1" x14ac:dyDescent="0.2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</row>
    <row r="352" spans="1:48" ht="12.75" customHeight="1" x14ac:dyDescent="0.2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</row>
    <row r="353" spans="1:48" ht="12.75" customHeight="1" x14ac:dyDescent="0.2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</row>
    <row r="354" spans="1:48" ht="12.75" customHeight="1" x14ac:dyDescent="0.2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</row>
    <row r="355" spans="1:48" ht="12.75" customHeight="1" x14ac:dyDescent="0.2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  <c r="AK355" s="62"/>
      <c r="AL355" s="62"/>
      <c r="AM355" s="62"/>
      <c r="AN355" s="62"/>
      <c r="AO355" s="62"/>
      <c r="AP355" s="62"/>
      <c r="AQ355" s="62"/>
      <c r="AR355" s="62"/>
      <c r="AS355" s="62"/>
      <c r="AT355" s="62"/>
      <c r="AU355" s="62"/>
      <c r="AV355" s="62"/>
    </row>
    <row r="356" spans="1:48" ht="12.75" customHeight="1" x14ac:dyDescent="0.2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</row>
    <row r="357" spans="1:48" ht="12.75" customHeight="1" x14ac:dyDescent="0.2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2"/>
      <c r="AJ357" s="62"/>
      <c r="AK357" s="62"/>
      <c r="AL357" s="62"/>
      <c r="AM357" s="62"/>
      <c r="AN357" s="62"/>
      <c r="AO357" s="62"/>
      <c r="AP357" s="62"/>
      <c r="AQ357" s="62"/>
      <c r="AR357" s="62"/>
      <c r="AS357" s="62"/>
      <c r="AT357" s="62"/>
      <c r="AU357" s="62"/>
      <c r="AV357" s="62"/>
    </row>
    <row r="358" spans="1:48" ht="12.75" customHeight="1" x14ac:dyDescent="0.2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</row>
    <row r="359" spans="1:48" ht="12.75" customHeight="1" x14ac:dyDescent="0.2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2"/>
      <c r="AJ359" s="62"/>
      <c r="AK359" s="62"/>
      <c r="AL359" s="62"/>
      <c r="AM359" s="62"/>
      <c r="AN359" s="62"/>
      <c r="AO359" s="62"/>
      <c r="AP359" s="62"/>
      <c r="AQ359" s="62"/>
      <c r="AR359" s="62"/>
      <c r="AS359" s="62"/>
      <c r="AT359" s="62"/>
      <c r="AU359" s="62"/>
      <c r="AV359" s="62"/>
    </row>
    <row r="360" spans="1:48" ht="12.75" customHeight="1" x14ac:dyDescent="0.2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</row>
    <row r="361" spans="1:48" ht="12.75" customHeight="1" x14ac:dyDescent="0.2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</row>
    <row r="362" spans="1:48" ht="12.75" customHeight="1" x14ac:dyDescent="0.2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</row>
    <row r="363" spans="1:48" ht="12.75" customHeight="1" x14ac:dyDescent="0.2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2"/>
      <c r="AJ363" s="62"/>
      <c r="AK363" s="62"/>
      <c r="AL363" s="62"/>
      <c r="AM363" s="62"/>
      <c r="AN363" s="62"/>
      <c r="AO363" s="62"/>
      <c r="AP363" s="62"/>
      <c r="AQ363" s="62"/>
      <c r="AR363" s="62"/>
      <c r="AS363" s="62"/>
      <c r="AT363" s="62"/>
      <c r="AU363" s="62"/>
      <c r="AV363" s="62"/>
    </row>
    <row r="364" spans="1:48" ht="12.75" customHeight="1" x14ac:dyDescent="0.2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</row>
    <row r="365" spans="1:48" ht="12.75" customHeight="1" x14ac:dyDescent="0.2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2"/>
      <c r="AJ365" s="62"/>
      <c r="AK365" s="62"/>
      <c r="AL365" s="62"/>
      <c r="AM365" s="62"/>
      <c r="AN365" s="62"/>
      <c r="AO365" s="62"/>
      <c r="AP365" s="62"/>
      <c r="AQ365" s="62"/>
      <c r="AR365" s="62"/>
      <c r="AS365" s="62"/>
      <c r="AT365" s="62"/>
      <c r="AU365" s="62"/>
      <c r="AV365" s="62"/>
    </row>
    <row r="366" spans="1:48" ht="12.75" customHeight="1" x14ac:dyDescent="0.2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</row>
    <row r="367" spans="1:48" ht="12.75" customHeight="1" x14ac:dyDescent="0.2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2"/>
      <c r="AJ367" s="62"/>
      <c r="AK367" s="62"/>
      <c r="AL367" s="62"/>
      <c r="AM367" s="62"/>
      <c r="AN367" s="62"/>
      <c r="AO367" s="62"/>
      <c r="AP367" s="62"/>
      <c r="AQ367" s="62"/>
      <c r="AR367" s="62"/>
      <c r="AS367" s="62"/>
      <c r="AT367" s="62"/>
      <c r="AU367" s="62"/>
      <c r="AV367" s="62"/>
    </row>
    <row r="368" spans="1:48" ht="12.75" customHeight="1" x14ac:dyDescent="0.2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</row>
    <row r="369" spans="1:48" ht="12.75" customHeight="1" x14ac:dyDescent="0.2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2"/>
      <c r="AJ369" s="62"/>
      <c r="AK369" s="62"/>
      <c r="AL369" s="62"/>
      <c r="AM369" s="62"/>
      <c r="AN369" s="62"/>
      <c r="AO369" s="62"/>
      <c r="AP369" s="62"/>
      <c r="AQ369" s="62"/>
      <c r="AR369" s="62"/>
      <c r="AS369" s="62"/>
      <c r="AT369" s="62"/>
      <c r="AU369" s="62"/>
      <c r="AV369" s="62"/>
    </row>
    <row r="370" spans="1:48" ht="12.75" customHeight="1" x14ac:dyDescent="0.2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</row>
    <row r="371" spans="1:48" ht="12.75" customHeight="1" x14ac:dyDescent="0.2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</row>
    <row r="372" spans="1:48" ht="12.75" customHeight="1" x14ac:dyDescent="0.2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</row>
    <row r="373" spans="1:48" ht="12.75" customHeight="1" x14ac:dyDescent="0.2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62"/>
      <c r="AL373" s="62"/>
      <c r="AM373" s="62"/>
      <c r="AN373" s="62"/>
      <c r="AO373" s="62"/>
      <c r="AP373" s="62"/>
      <c r="AQ373" s="62"/>
      <c r="AR373" s="62"/>
      <c r="AS373" s="62"/>
      <c r="AT373" s="62"/>
      <c r="AU373" s="62"/>
      <c r="AV373" s="62"/>
    </row>
    <row r="374" spans="1:48" ht="12.75" customHeight="1" x14ac:dyDescent="0.2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</row>
    <row r="375" spans="1:48" ht="12.75" customHeight="1" x14ac:dyDescent="0.2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</row>
    <row r="376" spans="1:48" ht="12.75" customHeight="1" x14ac:dyDescent="0.2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</row>
    <row r="377" spans="1:48" ht="12.75" customHeight="1" x14ac:dyDescent="0.2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</row>
    <row r="378" spans="1:48" ht="12.75" customHeight="1" x14ac:dyDescent="0.2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</row>
    <row r="379" spans="1:48" ht="12.75" customHeight="1" x14ac:dyDescent="0.2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2"/>
      <c r="AJ379" s="62"/>
      <c r="AK379" s="62"/>
      <c r="AL379" s="62"/>
      <c r="AM379" s="62"/>
      <c r="AN379" s="62"/>
      <c r="AO379" s="62"/>
      <c r="AP379" s="62"/>
      <c r="AQ379" s="62"/>
      <c r="AR379" s="62"/>
      <c r="AS379" s="62"/>
      <c r="AT379" s="62"/>
      <c r="AU379" s="62"/>
      <c r="AV379" s="62"/>
    </row>
    <row r="380" spans="1:48" ht="12.75" customHeight="1" x14ac:dyDescent="0.2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</row>
    <row r="381" spans="1:48" ht="12.75" customHeight="1" x14ac:dyDescent="0.2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2"/>
      <c r="AJ381" s="62"/>
      <c r="AK381" s="62"/>
      <c r="AL381" s="62"/>
      <c r="AM381" s="62"/>
      <c r="AN381" s="62"/>
      <c r="AO381" s="62"/>
      <c r="AP381" s="62"/>
      <c r="AQ381" s="62"/>
      <c r="AR381" s="62"/>
      <c r="AS381" s="62"/>
      <c r="AT381" s="62"/>
      <c r="AU381" s="62"/>
      <c r="AV381" s="62"/>
    </row>
    <row r="382" spans="1:48" ht="12.75" customHeight="1" x14ac:dyDescent="0.2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</row>
    <row r="383" spans="1:48" ht="12.75" customHeight="1" x14ac:dyDescent="0.2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62"/>
      <c r="AK383" s="62"/>
      <c r="AL383" s="62"/>
      <c r="AM383" s="62"/>
      <c r="AN383" s="62"/>
      <c r="AO383" s="62"/>
      <c r="AP383" s="62"/>
      <c r="AQ383" s="62"/>
      <c r="AR383" s="62"/>
      <c r="AS383" s="62"/>
      <c r="AT383" s="62"/>
      <c r="AU383" s="62"/>
      <c r="AV383" s="62"/>
    </row>
    <row r="384" spans="1:48" ht="12.75" customHeight="1" x14ac:dyDescent="0.2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</row>
    <row r="385" spans="1:48" ht="12.75" customHeight="1" x14ac:dyDescent="0.2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62"/>
      <c r="AK385" s="62"/>
      <c r="AL385" s="62"/>
      <c r="AM385" s="62"/>
      <c r="AN385" s="62"/>
      <c r="AO385" s="62"/>
      <c r="AP385" s="62"/>
      <c r="AQ385" s="62"/>
      <c r="AR385" s="62"/>
      <c r="AS385" s="62"/>
      <c r="AT385" s="62"/>
      <c r="AU385" s="62"/>
      <c r="AV385" s="62"/>
    </row>
    <row r="386" spans="1:48" ht="12.75" customHeight="1" x14ac:dyDescent="0.2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</row>
    <row r="387" spans="1:48" ht="12.75" customHeight="1" x14ac:dyDescent="0.2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62"/>
      <c r="AK387" s="62"/>
      <c r="AL387" s="62"/>
      <c r="AM387" s="62"/>
      <c r="AN387" s="62"/>
      <c r="AO387" s="62"/>
      <c r="AP387" s="62"/>
      <c r="AQ387" s="62"/>
      <c r="AR387" s="62"/>
      <c r="AS387" s="62"/>
      <c r="AT387" s="62"/>
      <c r="AU387" s="62"/>
      <c r="AV387" s="62"/>
    </row>
    <row r="388" spans="1:48" ht="12.75" customHeight="1" x14ac:dyDescent="0.2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</row>
    <row r="389" spans="1:48" ht="12.75" customHeight="1" x14ac:dyDescent="0.2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2"/>
      <c r="AV389" s="62"/>
    </row>
    <row r="390" spans="1:48" ht="12.75" customHeight="1" x14ac:dyDescent="0.2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</row>
    <row r="391" spans="1:48" ht="12.75" customHeight="1" x14ac:dyDescent="0.2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62"/>
      <c r="AK391" s="62"/>
      <c r="AL391" s="62"/>
      <c r="AM391" s="62"/>
      <c r="AN391" s="62"/>
      <c r="AO391" s="62"/>
      <c r="AP391" s="62"/>
      <c r="AQ391" s="62"/>
      <c r="AR391" s="62"/>
      <c r="AS391" s="62"/>
      <c r="AT391" s="62"/>
      <c r="AU391" s="62"/>
      <c r="AV391" s="62"/>
    </row>
    <row r="392" spans="1:48" ht="12.75" customHeight="1" x14ac:dyDescent="0.2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</row>
    <row r="393" spans="1:48" ht="12.75" customHeight="1" x14ac:dyDescent="0.2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2"/>
      <c r="AJ393" s="62"/>
      <c r="AK393" s="62"/>
      <c r="AL393" s="62"/>
      <c r="AM393" s="62"/>
      <c r="AN393" s="62"/>
      <c r="AO393" s="62"/>
      <c r="AP393" s="62"/>
      <c r="AQ393" s="62"/>
      <c r="AR393" s="62"/>
      <c r="AS393" s="62"/>
      <c r="AT393" s="62"/>
      <c r="AU393" s="62"/>
      <c r="AV393" s="62"/>
    </row>
    <row r="394" spans="1:48" ht="12.75" customHeight="1" x14ac:dyDescent="0.2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  <c r="AM394" s="62"/>
      <c r="AN394" s="62"/>
      <c r="AO394" s="62"/>
      <c r="AP394" s="62"/>
      <c r="AQ394" s="62"/>
      <c r="AR394" s="62"/>
      <c r="AS394" s="62"/>
      <c r="AT394" s="62"/>
      <c r="AU394" s="62"/>
      <c r="AV394" s="62"/>
    </row>
    <row r="395" spans="1:48" ht="12.75" customHeight="1" x14ac:dyDescent="0.2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2"/>
      <c r="AJ395" s="62"/>
      <c r="AK395" s="62"/>
      <c r="AL395" s="62"/>
      <c r="AM395" s="62"/>
      <c r="AN395" s="62"/>
      <c r="AO395" s="62"/>
      <c r="AP395" s="62"/>
      <c r="AQ395" s="62"/>
      <c r="AR395" s="62"/>
      <c r="AS395" s="62"/>
      <c r="AT395" s="62"/>
      <c r="AU395" s="62"/>
      <c r="AV395" s="62"/>
    </row>
    <row r="396" spans="1:48" ht="12.75" customHeight="1" x14ac:dyDescent="0.2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  <c r="AM396" s="62"/>
      <c r="AN396" s="62"/>
      <c r="AO396" s="62"/>
      <c r="AP396" s="62"/>
      <c r="AQ396" s="62"/>
      <c r="AR396" s="62"/>
      <c r="AS396" s="62"/>
      <c r="AT396" s="62"/>
      <c r="AU396" s="62"/>
      <c r="AV396" s="62"/>
    </row>
    <row r="397" spans="1:48" ht="12.75" customHeight="1" x14ac:dyDescent="0.2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2"/>
      <c r="AJ397" s="62"/>
      <c r="AK397" s="62"/>
      <c r="AL397" s="62"/>
      <c r="AM397" s="62"/>
      <c r="AN397" s="62"/>
      <c r="AO397" s="62"/>
      <c r="AP397" s="62"/>
      <c r="AQ397" s="62"/>
      <c r="AR397" s="62"/>
      <c r="AS397" s="62"/>
      <c r="AT397" s="62"/>
      <c r="AU397" s="62"/>
      <c r="AV397" s="62"/>
    </row>
    <row r="398" spans="1:48" ht="12.75" customHeight="1" x14ac:dyDescent="0.2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  <c r="AM398" s="62"/>
      <c r="AN398" s="62"/>
      <c r="AO398" s="62"/>
      <c r="AP398" s="62"/>
      <c r="AQ398" s="62"/>
      <c r="AR398" s="62"/>
      <c r="AS398" s="62"/>
      <c r="AT398" s="62"/>
      <c r="AU398" s="62"/>
      <c r="AV398" s="62"/>
    </row>
    <row r="399" spans="1:48" ht="12.75" customHeight="1" x14ac:dyDescent="0.2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  <c r="AK399" s="62"/>
      <c r="AL399" s="62"/>
      <c r="AM399" s="62"/>
      <c r="AN399" s="62"/>
      <c r="AO399" s="62"/>
      <c r="AP399" s="62"/>
      <c r="AQ399" s="62"/>
      <c r="AR399" s="62"/>
      <c r="AS399" s="62"/>
      <c r="AT399" s="62"/>
      <c r="AU399" s="62"/>
      <c r="AV399" s="62"/>
    </row>
    <row r="400" spans="1:48" ht="12.75" customHeight="1" x14ac:dyDescent="0.2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</row>
    <row r="401" spans="1:48" ht="12.75" customHeight="1" x14ac:dyDescent="0.2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2"/>
      <c r="AJ401" s="62"/>
      <c r="AK401" s="62"/>
      <c r="AL401" s="62"/>
      <c r="AM401" s="62"/>
      <c r="AN401" s="62"/>
      <c r="AO401" s="62"/>
      <c r="AP401" s="62"/>
      <c r="AQ401" s="62"/>
      <c r="AR401" s="62"/>
      <c r="AS401" s="62"/>
      <c r="AT401" s="62"/>
      <c r="AU401" s="62"/>
      <c r="AV401" s="62"/>
    </row>
    <row r="402" spans="1:48" ht="12.75" customHeight="1" x14ac:dyDescent="0.2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  <c r="AM402" s="62"/>
      <c r="AN402" s="62"/>
      <c r="AO402" s="62"/>
      <c r="AP402" s="62"/>
      <c r="AQ402" s="62"/>
      <c r="AR402" s="62"/>
      <c r="AS402" s="62"/>
      <c r="AT402" s="62"/>
      <c r="AU402" s="62"/>
      <c r="AV402" s="62"/>
    </row>
    <row r="403" spans="1:48" ht="12.75" customHeight="1" x14ac:dyDescent="0.2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2"/>
      <c r="AJ403" s="62"/>
      <c r="AK403" s="62"/>
      <c r="AL403" s="62"/>
      <c r="AM403" s="62"/>
      <c r="AN403" s="62"/>
      <c r="AO403" s="62"/>
      <c r="AP403" s="62"/>
      <c r="AQ403" s="62"/>
      <c r="AR403" s="62"/>
      <c r="AS403" s="62"/>
      <c r="AT403" s="62"/>
      <c r="AU403" s="62"/>
      <c r="AV403" s="62"/>
    </row>
    <row r="404" spans="1:48" ht="12.75" customHeight="1" x14ac:dyDescent="0.2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  <c r="AM404" s="62"/>
      <c r="AN404" s="62"/>
      <c r="AO404" s="62"/>
      <c r="AP404" s="62"/>
      <c r="AQ404" s="62"/>
      <c r="AR404" s="62"/>
      <c r="AS404" s="62"/>
      <c r="AT404" s="62"/>
      <c r="AU404" s="62"/>
      <c r="AV404" s="62"/>
    </row>
    <row r="405" spans="1:48" ht="12.75" customHeight="1" x14ac:dyDescent="0.2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2"/>
      <c r="AJ405" s="62"/>
      <c r="AK405" s="62"/>
      <c r="AL405" s="62"/>
      <c r="AM405" s="62"/>
      <c r="AN405" s="62"/>
      <c r="AO405" s="62"/>
      <c r="AP405" s="62"/>
      <c r="AQ405" s="62"/>
      <c r="AR405" s="62"/>
      <c r="AS405" s="62"/>
      <c r="AT405" s="62"/>
      <c r="AU405" s="62"/>
      <c r="AV405" s="62"/>
    </row>
    <row r="406" spans="1:48" ht="12.75" customHeight="1" x14ac:dyDescent="0.2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62"/>
      <c r="AJ406" s="62"/>
      <c r="AK406" s="62"/>
      <c r="AL406" s="62"/>
      <c r="AM406" s="62"/>
      <c r="AN406" s="62"/>
      <c r="AO406" s="62"/>
      <c r="AP406" s="62"/>
      <c r="AQ406" s="62"/>
      <c r="AR406" s="62"/>
      <c r="AS406" s="62"/>
      <c r="AT406" s="62"/>
      <c r="AU406" s="62"/>
      <c r="AV406" s="62"/>
    </row>
    <row r="407" spans="1:48" ht="12.75" customHeight="1" x14ac:dyDescent="0.2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2"/>
      <c r="AJ407" s="62"/>
      <c r="AK407" s="62"/>
      <c r="AL407" s="62"/>
      <c r="AM407" s="62"/>
      <c r="AN407" s="62"/>
      <c r="AO407" s="62"/>
      <c r="AP407" s="62"/>
      <c r="AQ407" s="62"/>
      <c r="AR407" s="62"/>
      <c r="AS407" s="62"/>
      <c r="AT407" s="62"/>
      <c r="AU407" s="62"/>
      <c r="AV407" s="62"/>
    </row>
    <row r="408" spans="1:48" ht="12.75" customHeight="1" x14ac:dyDescent="0.2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62"/>
      <c r="AJ408" s="62"/>
      <c r="AK408" s="62"/>
      <c r="AL408" s="62"/>
      <c r="AM408" s="62"/>
      <c r="AN408" s="62"/>
      <c r="AO408" s="62"/>
      <c r="AP408" s="62"/>
      <c r="AQ408" s="62"/>
      <c r="AR408" s="62"/>
      <c r="AS408" s="62"/>
      <c r="AT408" s="62"/>
      <c r="AU408" s="62"/>
      <c r="AV408" s="62"/>
    </row>
    <row r="409" spans="1:48" ht="12.75" customHeight="1" x14ac:dyDescent="0.2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62"/>
      <c r="AK409" s="62"/>
      <c r="AL409" s="62"/>
      <c r="AM409" s="62"/>
      <c r="AN409" s="62"/>
      <c r="AO409" s="62"/>
      <c r="AP409" s="62"/>
      <c r="AQ409" s="62"/>
      <c r="AR409" s="62"/>
      <c r="AS409" s="62"/>
      <c r="AT409" s="62"/>
      <c r="AU409" s="62"/>
      <c r="AV409" s="62"/>
    </row>
    <row r="410" spans="1:48" ht="12.75" customHeight="1" x14ac:dyDescent="0.2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  <c r="AK410" s="62"/>
      <c r="AL410" s="62"/>
      <c r="AM410" s="62"/>
      <c r="AN410" s="62"/>
      <c r="AO410" s="62"/>
      <c r="AP410" s="62"/>
      <c r="AQ410" s="62"/>
      <c r="AR410" s="62"/>
      <c r="AS410" s="62"/>
      <c r="AT410" s="62"/>
      <c r="AU410" s="62"/>
      <c r="AV410" s="62"/>
    </row>
    <row r="411" spans="1:48" ht="12.75" customHeight="1" x14ac:dyDescent="0.2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62"/>
      <c r="AK411" s="62"/>
      <c r="AL411" s="62"/>
      <c r="AM411" s="62"/>
      <c r="AN411" s="62"/>
      <c r="AO411" s="62"/>
      <c r="AP411" s="62"/>
      <c r="AQ411" s="62"/>
      <c r="AR411" s="62"/>
      <c r="AS411" s="62"/>
      <c r="AT411" s="62"/>
      <c r="AU411" s="62"/>
      <c r="AV411" s="62"/>
    </row>
    <row r="412" spans="1:48" ht="12.75" customHeight="1" x14ac:dyDescent="0.2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2"/>
      <c r="AS412" s="62"/>
      <c r="AT412" s="62"/>
      <c r="AU412" s="62"/>
      <c r="AV412" s="62"/>
    </row>
    <row r="413" spans="1:48" ht="12.75" customHeight="1" x14ac:dyDescent="0.2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2"/>
      <c r="AS413" s="62"/>
      <c r="AT413" s="62"/>
      <c r="AU413" s="62"/>
      <c r="AV413" s="62"/>
    </row>
    <row r="414" spans="1:48" ht="12.75" customHeight="1" x14ac:dyDescent="0.2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2"/>
      <c r="AS414" s="62"/>
      <c r="AT414" s="62"/>
      <c r="AU414" s="62"/>
      <c r="AV414" s="62"/>
    </row>
    <row r="415" spans="1:48" ht="12.75" customHeight="1" x14ac:dyDescent="0.2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2"/>
      <c r="AS415" s="62"/>
      <c r="AT415" s="62"/>
      <c r="AU415" s="62"/>
      <c r="AV415" s="62"/>
    </row>
    <row r="416" spans="1:48" ht="12.75" customHeight="1" x14ac:dyDescent="0.2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2"/>
      <c r="AS416" s="62"/>
      <c r="AT416" s="62"/>
      <c r="AU416" s="62"/>
      <c r="AV416" s="62"/>
    </row>
    <row r="417" spans="1:48" ht="12.75" customHeight="1" x14ac:dyDescent="0.2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2"/>
      <c r="AS417" s="62"/>
      <c r="AT417" s="62"/>
      <c r="AU417" s="62"/>
      <c r="AV417" s="62"/>
    </row>
    <row r="418" spans="1:48" ht="12.75" customHeight="1" x14ac:dyDescent="0.2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2"/>
      <c r="AS418" s="62"/>
      <c r="AT418" s="62"/>
      <c r="AU418" s="62"/>
      <c r="AV418" s="62"/>
    </row>
    <row r="419" spans="1:48" ht="12.75" customHeight="1" x14ac:dyDescent="0.2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2"/>
      <c r="AS419" s="62"/>
      <c r="AT419" s="62"/>
      <c r="AU419" s="62"/>
      <c r="AV419" s="62"/>
    </row>
    <row r="420" spans="1:48" ht="12.75" customHeight="1" x14ac:dyDescent="0.2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2"/>
      <c r="AS420" s="62"/>
      <c r="AT420" s="62"/>
      <c r="AU420" s="62"/>
      <c r="AV420" s="62"/>
    </row>
    <row r="421" spans="1:48" ht="12.75" customHeight="1" x14ac:dyDescent="0.2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2"/>
      <c r="AS421" s="62"/>
      <c r="AT421" s="62"/>
      <c r="AU421" s="62"/>
      <c r="AV421" s="62"/>
    </row>
    <row r="422" spans="1:48" ht="12.75" customHeight="1" x14ac:dyDescent="0.2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2"/>
      <c r="AS422" s="62"/>
      <c r="AT422" s="62"/>
      <c r="AU422" s="62"/>
      <c r="AV422" s="62"/>
    </row>
    <row r="423" spans="1:48" ht="12.75" customHeight="1" x14ac:dyDescent="0.2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2"/>
      <c r="AS423" s="62"/>
      <c r="AT423" s="62"/>
      <c r="AU423" s="62"/>
      <c r="AV423" s="62"/>
    </row>
    <row r="424" spans="1:48" ht="12.75" customHeight="1" x14ac:dyDescent="0.2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2"/>
      <c r="AV424" s="62"/>
    </row>
    <row r="425" spans="1:48" ht="12.75" customHeight="1" x14ac:dyDescent="0.2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2"/>
      <c r="AS425" s="62"/>
      <c r="AT425" s="62"/>
      <c r="AU425" s="62"/>
      <c r="AV425" s="62"/>
    </row>
    <row r="426" spans="1:48" ht="12.75" customHeight="1" x14ac:dyDescent="0.2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2"/>
      <c r="AS426" s="62"/>
      <c r="AT426" s="62"/>
      <c r="AU426" s="62"/>
      <c r="AV426" s="62"/>
    </row>
    <row r="427" spans="1:48" ht="12.75" customHeight="1" x14ac:dyDescent="0.2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2"/>
      <c r="AS427" s="62"/>
      <c r="AT427" s="62"/>
      <c r="AU427" s="62"/>
      <c r="AV427" s="62"/>
    </row>
    <row r="428" spans="1:48" ht="12.75" customHeight="1" x14ac:dyDescent="0.2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2"/>
      <c r="AS428" s="62"/>
      <c r="AT428" s="62"/>
      <c r="AU428" s="62"/>
      <c r="AV428" s="62"/>
    </row>
    <row r="429" spans="1:48" ht="12.75" customHeight="1" x14ac:dyDescent="0.2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2"/>
      <c r="AS429" s="62"/>
      <c r="AT429" s="62"/>
      <c r="AU429" s="62"/>
      <c r="AV429" s="62"/>
    </row>
    <row r="430" spans="1:48" ht="12.75" customHeight="1" x14ac:dyDescent="0.2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2"/>
      <c r="AS430" s="62"/>
      <c r="AT430" s="62"/>
      <c r="AU430" s="62"/>
      <c r="AV430" s="62"/>
    </row>
    <row r="431" spans="1:48" ht="12.75" customHeight="1" x14ac:dyDescent="0.2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2"/>
      <c r="AS431" s="62"/>
      <c r="AT431" s="62"/>
      <c r="AU431" s="62"/>
      <c r="AV431" s="62"/>
    </row>
    <row r="432" spans="1:48" ht="12.75" customHeight="1" x14ac:dyDescent="0.2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  <c r="AV432" s="62"/>
    </row>
    <row r="433" spans="1:48" ht="12.75" customHeight="1" x14ac:dyDescent="0.2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2"/>
      <c r="AS433" s="62"/>
      <c r="AT433" s="62"/>
      <c r="AU433" s="62"/>
      <c r="AV433" s="62"/>
    </row>
    <row r="434" spans="1:48" ht="12.75" customHeight="1" x14ac:dyDescent="0.2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  <c r="AV434" s="62"/>
    </row>
    <row r="435" spans="1:48" ht="12.75" customHeight="1" x14ac:dyDescent="0.2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2"/>
      <c r="AS435" s="62"/>
      <c r="AT435" s="62"/>
      <c r="AU435" s="62"/>
      <c r="AV435" s="62"/>
    </row>
    <row r="436" spans="1:48" ht="12.75" customHeight="1" x14ac:dyDescent="0.2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  <c r="AV436" s="62"/>
    </row>
    <row r="437" spans="1:48" ht="12.75" customHeight="1" x14ac:dyDescent="0.2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2"/>
      <c r="AS437" s="62"/>
      <c r="AT437" s="62"/>
      <c r="AU437" s="62"/>
      <c r="AV437" s="62"/>
    </row>
    <row r="438" spans="1:48" ht="12.75" customHeight="1" x14ac:dyDescent="0.2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  <c r="AV438" s="62"/>
    </row>
    <row r="439" spans="1:48" ht="12.75" customHeight="1" x14ac:dyDescent="0.2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2"/>
      <c r="AS439" s="62"/>
      <c r="AT439" s="62"/>
      <c r="AU439" s="62"/>
      <c r="AV439" s="62"/>
    </row>
    <row r="440" spans="1:48" ht="12.75" customHeight="1" x14ac:dyDescent="0.2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  <c r="AV440" s="62"/>
    </row>
    <row r="441" spans="1:48" ht="12.75" customHeight="1" x14ac:dyDescent="0.2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2"/>
      <c r="AS441" s="62"/>
      <c r="AT441" s="62"/>
      <c r="AU441" s="62"/>
      <c r="AV441" s="62"/>
    </row>
    <row r="442" spans="1:48" ht="12.75" customHeight="1" x14ac:dyDescent="0.2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  <c r="AV442" s="62"/>
    </row>
    <row r="443" spans="1:48" ht="12.75" customHeight="1" x14ac:dyDescent="0.2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2"/>
      <c r="AS443" s="62"/>
      <c r="AT443" s="62"/>
      <c r="AU443" s="62"/>
      <c r="AV443" s="62"/>
    </row>
    <row r="444" spans="1:48" ht="12.75" customHeight="1" x14ac:dyDescent="0.2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2"/>
      <c r="AS444" s="62"/>
      <c r="AT444" s="62"/>
      <c r="AU444" s="62"/>
      <c r="AV444" s="62"/>
    </row>
    <row r="445" spans="1:48" ht="12.75" customHeight="1" x14ac:dyDescent="0.2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2"/>
      <c r="AS445" s="62"/>
      <c r="AT445" s="62"/>
      <c r="AU445" s="62"/>
      <c r="AV445" s="62"/>
    </row>
    <row r="446" spans="1:48" ht="12.75" customHeight="1" x14ac:dyDescent="0.2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2"/>
      <c r="AS446" s="62"/>
      <c r="AT446" s="62"/>
      <c r="AU446" s="62"/>
      <c r="AV446" s="62"/>
    </row>
    <row r="447" spans="1:48" ht="12.75" customHeight="1" x14ac:dyDescent="0.2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2"/>
      <c r="AS447" s="62"/>
      <c r="AT447" s="62"/>
      <c r="AU447" s="62"/>
      <c r="AV447" s="62"/>
    </row>
    <row r="448" spans="1:48" ht="12.75" customHeight="1" x14ac:dyDescent="0.2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</row>
    <row r="449" spans="1:48" ht="12.75" customHeight="1" x14ac:dyDescent="0.2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2"/>
      <c r="AS449" s="62"/>
      <c r="AT449" s="62"/>
      <c r="AU449" s="62"/>
      <c r="AV449" s="62"/>
    </row>
    <row r="450" spans="1:48" ht="12.75" customHeight="1" x14ac:dyDescent="0.2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2"/>
      <c r="AS450" s="62"/>
      <c r="AT450" s="62"/>
      <c r="AU450" s="62"/>
      <c r="AV450" s="62"/>
    </row>
    <row r="451" spans="1:48" ht="12.75" customHeight="1" x14ac:dyDescent="0.2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2"/>
      <c r="AS451" s="62"/>
      <c r="AT451" s="62"/>
      <c r="AU451" s="62"/>
      <c r="AV451" s="62"/>
    </row>
    <row r="452" spans="1:48" ht="12.75" customHeight="1" x14ac:dyDescent="0.2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2"/>
      <c r="AS452" s="62"/>
      <c r="AT452" s="62"/>
      <c r="AU452" s="62"/>
      <c r="AV452" s="62"/>
    </row>
    <row r="453" spans="1:48" ht="12.75" customHeight="1" x14ac:dyDescent="0.2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2"/>
      <c r="AS453" s="62"/>
      <c r="AT453" s="62"/>
      <c r="AU453" s="62"/>
      <c r="AV453" s="62"/>
    </row>
    <row r="454" spans="1:48" ht="12.75" customHeight="1" x14ac:dyDescent="0.2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2"/>
      <c r="AS454" s="62"/>
      <c r="AT454" s="62"/>
      <c r="AU454" s="62"/>
      <c r="AV454" s="62"/>
    </row>
    <row r="455" spans="1:48" ht="12.75" customHeight="1" x14ac:dyDescent="0.2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2"/>
      <c r="AS455" s="62"/>
      <c r="AT455" s="62"/>
      <c r="AU455" s="62"/>
      <c r="AV455" s="62"/>
    </row>
    <row r="456" spans="1:48" ht="12.75" customHeight="1" x14ac:dyDescent="0.2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2"/>
      <c r="AS456" s="62"/>
      <c r="AT456" s="62"/>
      <c r="AU456" s="62"/>
      <c r="AV456" s="62"/>
    </row>
    <row r="457" spans="1:48" ht="12.75" customHeight="1" x14ac:dyDescent="0.2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2"/>
      <c r="AS457" s="62"/>
      <c r="AT457" s="62"/>
      <c r="AU457" s="62"/>
      <c r="AV457" s="62"/>
    </row>
    <row r="458" spans="1:48" ht="12.75" customHeight="1" x14ac:dyDescent="0.2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2"/>
      <c r="AS458" s="62"/>
      <c r="AT458" s="62"/>
      <c r="AU458" s="62"/>
      <c r="AV458" s="62"/>
    </row>
    <row r="459" spans="1:48" ht="12.75" customHeight="1" x14ac:dyDescent="0.2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2"/>
      <c r="AV459" s="62"/>
    </row>
    <row r="460" spans="1:48" ht="12.75" customHeight="1" x14ac:dyDescent="0.2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2"/>
      <c r="AS460" s="62"/>
      <c r="AT460" s="62"/>
      <c r="AU460" s="62"/>
      <c r="AV460" s="62"/>
    </row>
    <row r="461" spans="1:48" ht="12.75" customHeight="1" x14ac:dyDescent="0.2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2"/>
      <c r="AS461" s="62"/>
      <c r="AT461" s="62"/>
      <c r="AU461" s="62"/>
      <c r="AV461" s="62"/>
    </row>
    <row r="462" spans="1:48" ht="12.75" customHeight="1" x14ac:dyDescent="0.2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2"/>
      <c r="AS462" s="62"/>
      <c r="AT462" s="62"/>
      <c r="AU462" s="62"/>
      <c r="AV462" s="62"/>
    </row>
    <row r="463" spans="1:48" ht="12.75" customHeight="1" x14ac:dyDescent="0.2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2"/>
      <c r="AS463" s="62"/>
      <c r="AT463" s="62"/>
      <c r="AU463" s="62"/>
      <c r="AV463" s="62"/>
    </row>
    <row r="464" spans="1:48" ht="12.75" customHeight="1" x14ac:dyDescent="0.2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2"/>
      <c r="AS464" s="62"/>
      <c r="AT464" s="62"/>
      <c r="AU464" s="62"/>
      <c r="AV464" s="62"/>
    </row>
    <row r="465" spans="1:48" ht="12.75" customHeight="1" x14ac:dyDescent="0.2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2"/>
      <c r="AS465" s="62"/>
      <c r="AT465" s="62"/>
      <c r="AU465" s="62"/>
      <c r="AV465" s="62"/>
    </row>
    <row r="466" spans="1:48" ht="12.75" customHeight="1" x14ac:dyDescent="0.2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2"/>
      <c r="AS466" s="62"/>
      <c r="AT466" s="62"/>
      <c r="AU466" s="62"/>
      <c r="AV466" s="62"/>
    </row>
    <row r="467" spans="1:48" ht="12.75" customHeight="1" x14ac:dyDescent="0.2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2"/>
      <c r="AS467" s="62"/>
      <c r="AT467" s="62"/>
      <c r="AU467" s="62"/>
      <c r="AV467" s="62"/>
    </row>
    <row r="468" spans="1:48" ht="12.75" customHeight="1" x14ac:dyDescent="0.2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2"/>
      <c r="AS468" s="62"/>
      <c r="AT468" s="62"/>
      <c r="AU468" s="62"/>
      <c r="AV468" s="62"/>
    </row>
    <row r="469" spans="1:48" ht="12.75" customHeight="1" x14ac:dyDescent="0.2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2"/>
      <c r="AS469" s="62"/>
      <c r="AT469" s="62"/>
      <c r="AU469" s="62"/>
      <c r="AV469" s="62"/>
    </row>
    <row r="470" spans="1:48" ht="12.75" customHeight="1" x14ac:dyDescent="0.2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2"/>
      <c r="AS470" s="62"/>
      <c r="AT470" s="62"/>
      <c r="AU470" s="62"/>
      <c r="AV470" s="62"/>
    </row>
    <row r="471" spans="1:48" ht="12.75" customHeight="1" x14ac:dyDescent="0.2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2"/>
      <c r="AS471" s="62"/>
      <c r="AT471" s="62"/>
      <c r="AU471" s="62"/>
      <c r="AV471" s="62"/>
    </row>
    <row r="472" spans="1:48" ht="12.75" customHeight="1" x14ac:dyDescent="0.2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2"/>
      <c r="AS472" s="62"/>
      <c r="AT472" s="62"/>
      <c r="AU472" s="62"/>
      <c r="AV472" s="62"/>
    </row>
    <row r="473" spans="1:48" ht="12.75" customHeight="1" x14ac:dyDescent="0.2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62"/>
      <c r="AK473" s="62"/>
      <c r="AL473" s="62"/>
      <c r="AM473" s="62"/>
      <c r="AN473" s="62"/>
      <c r="AO473" s="62"/>
      <c r="AP473" s="62"/>
      <c r="AQ473" s="62"/>
      <c r="AR473" s="62"/>
      <c r="AS473" s="62"/>
      <c r="AT473" s="62"/>
      <c r="AU473" s="62"/>
      <c r="AV473" s="62"/>
    </row>
    <row r="474" spans="1:48" ht="12.75" customHeight="1" x14ac:dyDescent="0.2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62"/>
      <c r="AK474" s="62"/>
      <c r="AL474" s="62"/>
      <c r="AM474" s="62"/>
      <c r="AN474" s="62"/>
      <c r="AO474" s="62"/>
      <c r="AP474" s="62"/>
      <c r="AQ474" s="62"/>
      <c r="AR474" s="62"/>
      <c r="AS474" s="62"/>
      <c r="AT474" s="62"/>
      <c r="AU474" s="62"/>
      <c r="AV474" s="62"/>
    </row>
    <row r="475" spans="1:48" ht="12.75" customHeight="1" x14ac:dyDescent="0.2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62"/>
      <c r="AK475" s="62"/>
      <c r="AL475" s="62"/>
      <c r="AM475" s="62"/>
      <c r="AN475" s="62"/>
      <c r="AO475" s="62"/>
      <c r="AP475" s="62"/>
      <c r="AQ475" s="62"/>
      <c r="AR475" s="62"/>
      <c r="AS475" s="62"/>
      <c r="AT475" s="62"/>
      <c r="AU475" s="62"/>
      <c r="AV475" s="62"/>
    </row>
    <row r="476" spans="1:48" ht="12.75" customHeight="1" x14ac:dyDescent="0.2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  <c r="AK476" s="62"/>
      <c r="AL476" s="62"/>
      <c r="AM476" s="62"/>
      <c r="AN476" s="62"/>
      <c r="AO476" s="62"/>
      <c r="AP476" s="62"/>
      <c r="AQ476" s="62"/>
      <c r="AR476" s="62"/>
      <c r="AS476" s="62"/>
      <c r="AT476" s="62"/>
      <c r="AU476" s="62"/>
      <c r="AV476" s="62"/>
    </row>
    <row r="477" spans="1:48" ht="12.75" customHeight="1" x14ac:dyDescent="0.2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62"/>
      <c r="AK477" s="62"/>
      <c r="AL477" s="62"/>
      <c r="AM477" s="62"/>
      <c r="AN477" s="62"/>
      <c r="AO477" s="62"/>
      <c r="AP477" s="62"/>
      <c r="AQ477" s="62"/>
      <c r="AR477" s="62"/>
      <c r="AS477" s="62"/>
      <c r="AT477" s="62"/>
      <c r="AU477" s="62"/>
      <c r="AV477" s="62"/>
    </row>
    <row r="478" spans="1:48" ht="12.75" customHeight="1" x14ac:dyDescent="0.2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62"/>
      <c r="AK478" s="62"/>
      <c r="AL478" s="62"/>
      <c r="AM478" s="62"/>
      <c r="AN478" s="62"/>
      <c r="AO478" s="62"/>
      <c r="AP478" s="62"/>
      <c r="AQ478" s="62"/>
      <c r="AR478" s="62"/>
      <c r="AS478" s="62"/>
      <c r="AT478" s="62"/>
      <c r="AU478" s="62"/>
      <c r="AV478" s="62"/>
    </row>
    <row r="479" spans="1:48" ht="12.75" customHeight="1" x14ac:dyDescent="0.2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62"/>
      <c r="AK479" s="62"/>
      <c r="AL479" s="62"/>
      <c r="AM479" s="62"/>
      <c r="AN479" s="62"/>
      <c r="AO479" s="62"/>
      <c r="AP479" s="62"/>
      <c r="AQ479" s="62"/>
      <c r="AR479" s="62"/>
      <c r="AS479" s="62"/>
      <c r="AT479" s="62"/>
      <c r="AU479" s="62"/>
      <c r="AV479" s="62"/>
    </row>
    <row r="480" spans="1:48" ht="12.75" customHeight="1" x14ac:dyDescent="0.2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62"/>
      <c r="AK480" s="62"/>
      <c r="AL480" s="62"/>
      <c r="AM480" s="62"/>
      <c r="AN480" s="62"/>
      <c r="AO480" s="62"/>
      <c r="AP480" s="62"/>
      <c r="AQ480" s="62"/>
      <c r="AR480" s="62"/>
      <c r="AS480" s="62"/>
      <c r="AT480" s="62"/>
      <c r="AU480" s="62"/>
      <c r="AV480" s="62"/>
    </row>
    <row r="481" spans="1:48" ht="12.75" customHeight="1" x14ac:dyDescent="0.2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62"/>
      <c r="AK481" s="62"/>
      <c r="AL481" s="62"/>
      <c r="AM481" s="62"/>
      <c r="AN481" s="62"/>
      <c r="AO481" s="62"/>
      <c r="AP481" s="62"/>
      <c r="AQ481" s="62"/>
      <c r="AR481" s="62"/>
      <c r="AS481" s="62"/>
      <c r="AT481" s="62"/>
      <c r="AU481" s="62"/>
      <c r="AV481" s="62"/>
    </row>
    <row r="482" spans="1:48" ht="12.75" customHeight="1" x14ac:dyDescent="0.2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62"/>
      <c r="AJ482" s="62"/>
      <c r="AK482" s="62"/>
      <c r="AL482" s="62"/>
      <c r="AM482" s="62"/>
      <c r="AN482" s="62"/>
      <c r="AO482" s="62"/>
      <c r="AP482" s="62"/>
      <c r="AQ482" s="62"/>
      <c r="AR482" s="62"/>
      <c r="AS482" s="62"/>
      <c r="AT482" s="62"/>
      <c r="AU482" s="62"/>
      <c r="AV482" s="62"/>
    </row>
    <row r="483" spans="1:48" ht="12.75" customHeight="1" x14ac:dyDescent="0.2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2"/>
      <c r="AJ483" s="62"/>
      <c r="AK483" s="62"/>
      <c r="AL483" s="62"/>
      <c r="AM483" s="62"/>
      <c r="AN483" s="62"/>
      <c r="AO483" s="62"/>
      <c r="AP483" s="62"/>
      <c r="AQ483" s="62"/>
      <c r="AR483" s="62"/>
      <c r="AS483" s="62"/>
      <c r="AT483" s="62"/>
      <c r="AU483" s="62"/>
      <c r="AV483" s="62"/>
    </row>
    <row r="484" spans="1:48" ht="12.75" customHeight="1" x14ac:dyDescent="0.2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</row>
    <row r="485" spans="1:48" ht="12.75" customHeight="1" x14ac:dyDescent="0.2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2"/>
      <c r="AJ485" s="62"/>
      <c r="AK485" s="62"/>
      <c r="AL485" s="62"/>
      <c r="AM485" s="62"/>
      <c r="AN485" s="62"/>
      <c r="AO485" s="62"/>
      <c r="AP485" s="62"/>
      <c r="AQ485" s="62"/>
      <c r="AR485" s="62"/>
      <c r="AS485" s="62"/>
      <c r="AT485" s="62"/>
      <c r="AU485" s="62"/>
      <c r="AV485" s="62"/>
    </row>
    <row r="486" spans="1:48" ht="12.75" customHeight="1" x14ac:dyDescent="0.2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</row>
    <row r="487" spans="1:48" ht="12.75" customHeight="1" x14ac:dyDescent="0.2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2"/>
      <c r="AJ487" s="62"/>
      <c r="AK487" s="62"/>
      <c r="AL487" s="62"/>
      <c r="AM487" s="62"/>
      <c r="AN487" s="62"/>
      <c r="AO487" s="62"/>
      <c r="AP487" s="62"/>
      <c r="AQ487" s="62"/>
      <c r="AR487" s="62"/>
      <c r="AS487" s="62"/>
      <c r="AT487" s="62"/>
      <c r="AU487" s="62"/>
      <c r="AV487" s="62"/>
    </row>
    <row r="488" spans="1:48" ht="12.75" customHeight="1" x14ac:dyDescent="0.2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62"/>
      <c r="AJ488" s="62"/>
      <c r="AK488" s="62"/>
      <c r="AL488" s="62"/>
      <c r="AM488" s="62"/>
      <c r="AN488" s="62"/>
      <c r="AO488" s="62"/>
      <c r="AP488" s="62"/>
      <c r="AQ488" s="62"/>
      <c r="AR488" s="62"/>
      <c r="AS488" s="62"/>
      <c r="AT488" s="62"/>
      <c r="AU488" s="62"/>
      <c r="AV488" s="62"/>
    </row>
    <row r="489" spans="1:48" ht="12.75" customHeight="1" x14ac:dyDescent="0.2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2"/>
      <c r="AJ489" s="62"/>
      <c r="AK489" s="62"/>
      <c r="AL489" s="62"/>
      <c r="AM489" s="62"/>
      <c r="AN489" s="62"/>
      <c r="AO489" s="62"/>
      <c r="AP489" s="62"/>
      <c r="AQ489" s="62"/>
      <c r="AR489" s="62"/>
      <c r="AS489" s="62"/>
      <c r="AT489" s="62"/>
      <c r="AU489" s="62"/>
      <c r="AV489" s="62"/>
    </row>
    <row r="490" spans="1:48" ht="12.75" customHeight="1" x14ac:dyDescent="0.2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62"/>
      <c r="AJ490" s="62"/>
      <c r="AK490" s="62"/>
      <c r="AL490" s="62"/>
      <c r="AM490" s="62"/>
      <c r="AN490" s="62"/>
      <c r="AO490" s="62"/>
      <c r="AP490" s="62"/>
      <c r="AQ490" s="62"/>
      <c r="AR490" s="62"/>
      <c r="AS490" s="62"/>
      <c r="AT490" s="62"/>
      <c r="AU490" s="62"/>
      <c r="AV490" s="62"/>
    </row>
    <row r="491" spans="1:48" ht="12.75" customHeight="1" x14ac:dyDescent="0.2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2"/>
      <c r="AJ491" s="62"/>
      <c r="AK491" s="62"/>
      <c r="AL491" s="62"/>
      <c r="AM491" s="62"/>
      <c r="AN491" s="62"/>
      <c r="AO491" s="62"/>
      <c r="AP491" s="62"/>
      <c r="AQ491" s="62"/>
      <c r="AR491" s="62"/>
      <c r="AS491" s="62"/>
      <c r="AT491" s="62"/>
      <c r="AU491" s="62"/>
      <c r="AV491" s="62"/>
    </row>
    <row r="492" spans="1:48" ht="12.75" customHeight="1" x14ac:dyDescent="0.2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62"/>
      <c r="AJ492" s="62"/>
      <c r="AK492" s="62"/>
      <c r="AL492" s="62"/>
      <c r="AM492" s="62"/>
      <c r="AN492" s="62"/>
      <c r="AO492" s="62"/>
      <c r="AP492" s="62"/>
      <c r="AQ492" s="62"/>
      <c r="AR492" s="62"/>
      <c r="AS492" s="62"/>
      <c r="AT492" s="62"/>
      <c r="AU492" s="62"/>
      <c r="AV492" s="62"/>
    </row>
    <row r="493" spans="1:48" ht="12.75" customHeight="1" x14ac:dyDescent="0.2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2"/>
      <c r="AJ493" s="62"/>
      <c r="AK493" s="62"/>
      <c r="AL493" s="62"/>
      <c r="AM493" s="62"/>
      <c r="AN493" s="62"/>
      <c r="AO493" s="62"/>
      <c r="AP493" s="62"/>
      <c r="AQ493" s="62"/>
      <c r="AR493" s="62"/>
      <c r="AS493" s="62"/>
      <c r="AT493" s="62"/>
      <c r="AU493" s="62"/>
      <c r="AV493" s="62"/>
    </row>
    <row r="494" spans="1:48" ht="12.75" customHeight="1" x14ac:dyDescent="0.2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62"/>
      <c r="AJ494" s="62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2"/>
      <c r="AV494" s="62"/>
    </row>
    <row r="495" spans="1:48" ht="12.75" customHeight="1" x14ac:dyDescent="0.2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2"/>
      <c r="AJ495" s="62"/>
      <c r="AK495" s="62"/>
      <c r="AL495" s="62"/>
      <c r="AM495" s="62"/>
      <c r="AN495" s="62"/>
      <c r="AO495" s="62"/>
      <c r="AP495" s="62"/>
      <c r="AQ495" s="62"/>
      <c r="AR495" s="62"/>
      <c r="AS495" s="62"/>
      <c r="AT495" s="62"/>
      <c r="AU495" s="62"/>
      <c r="AV495" s="62"/>
    </row>
    <row r="496" spans="1:48" ht="12.75" customHeight="1" x14ac:dyDescent="0.2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62"/>
      <c r="AJ496" s="62"/>
      <c r="AK496" s="62"/>
      <c r="AL496" s="62"/>
      <c r="AM496" s="62"/>
      <c r="AN496" s="62"/>
      <c r="AO496" s="62"/>
      <c r="AP496" s="62"/>
      <c r="AQ496" s="62"/>
      <c r="AR496" s="62"/>
      <c r="AS496" s="62"/>
      <c r="AT496" s="62"/>
      <c r="AU496" s="62"/>
      <c r="AV496" s="62"/>
    </row>
    <row r="497" spans="1:48" ht="12.75" customHeight="1" x14ac:dyDescent="0.2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2"/>
      <c r="AJ497" s="62"/>
      <c r="AK497" s="62"/>
      <c r="AL497" s="62"/>
      <c r="AM497" s="62"/>
      <c r="AN497" s="62"/>
      <c r="AO497" s="62"/>
      <c r="AP497" s="62"/>
      <c r="AQ497" s="62"/>
      <c r="AR497" s="62"/>
      <c r="AS497" s="62"/>
      <c r="AT497" s="62"/>
      <c r="AU497" s="62"/>
      <c r="AV497" s="62"/>
    </row>
    <row r="498" spans="1:48" ht="12.75" customHeight="1" x14ac:dyDescent="0.2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  <c r="AK498" s="62"/>
      <c r="AL498" s="62"/>
      <c r="AM498" s="62"/>
      <c r="AN498" s="62"/>
      <c r="AO498" s="62"/>
      <c r="AP498" s="62"/>
      <c r="AQ498" s="62"/>
      <c r="AR498" s="62"/>
      <c r="AS498" s="62"/>
      <c r="AT498" s="62"/>
      <c r="AU498" s="62"/>
      <c r="AV498" s="62"/>
    </row>
    <row r="499" spans="1:48" ht="12.75" customHeight="1" x14ac:dyDescent="0.2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2"/>
      <c r="AJ499" s="62"/>
      <c r="AK499" s="62"/>
      <c r="AL499" s="62"/>
      <c r="AM499" s="62"/>
      <c r="AN499" s="62"/>
      <c r="AO499" s="62"/>
      <c r="AP499" s="62"/>
      <c r="AQ499" s="62"/>
      <c r="AR499" s="62"/>
      <c r="AS499" s="62"/>
      <c r="AT499" s="62"/>
      <c r="AU499" s="62"/>
      <c r="AV499" s="62"/>
    </row>
    <row r="500" spans="1:48" ht="12.75" customHeight="1" x14ac:dyDescent="0.2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62"/>
      <c r="AJ500" s="62"/>
      <c r="AK500" s="62"/>
      <c r="AL500" s="62"/>
      <c r="AM500" s="62"/>
      <c r="AN500" s="62"/>
      <c r="AO500" s="62"/>
      <c r="AP500" s="62"/>
      <c r="AQ500" s="62"/>
      <c r="AR500" s="62"/>
      <c r="AS500" s="62"/>
      <c r="AT500" s="62"/>
      <c r="AU500" s="62"/>
      <c r="AV500" s="62"/>
    </row>
    <row r="501" spans="1:48" ht="12.75" customHeight="1" x14ac:dyDescent="0.2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2"/>
      <c r="AJ501" s="62"/>
      <c r="AK501" s="62"/>
      <c r="AL501" s="62"/>
      <c r="AM501" s="62"/>
      <c r="AN501" s="62"/>
      <c r="AO501" s="62"/>
      <c r="AP501" s="62"/>
      <c r="AQ501" s="62"/>
      <c r="AR501" s="62"/>
      <c r="AS501" s="62"/>
      <c r="AT501" s="62"/>
      <c r="AU501" s="62"/>
      <c r="AV501" s="62"/>
    </row>
    <row r="502" spans="1:48" ht="12.75" customHeight="1" x14ac:dyDescent="0.2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62"/>
      <c r="AJ502" s="62"/>
      <c r="AK502" s="62"/>
      <c r="AL502" s="62"/>
      <c r="AM502" s="62"/>
      <c r="AN502" s="62"/>
      <c r="AO502" s="62"/>
      <c r="AP502" s="62"/>
      <c r="AQ502" s="62"/>
      <c r="AR502" s="62"/>
      <c r="AS502" s="62"/>
      <c r="AT502" s="62"/>
      <c r="AU502" s="62"/>
      <c r="AV502" s="62"/>
    </row>
    <row r="503" spans="1:48" ht="12.75" customHeight="1" x14ac:dyDescent="0.2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2"/>
      <c r="AJ503" s="62"/>
      <c r="AK503" s="62"/>
      <c r="AL503" s="62"/>
      <c r="AM503" s="62"/>
      <c r="AN503" s="62"/>
      <c r="AO503" s="62"/>
      <c r="AP503" s="62"/>
      <c r="AQ503" s="62"/>
      <c r="AR503" s="62"/>
      <c r="AS503" s="62"/>
      <c r="AT503" s="62"/>
      <c r="AU503" s="62"/>
      <c r="AV503" s="62"/>
    </row>
    <row r="504" spans="1:48" ht="12.75" customHeight="1" x14ac:dyDescent="0.2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</row>
    <row r="505" spans="1:48" ht="12.75" customHeight="1" x14ac:dyDescent="0.2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2"/>
      <c r="AJ505" s="62"/>
      <c r="AK505" s="62"/>
      <c r="AL505" s="62"/>
      <c r="AM505" s="62"/>
      <c r="AN505" s="62"/>
      <c r="AO505" s="62"/>
      <c r="AP505" s="62"/>
      <c r="AQ505" s="62"/>
      <c r="AR505" s="62"/>
      <c r="AS505" s="62"/>
      <c r="AT505" s="62"/>
      <c r="AU505" s="62"/>
      <c r="AV505" s="62"/>
    </row>
    <row r="506" spans="1:48" ht="12.75" customHeight="1" x14ac:dyDescent="0.2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62"/>
      <c r="AJ506" s="62"/>
      <c r="AK506" s="62"/>
      <c r="AL506" s="62"/>
      <c r="AM506" s="62"/>
      <c r="AN506" s="62"/>
      <c r="AO506" s="62"/>
      <c r="AP506" s="62"/>
      <c r="AQ506" s="62"/>
      <c r="AR506" s="62"/>
      <c r="AS506" s="62"/>
      <c r="AT506" s="62"/>
      <c r="AU506" s="62"/>
      <c r="AV506" s="62"/>
    </row>
    <row r="507" spans="1:48" ht="12.75" customHeight="1" x14ac:dyDescent="0.2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2"/>
      <c r="AJ507" s="62"/>
      <c r="AK507" s="62"/>
      <c r="AL507" s="62"/>
      <c r="AM507" s="62"/>
      <c r="AN507" s="62"/>
      <c r="AO507" s="62"/>
      <c r="AP507" s="62"/>
      <c r="AQ507" s="62"/>
      <c r="AR507" s="62"/>
      <c r="AS507" s="62"/>
      <c r="AT507" s="62"/>
      <c r="AU507" s="62"/>
      <c r="AV507" s="62"/>
    </row>
    <row r="508" spans="1:48" ht="12.75" customHeight="1" x14ac:dyDescent="0.2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  <c r="AA508" s="62"/>
      <c r="AB508" s="62"/>
      <c r="AC508" s="62"/>
      <c r="AD508" s="62"/>
      <c r="AE508" s="62"/>
      <c r="AF508" s="62"/>
      <c r="AG508" s="62"/>
      <c r="AH508" s="62"/>
      <c r="AI508" s="62"/>
      <c r="AJ508" s="62"/>
      <c r="AK508" s="62"/>
      <c r="AL508" s="62"/>
      <c r="AM508" s="62"/>
      <c r="AN508" s="62"/>
      <c r="AO508" s="62"/>
      <c r="AP508" s="62"/>
      <c r="AQ508" s="62"/>
      <c r="AR508" s="62"/>
      <c r="AS508" s="62"/>
      <c r="AT508" s="62"/>
      <c r="AU508" s="62"/>
      <c r="AV508" s="62"/>
    </row>
    <row r="509" spans="1:48" ht="12.75" customHeight="1" x14ac:dyDescent="0.2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2"/>
      <c r="AJ509" s="62"/>
      <c r="AK509" s="62"/>
      <c r="AL509" s="62"/>
      <c r="AM509" s="62"/>
      <c r="AN509" s="62"/>
      <c r="AO509" s="62"/>
      <c r="AP509" s="62"/>
      <c r="AQ509" s="62"/>
      <c r="AR509" s="62"/>
      <c r="AS509" s="62"/>
      <c r="AT509" s="62"/>
      <c r="AU509" s="62"/>
      <c r="AV509" s="62"/>
    </row>
    <row r="510" spans="1:48" ht="12.75" customHeight="1" x14ac:dyDescent="0.2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  <c r="AA510" s="62"/>
      <c r="AB510" s="62"/>
      <c r="AC510" s="62"/>
      <c r="AD510" s="62"/>
      <c r="AE510" s="62"/>
      <c r="AF510" s="62"/>
      <c r="AG510" s="62"/>
      <c r="AH510" s="62"/>
      <c r="AI510" s="62"/>
      <c r="AJ510" s="62"/>
      <c r="AK510" s="62"/>
      <c r="AL510" s="62"/>
      <c r="AM510" s="62"/>
      <c r="AN510" s="62"/>
      <c r="AO510" s="62"/>
      <c r="AP510" s="62"/>
      <c r="AQ510" s="62"/>
      <c r="AR510" s="62"/>
      <c r="AS510" s="62"/>
      <c r="AT510" s="62"/>
      <c r="AU510" s="62"/>
      <c r="AV510" s="62"/>
    </row>
    <row r="511" spans="1:48" ht="12.75" customHeight="1" x14ac:dyDescent="0.2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2"/>
      <c r="AJ511" s="62"/>
      <c r="AK511" s="62"/>
      <c r="AL511" s="62"/>
      <c r="AM511" s="62"/>
      <c r="AN511" s="62"/>
      <c r="AO511" s="62"/>
      <c r="AP511" s="62"/>
      <c r="AQ511" s="62"/>
      <c r="AR511" s="62"/>
      <c r="AS511" s="62"/>
      <c r="AT511" s="62"/>
      <c r="AU511" s="62"/>
      <c r="AV511" s="62"/>
    </row>
    <row r="512" spans="1:48" ht="12.75" customHeight="1" x14ac:dyDescent="0.2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  <c r="AA512" s="62"/>
      <c r="AB512" s="62"/>
      <c r="AC512" s="62"/>
      <c r="AD512" s="62"/>
      <c r="AE512" s="62"/>
      <c r="AF512" s="62"/>
      <c r="AG512" s="62"/>
      <c r="AH512" s="62"/>
      <c r="AI512" s="62"/>
      <c r="AJ512" s="62"/>
      <c r="AK512" s="62"/>
      <c r="AL512" s="62"/>
      <c r="AM512" s="62"/>
      <c r="AN512" s="62"/>
      <c r="AO512" s="62"/>
      <c r="AP512" s="62"/>
      <c r="AQ512" s="62"/>
      <c r="AR512" s="62"/>
      <c r="AS512" s="62"/>
      <c r="AT512" s="62"/>
      <c r="AU512" s="62"/>
      <c r="AV512" s="62"/>
    </row>
    <row r="513" spans="1:48" ht="12.75" customHeight="1" x14ac:dyDescent="0.2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2"/>
      <c r="AJ513" s="62"/>
      <c r="AK513" s="62"/>
      <c r="AL513" s="62"/>
      <c r="AM513" s="62"/>
      <c r="AN513" s="62"/>
      <c r="AO513" s="62"/>
      <c r="AP513" s="62"/>
      <c r="AQ513" s="62"/>
      <c r="AR513" s="62"/>
      <c r="AS513" s="62"/>
      <c r="AT513" s="62"/>
      <c r="AU513" s="62"/>
      <c r="AV513" s="62"/>
    </row>
    <row r="514" spans="1:48" ht="12.75" customHeight="1" x14ac:dyDescent="0.2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  <c r="AA514" s="62"/>
      <c r="AB514" s="62"/>
      <c r="AC514" s="62"/>
      <c r="AD514" s="62"/>
      <c r="AE514" s="62"/>
      <c r="AF514" s="62"/>
      <c r="AG514" s="62"/>
      <c r="AH514" s="62"/>
      <c r="AI514" s="62"/>
      <c r="AJ514" s="62"/>
      <c r="AK514" s="62"/>
      <c r="AL514" s="62"/>
      <c r="AM514" s="62"/>
      <c r="AN514" s="62"/>
      <c r="AO514" s="62"/>
      <c r="AP514" s="62"/>
      <c r="AQ514" s="62"/>
      <c r="AR514" s="62"/>
      <c r="AS514" s="62"/>
      <c r="AT514" s="62"/>
      <c r="AU514" s="62"/>
      <c r="AV514" s="62"/>
    </row>
    <row r="515" spans="1:48" ht="12.75" customHeight="1" x14ac:dyDescent="0.2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2"/>
      <c r="AJ515" s="62"/>
      <c r="AK515" s="62"/>
      <c r="AL515" s="62"/>
      <c r="AM515" s="62"/>
      <c r="AN515" s="62"/>
      <c r="AO515" s="62"/>
      <c r="AP515" s="62"/>
      <c r="AQ515" s="62"/>
      <c r="AR515" s="62"/>
      <c r="AS515" s="62"/>
      <c r="AT515" s="62"/>
      <c r="AU515" s="62"/>
      <c r="AV515" s="62"/>
    </row>
    <row r="516" spans="1:48" ht="12.75" customHeight="1" x14ac:dyDescent="0.2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  <c r="AA516" s="62"/>
      <c r="AB516" s="62"/>
      <c r="AC516" s="62"/>
      <c r="AD516" s="62"/>
      <c r="AE516" s="62"/>
      <c r="AF516" s="62"/>
      <c r="AG516" s="62"/>
      <c r="AH516" s="62"/>
      <c r="AI516" s="62"/>
      <c r="AJ516" s="62"/>
      <c r="AK516" s="62"/>
      <c r="AL516" s="62"/>
      <c r="AM516" s="62"/>
      <c r="AN516" s="62"/>
      <c r="AO516" s="62"/>
      <c r="AP516" s="62"/>
      <c r="AQ516" s="62"/>
      <c r="AR516" s="62"/>
      <c r="AS516" s="62"/>
      <c r="AT516" s="62"/>
      <c r="AU516" s="62"/>
      <c r="AV516" s="62"/>
    </row>
    <row r="517" spans="1:48" ht="12.75" customHeight="1" x14ac:dyDescent="0.2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2"/>
      <c r="AJ517" s="62"/>
      <c r="AK517" s="62"/>
      <c r="AL517" s="62"/>
      <c r="AM517" s="62"/>
      <c r="AN517" s="62"/>
      <c r="AO517" s="62"/>
      <c r="AP517" s="62"/>
      <c r="AQ517" s="62"/>
      <c r="AR517" s="62"/>
      <c r="AS517" s="62"/>
      <c r="AT517" s="62"/>
      <c r="AU517" s="62"/>
      <c r="AV517" s="62"/>
    </row>
    <row r="518" spans="1:48" ht="12.75" customHeight="1" x14ac:dyDescent="0.2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  <c r="AA518" s="62"/>
      <c r="AB518" s="62"/>
      <c r="AC518" s="62"/>
      <c r="AD518" s="62"/>
      <c r="AE518" s="62"/>
      <c r="AF518" s="62"/>
      <c r="AG518" s="62"/>
      <c r="AH518" s="62"/>
      <c r="AI518" s="62"/>
      <c r="AJ518" s="62"/>
      <c r="AK518" s="62"/>
      <c r="AL518" s="62"/>
      <c r="AM518" s="62"/>
      <c r="AN518" s="62"/>
      <c r="AO518" s="62"/>
      <c r="AP518" s="62"/>
      <c r="AQ518" s="62"/>
      <c r="AR518" s="62"/>
      <c r="AS518" s="62"/>
      <c r="AT518" s="62"/>
      <c r="AU518" s="62"/>
      <c r="AV518" s="62"/>
    </row>
    <row r="519" spans="1:48" ht="12.75" customHeight="1" x14ac:dyDescent="0.2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2"/>
      <c r="AJ519" s="62"/>
      <c r="AK519" s="62"/>
      <c r="AL519" s="62"/>
      <c r="AM519" s="62"/>
      <c r="AN519" s="62"/>
      <c r="AO519" s="62"/>
      <c r="AP519" s="62"/>
      <c r="AQ519" s="62"/>
      <c r="AR519" s="62"/>
      <c r="AS519" s="62"/>
      <c r="AT519" s="62"/>
      <c r="AU519" s="62"/>
      <c r="AV519" s="62"/>
    </row>
    <row r="520" spans="1:48" ht="12.75" customHeight="1" x14ac:dyDescent="0.2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62"/>
      <c r="AJ520" s="62"/>
      <c r="AK520" s="62"/>
      <c r="AL520" s="62"/>
      <c r="AM520" s="62"/>
      <c r="AN520" s="62"/>
      <c r="AO520" s="62"/>
      <c r="AP520" s="62"/>
      <c r="AQ520" s="62"/>
      <c r="AR520" s="62"/>
      <c r="AS520" s="62"/>
      <c r="AT520" s="62"/>
      <c r="AU520" s="62"/>
      <c r="AV520" s="62"/>
    </row>
    <row r="521" spans="1:48" ht="12.75" customHeight="1" x14ac:dyDescent="0.2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2"/>
      <c r="AJ521" s="62"/>
      <c r="AK521" s="62"/>
      <c r="AL521" s="62"/>
      <c r="AM521" s="62"/>
      <c r="AN521" s="62"/>
      <c r="AO521" s="62"/>
      <c r="AP521" s="62"/>
      <c r="AQ521" s="62"/>
      <c r="AR521" s="62"/>
      <c r="AS521" s="62"/>
      <c r="AT521" s="62"/>
      <c r="AU521" s="62"/>
      <c r="AV521" s="62"/>
    </row>
    <row r="522" spans="1:48" ht="12.75" customHeight="1" x14ac:dyDescent="0.2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62"/>
      <c r="AF522" s="62"/>
      <c r="AG522" s="62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2"/>
    </row>
    <row r="523" spans="1:48" ht="12.75" customHeight="1" x14ac:dyDescent="0.2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2"/>
    </row>
    <row r="524" spans="1:48" ht="12.75" customHeight="1" x14ac:dyDescent="0.2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2"/>
      <c r="AE524" s="62"/>
      <c r="AF524" s="62"/>
      <c r="AG524" s="62"/>
      <c r="AH524" s="62"/>
      <c r="AI524" s="62"/>
      <c r="AJ524" s="62"/>
      <c r="AK524" s="62"/>
      <c r="AL524" s="62"/>
      <c r="AM524" s="62"/>
      <c r="AN524" s="62"/>
      <c r="AO524" s="62"/>
      <c r="AP524" s="62"/>
      <c r="AQ524" s="62"/>
      <c r="AR524" s="62"/>
      <c r="AS524" s="62"/>
      <c r="AT524" s="62"/>
      <c r="AU524" s="62"/>
      <c r="AV524" s="62"/>
    </row>
    <row r="525" spans="1:48" ht="12.75" customHeight="1" x14ac:dyDescent="0.2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2"/>
      <c r="AJ525" s="62"/>
      <c r="AK525" s="62"/>
      <c r="AL525" s="62"/>
      <c r="AM525" s="62"/>
      <c r="AN525" s="62"/>
      <c r="AO525" s="62"/>
      <c r="AP525" s="62"/>
      <c r="AQ525" s="62"/>
      <c r="AR525" s="62"/>
      <c r="AS525" s="62"/>
      <c r="AT525" s="62"/>
      <c r="AU525" s="62"/>
      <c r="AV525" s="62"/>
    </row>
    <row r="526" spans="1:48" ht="12.75" customHeight="1" x14ac:dyDescent="0.2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  <c r="AA526" s="62"/>
      <c r="AB526" s="62"/>
      <c r="AC526" s="62"/>
      <c r="AD526" s="62"/>
      <c r="AE526" s="62"/>
      <c r="AF526" s="62"/>
      <c r="AG526" s="62"/>
      <c r="AH526" s="62"/>
      <c r="AI526" s="62"/>
      <c r="AJ526" s="62"/>
      <c r="AK526" s="62"/>
      <c r="AL526" s="62"/>
      <c r="AM526" s="62"/>
      <c r="AN526" s="62"/>
      <c r="AO526" s="62"/>
      <c r="AP526" s="62"/>
      <c r="AQ526" s="62"/>
      <c r="AR526" s="62"/>
      <c r="AS526" s="62"/>
      <c r="AT526" s="62"/>
      <c r="AU526" s="62"/>
      <c r="AV526" s="62"/>
    </row>
    <row r="527" spans="1:48" ht="12.75" customHeight="1" x14ac:dyDescent="0.2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2"/>
      <c r="AJ527" s="62"/>
      <c r="AK527" s="62"/>
      <c r="AL527" s="62"/>
      <c r="AM527" s="62"/>
      <c r="AN527" s="62"/>
      <c r="AO527" s="62"/>
      <c r="AP527" s="62"/>
      <c r="AQ527" s="62"/>
      <c r="AR527" s="62"/>
      <c r="AS527" s="62"/>
      <c r="AT527" s="62"/>
      <c r="AU527" s="62"/>
      <c r="AV527" s="62"/>
    </row>
    <row r="528" spans="1:48" ht="12.75" customHeight="1" x14ac:dyDescent="0.2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  <c r="AA528" s="62"/>
      <c r="AB528" s="62"/>
      <c r="AC528" s="62"/>
      <c r="AD528" s="62"/>
      <c r="AE528" s="62"/>
      <c r="AF528" s="62"/>
      <c r="AG528" s="62"/>
      <c r="AH528" s="62"/>
      <c r="AI528" s="62"/>
      <c r="AJ528" s="62"/>
      <c r="AK528" s="62"/>
      <c r="AL528" s="62"/>
      <c r="AM528" s="62"/>
      <c r="AN528" s="62"/>
      <c r="AO528" s="62"/>
      <c r="AP528" s="62"/>
      <c r="AQ528" s="62"/>
      <c r="AR528" s="62"/>
      <c r="AS528" s="62"/>
      <c r="AT528" s="62"/>
      <c r="AU528" s="62"/>
      <c r="AV528" s="62"/>
    </row>
    <row r="529" spans="1:48" ht="12.75" customHeight="1" x14ac:dyDescent="0.2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2"/>
      <c r="AJ529" s="62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2"/>
      <c r="AV529" s="62"/>
    </row>
    <row r="530" spans="1:48" ht="12.75" customHeight="1" x14ac:dyDescent="0.2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  <c r="AA530" s="62"/>
      <c r="AB530" s="62"/>
      <c r="AC530" s="62"/>
      <c r="AD530" s="62"/>
      <c r="AE530" s="62"/>
      <c r="AF530" s="62"/>
      <c r="AG530" s="62"/>
      <c r="AH530" s="62"/>
      <c r="AI530" s="62"/>
      <c r="AJ530" s="62"/>
      <c r="AK530" s="62"/>
      <c r="AL530" s="62"/>
      <c r="AM530" s="62"/>
      <c r="AN530" s="62"/>
      <c r="AO530" s="62"/>
      <c r="AP530" s="62"/>
      <c r="AQ530" s="62"/>
      <c r="AR530" s="62"/>
      <c r="AS530" s="62"/>
      <c r="AT530" s="62"/>
      <c r="AU530" s="62"/>
      <c r="AV530" s="62"/>
    </row>
    <row r="531" spans="1:48" ht="12.75" customHeight="1" x14ac:dyDescent="0.2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2"/>
      <c r="AJ531" s="62"/>
      <c r="AK531" s="62"/>
      <c r="AL531" s="62"/>
      <c r="AM531" s="62"/>
      <c r="AN531" s="62"/>
      <c r="AO531" s="62"/>
      <c r="AP531" s="62"/>
      <c r="AQ531" s="62"/>
      <c r="AR531" s="62"/>
      <c r="AS531" s="62"/>
      <c r="AT531" s="62"/>
      <c r="AU531" s="62"/>
      <c r="AV531" s="62"/>
    </row>
    <row r="532" spans="1:48" ht="12.75" customHeight="1" x14ac:dyDescent="0.2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  <c r="AA532" s="62"/>
      <c r="AB532" s="62"/>
      <c r="AC532" s="62"/>
      <c r="AD532" s="62"/>
      <c r="AE532" s="62"/>
      <c r="AF532" s="62"/>
      <c r="AG532" s="62"/>
      <c r="AH532" s="62"/>
      <c r="AI532" s="62"/>
      <c r="AJ532" s="62"/>
      <c r="AK532" s="62"/>
      <c r="AL532" s="62"/>
      <c r="AM532" s="62"/>
      <c r="AN532" s="62"/>
      <c r="AO532" s="62"/>
      <c r="AP532" s="62"/>
      <c r="AQ532" s="62"/>
      <c r="AR532" s="62"/>
      <c r="AS532" s="62"/>
      <c r="AT532" s="62"/>
      <c r="AU532" s="62"/>
      <c r="AV532" s="62"/>
    </row>
    <row r="533" spans="1:48" ht="12.75" customHeight="1" x14ac:dyDescent="0.2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2"/>
      <c r="AJ533" s="62"/>
      <c r="AK533" s="62"/>
      <c r="AL533" s="62"/>
      <c r="AM533" s="62"/>
      <c r="AN533" s="62"/>
      <c r="AO533" s="62"/>
      <c r="AP533" s="62"/>
      <c r="AQ533" s="62"/>
      <c r="AR533" s="62"/>
      <c r="AS533" s="62"/>
      <c r="AT533" s="62"/>
      <c r="AU533" s="62"/>
      <c r="AV533" s="62"/>
    </row>
    <row r="534" spans="1:48" ht="12.75" customHeight="1" x14ac:dyDescent="0.2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  <c r="AA534" s="62"/>
      <c r="AB534" s="62"/>
      <c r="AC534" s="62"/>
      <c r="AD534" s="62"/>
      <c r="AE534" s="62"/>
      <c r="AF534" s="62"/>
      <c r="AG534" s="62"/>
      <c r="AH534" s="62"/>
      <c r="AI534" s="62"/>
      <c r="AJ534" s="62"/>
      <c r="AK534" s="62"/>
      <c r="AL534" s="62"/>
      <c r="AM534" s="62"/>
      <c r="AN534" s="62"/>
      <c r="AO534" s="62"/>
      <c r="AP534" s="62"/>
      <c r="AQ534" s="62"/>
      <c r="AR534" s="62"/>
      <c r="AS534" s="62"/>
      <c r="AT534" s="62"/>
      <c r="AU534" s="62"/>
      <c r="AV534" s="62"/>
    </row>
    <row r="535" spans="1:48" ht="12.75" customHeight="1" x14ac:dyDescent="0.2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2"/>
      <c r="AJ535" s="62"/>
      <c r="AK535" s="62"/>
      <c r="AL535" s="62"/>
      <c r="AM535" s="62"/>
      <c r="AN535" s="62"/>
      <c r="AO535" s="62"/>
      <c r="AP535" s="62"/>
      <c r="AQ535" s="62"/>
      <c r="AR535" s="62"/>
      <c r="AS535" s="62"/>
      <c r="AT535" s="62"/>
      <c r="AU535" s="62"/>
      <c r="AV535" s="62"/>
    </row>
    <row r="536" spans="1:48" ht="12.75" customHeight="1" x14ac:dyDescent="0.2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  <c r="AA536" s="62"/>
      <c r="AB536" s="62"/>
      <c r="AC536" s="62"/>
      <c r="AD536" s="62"/>
      <c r="AE536" s="62"/>
      <c r="AF536" s="62"/>
      <c r="AG536" s="62"/>
      <c r="AH536" s="62"/>
      <c r="AI536" s="62"/>
      <c r="AJ536" s="62"/>
      <c r="AK536" s="62"/>
      <c r="AL536" s="62"/>
      <c r="AM536" s="62"/>
      <c r="AN536" s="62"/>
      <c r="AO536" s="62"/>
      <c r="AP536" s="62"/>
      <c r="AQ536" s="62"/>
      <c r="AR536" s="62"/>
      <c r="AS536" s="62"/>
      <c r="AT536" s="62"/>
      <c r="AU536" s="62"/>
      <c r="AV536" s="62"/>
    </row>
    <row r="537" spans="1:48" ht="12.75" customHeight="1" x14ac:dyDescent="0.2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2"/>
      <c r="AJ537" s="62"/>
      <c r="AK537" s="62"/>
      <c r="AL537" s="62"/>
      <c r="AM537" s="62"/>
      <c r="AN537" s="62"/>
      <c r="AO537" s="62"/>
      <c r="AP537" s="62"/>
      <c r="AQ537" s="62"/>
      <c r="AR537" s="62"/>
      <c r="AS537" s="62"/>
      <c r="AT537" s="62"/>
      <c r="AU537" s="62"/>
      <c r="AV537" s="62"/>
    </row>
    <row r="538" spans="1:48" ht="12.75" customHeight="1" x14ac:dyDescent="0.2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2"/>
    </row>
    <row r="539" spans="1:48" ht="12.75" customHeight="1" x14ac:dyDescent="0.2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2"/>
    </row>
    <row r="540" spans="1:48" ht="12.75" customHeight="1" x14ac:dyDescent="0.2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62"/>
      <c r="AF540" s="62"/>
      <c r="AG540" s="62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2"/>
    </row>
    <row r="541" spans="1:48" ht="12.75" customHeight="1" x14ac:dyDescent="0.2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2"/>
    </row>
    <row r="542" spans="1:48" ht="12.75" customHeight="1" x14ac:dyDescent="0.2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62"/>
      <c r="AJ542" s="62"/>
      <c r="AK542" s="62"/>
      <c r="AL542" s="62"/>
      <c r="AM542" s="62"/>
      <c r="AN542" s="62"/>
      <c r="AO542" s="62"/>
      <c r="AP542" s="62"/>
      <c r="AQ542" s="62"/>
      <c r="AR542" s="62"/>
      <c r="AS542" s="62"/>
      <c r="AT542" s="62"/>
      <c r="AU542" s="62"/>
      <c r="AV542" s="62"/>
    </row>
    <row r="543" spans="1:48" ht="12.75" customHeight="1" x14ac:dyDescent="0.2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2"/>
      <c r="AJ543" s="62"/>
      <c r="AK543" s="62"/>
      <c r="AL543" s="62"/>
      <c r="AM543" s="62"/>
      <c r="AN543" s="62"/>
      <c r="AO543" s="62"/>
      <c r="AP543" s="62"/>
      <c r="AQ543" s="62"/>
      <c r="AR543" s="62"/>
      <c r="AS543" s="62"/>
      <c r="AT543" s="62"/>
      <c r="AU543" s="62"/>
      <c r="AV543" s="62"/>
    </row>
    <row r="544" spans="1:48" ht="12.75" customHeight="1" x14ac:dyDescent="0.2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  <c r="AA544" s="62"/>
      <c r="AB544" s="62"/>
      <c r="AC544" s="62"/>
      <c r="AD544" s="62"/>
      <c r="AE544" s="62"/>
      <c r="AF544" s="62"/>
      <c r="AG544" s="62"/>
      <c r="AH544" s="62"/>
      <c r="AI544" s="62"/>
      <c r="AJ544" s="62"/>
      <c r="AK544" s="62"/>
      <c r="AL544" s="62"/>
      <c r="AM544" s="62"/>
      <c r="AN544" s="62"/>
      <c r="AO544" s="62"/>
      <c r="AP544" s="62"/>
      <c r="AQ544" s="62"/>
      <c r="AR544" s="62"/>
      <c r="AS544" s="62"/>
      <c r="AT544" s="62"/>
      <c r="AU544" s="62"/>
      <c r="AV544" s="62"/>
    </row>
    <row r="545" spans="1:48" ht="12.75" customHeight="1" x14ac:dyDescent="0.2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2"/>
      <c r="AJ545" s="62"/>
      <c r="AK545" s="62"/>
      <c r="AL545" s="62"/>
      <c r="AM545" s="62"/>
      <c r="AN545" s="62"/>
      <c r="AO545" s="62"/>
      <c r="AP545" s="62"/>
      <c r="AQ545" s="62"/>
      <c r="AR545" s="62"/>
      <c r="AS545" s="62"/>
      <c r="AT545" s="62"/>
      <c r="AU545" s="62"/>
      <c r="AV545" s="62"/>
    </row>
    <row r="546" spans="1:48" ht="12.75" customHeight="1" x14ac:dyDescent="0.2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  <c r="AA546" s="62"/>
      <c r="AB546" s="62"/>
      <c r="AC546" s="62"/>
      <c r="AD546" s="62"/>
      <c r="AE546" s="62"/>
      <c r="AF546" s="62"/>
      <c r="AG546" s="62"/>
      <c r="AH546" s="62"/>
      <c r="AI546" s="62"/>
      <c r="AJ546" s="62"/>
      <c r="AK546" s="62"/>
      <c r="AL546" s="62"/>
      <c r="AM546" s="62"/>
      <c r="AN546" s="62"/>
      <c r="AO546" s="62"/>
      <c r="AP546" s="62"/>
      <c r="AQ546" s="62"/>
      <c r="AR546" s="62"/>
      <c r="AS546" s="62"/>
      <c r="AT546" s="62"/>
      <c r="AU546" s="62"/>
      <c r="AV546" s="62"/>
    </row>
    <row r="547" spans="1:48" ht="12.75" customHeight="1" x14ac:dyDescent="0.2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2"/>
      <c r="AJ547" s="62"/>
      <c r="AK547" s="62"/>
      <c r="AL547" s="62"/>
      <c r="AM547" s="62"/>
      <c r="AN547" s="62"/>
      <c r="AO547" s="62"/>
      <c r="AP547" s="62"/>
      <c r="AQ547" s="62"/>
      <c r="AR547" s="62"/>
      <c r="AS547" s="62"/>
      <c r="AT547" s="62"/>
      <c r="AU547" s="62"/>
      <c r="AV547" s="62"/>
    </row>
    <row r="548" spans="1:48" ht="12.75" customHeight="1" x14ac:dyDescent="0.2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  <c r="AA548" s="62"/>
      <c r="AB548" s="62"/>
      <c r="AC548" s="62"/>
      <c r="AD548" s="62"/>
      <c r="AE548" s="62"/>
      <c r="AF548" s="62"/>
      <c r="AG548" s="62"/>
      <c r="AH548" s="62"/>
      <c r="AI548" s="62"/>
      <c r="AJ548" s="62"/>
      <c r="AK548" s="62"/>
      <c r="AL548" s="62"/>
      <c r="AM548" s="62"/>
      <c r="AN548" s="62"/>
      <c r="AO548" s="62"/>
      <c r="AP548" s="62"/>
      <c r="AQ548" s="62"/>
      <c r="AR548" s="62"/>
      <c r="AS548" s="62"/>
      <c r="AT548" s="62"/>
      <c r="AU548" s="62"/>
      <c r="AV548" s="62"/>
    </row>
    <row r="549" spans="1:48" ht="12.75" customHeight="1" x14ac:dyDescent="0.2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2"/>
      <c r="AJ549" s="62"/>
      <c r="AK549" s="62"/>
      <c r="AL549" s="62"/>
      <c r="AM549" s="62"/>
      <c r="AN549" s="62"/>
      <c r="AO549" s="62"/>
      <c r="AP549" s="62"/>
      <c r="AQ549" s="62"/>
      <c r="AR549" s="62"/>
      <c r="AS549" s="62"/>
      <c r="AT549" s="62"/>
      <c r="AU549" s="62"/>
      <c r="AV549" s="62"/>
    </row>
    <row r="550" spans="1:48" ht="12.75" customHeight="1" x14ac:dyDescent="0.2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  <c r="AA550" s="62"/>
      <c r="AB550" s="62"/>
      <c r="AC550" s="62"/>
      <c r="AD550" s="62"/>
      <c r="AE550" s="62"/>
      <c r="AF550" s="62"/>
      <c r="AG550" s="62"/>
      <c r="AH550" s="62"/>
      <c r="AI550" s="62"/>
      <c r="AJ550" s="62"/>
      <c r="AK550" s="62"/>
      <c r="AL550" s="62"/>
      <c r="AM550" s="62"/>
      <c r="AN550" s="62"/>
      <c r="AO550" s="62"/>
      <c r="AP550" s="62"/>
      <c r="AQ550" s="62"/>
      <c r="AR550" s="62"/>
      <c r="AS550" s="62"/>
      <c r="AT550" s="62"/>
      <c r="AU550" s="62"/>
      <c r="AV550" s="62"/>
    </row>
    <row r="551" spans="1:48" ht="12.75" customHeight="1" x14ac:dyDescent="0.2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2"/>
      <c r="AJ551" s="62"/>
      <c r="AK551" s="62"/>
      <c r="AL551" s="62"/>
      <c r="AM551" s="62"/>
      <c r="AN551" s="62"/>
      <c r="AO551" s="62"/>
      <c r="AP551" s="62"/>
      <c r="AQ551" s="62"/>
      <c r="AR551" s="62"/>
      <c r="AS551" s="62"/>
      <c r="AT551" s="62"/>
      <c r="AU551" s="62"/>
      <c r="AV551" s="62"/>
    </row>
    <row r="552" spans="1:48" ht="12.75" customHeight="1" x14ac:dyDescent="0.2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2"/>
      <c r="AE552" s="62"/>
      <c r="AF552" s="62"/>
      <c r="AG552" s="62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2"/>
    </row>
    <row r="553" spans="1:48" ht="12.75" customHeight="1" x14ac:dyDescent="0.2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2"/>
    </row>
    <row r="554" spans="1:48" ht="12.75" customHeight="1" x14ac:dyDescent="0.2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62"/>
      <c r="AF554" s="62"/>
      <c r="AG554" s="62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2"/>
    </row>
    <row r="555" spans="1:48" ht="12.75" customHeight="1" x14ac:dyDescent="0.2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2"/>
    </row>
    <row r="556" spans="1:48" ht="12.75" customHeight="1" x14ac:dyDescent="0.2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2"/>
      <c r="AE556" s="62"/>
      <c r="AF556" s="62"/>
      <c r="AG556" s="62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2"/>
    </row>
    <row r="557" spans="1:48" ht="12.75" customHeight="1" x14ac:dyDescent="0.2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2"/>
    </row>
    <row r="558" spans="1:48" ht="12.75" customHeight="1" x14ac:dyDescent="0.2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2"/>
      <c r="AE558" s="62"/>
      <c r="AF558" s="62"/>
      <c r="AG558" s="62"/>
      <c r="AH558" s="62"/>
      <c r="AI558" s="62"/>
      <c r="AJ558" s="62"/>
      <c r="AK558" s="62"/>
      <c r="AL558" s="62"/>
      <c r="AM558" s="62"/>
      <c r="AN558" s="62"/>
      <c r="AO558" s="62"/>
      <c r="AP558" s="62"/>
      <c r="AQ558" s="62"/>
      <c r="AR558" s="62"/>
      <c r="AS558" s="62"/>
      <c r="AT558" s="62"/>
      <c r="AU558" s="62"/>
      <c r="AV558" s="62"/>
    </row>
    <row r="559" spans="1:48" ht="12.75" customHeight="1" x14ac:dyDescent="0.2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2"/>
      <c r="AJ559" s="62"/>
      <c r="AK559" s="62"/>
      <c r="AL559" s="62"/>
      <c r="AM559" s="62"/>
      <c r="AN559" s="62"/>
      <c r="AO559" s="62"/>
      <c r="AP559" s="62"/>
      <c r="AQ559" s="62"/>
      <c r="AR559" s="62"/>
      <c r="AS559" s="62"/>
      <c r="AT559" s="62"/>
      <c r="AU559" s="62"/>
      <c r="AV559" s="62"/>
    </row>
    <row r="560" spans="1:48" ht="12.75" customHeight="1" x14ac:dyDescent="0.2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  <c r="AA560" s="62"/>
      <c r="AB560" s="62"/>
      <c r="AC560" s="62"/>
      <c r="AD560" s="62"/>
      <c r="AE560" s="62"/>
      <c r="AF560" s="62"/>
      <c r="AG560" s="62"/>
      <c r="AH560" s="62"/>
      <c r="AI560" s="62"/>
      <c r="AJ560" s="62"/>
      <c r="AK560" s="62"/>
      <c r="AL560" s="62"/>
      <c r="AM560" s="62"/>
      <c r="AN560" s="62"/>
      <c r="AO560" s="62"/>
      <c r="AP560" s="62"/>
      <c r="AQ560" s="62"/>
      <c r="AR560" s="62"/>
      <c r="AS560" s="62"/>
      <c r="AT560" s="62"/>
      <c r="AU560" s="62"/>
      <c r="AV560" s="62"/>
    </row>
    <row r="561" spans="1:48" ht="12.75" customHeight="1" x14ac:dyDescent="0.2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2"/>
      <c r="AJ561" s="62"/>
      <c r="AK561" s="62"/>
      <c r="AL561" s="62"/>
      <c r="AM561" s="62"/>
      <c r="AN561" s="62"/>
      <c r="AO561" s="62"/>
      <c r="AP561" s="62"/>
      <c r="AQ561" s="62"/>
      <c r="AR561" s="62"/>
      <c r="AS561" s="62"/>
      <c r="AT561" s="62"/>
      <c r="AU561" s="62"/>
      <c r="AV561" s="62"/>
    </row>
    <row r="562" spans="1:48" ht="12.75" customHeight="1" x14ac:dyDescent="0.2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  <c r="AA562" s="62"/>
      <c r="AB562" s="62"/>
      <c r="AC562" s="62"/>
      <c r="AD562" s="62"/>
      <c r="AE562" s="62"/>
      <c r="AF562" s="62"/>
      <c r="AG562" s="62"/>
      <c r="AH562" s="62"/>
      <c r="AI562" s="62"/>
      <c r="AJ562" s="62"/>
      <c r="AK562" s="62"/>
      <c r="AL562" s="62"/>
      <c r="AM562" s="62"/>
      <c r="AN562" s="62"/>
      <c r="AO562" s="62"/>
      <c r="AP562" s="62"/>
      <c r="AQ562" s="62"/>
      <c r="AR562" s="62"/>
      <c r="AS562" s="62"/>
      <c r="AT562" s="62"/>
      <c r="AU562" s="62"/>
      <c r="AV562" s="62"/>
    </row>
    <row r="563" spans="1:48" ht="12.75" customHeight="1" x14ac:dyDescent="0.2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2"/>
      <c r="AJ563" s="62"/>
      <c r="AK563" s="62"/>
      <c r="AL563" s="62"/>
      <c r="AM563" s="62"/>
      <c r="AN563" s="62"/>
      <c r="AO563" s="62"/>
      <c r="AP563" s="62"/>
      <c r="AQ563" s="62"/>
      <c r="AR563" s="62"/>
      <c r="AS563" s="62"/>
      <c r="AT563" s="62"/>
      <c r="AU563" s="62"/>
      <c r="AV563" s="62"/>
    </row>
    <row r="564" spans="1:48" ht="12.75" customHeight="1" x14ac:dyDescent="0.2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62"/>
      <c r="AJ564" s="62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2"/>
      <c r="AV564" s="62"/>
    </row>
    <row r="565" spans="1:48" ht="12.75" customHeight="1" x14ac:dyDescent="0.2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2"/>
      <c r="AJ565" s="62"/>
      <c r="AK565" s="62"/>
      <c r="AL565" s="62"/>
      <c r="AM565" s="62"/>
      <c r="AN565" s="62"/>
      <c r="AO565" s="62"/>
      <c r="AP565" s="62"/>
      <c r="AQ565" s="62"/>
      <c r="AR565" s="62"/>
      <c r="AS565" s="62"/>
      <c r="AT565" s="62"/>
      <c r="AU565" s="62"/>
      <c r="AV565" s="62"/>
    </row>
    <row r="566" spans="1:48" ht="12.75" customHeight="1" x14ac:dyDescent="0.2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  <c r="AA566" s="62"/>
      <c r="AB566" s="62"/>
      <c r="AC566" s="62"/>
      <c r="AD566" s="62"/>
      <c r="AE566" s="62"/>
      <c r="AF566" s="62"/>
      <c r="AG566" s="62"/>
      <c r="AH566" s="62"/>
      <c r="AI566" s="62"/>
      <c r="AJ566" s="62"/>
      <c r="AK566" s="62"/>
      <c r="AL566" s="62"/>
      <c r="AM566" s="62"/>
      <c r="AN566" s="62"/>
      <c r="AO566" s="62"/>
      <c r="AP566" s="62"/>
      <c r="AQ566" s="62"/>
      <c r="AR566" s="62"/>
      <c r="AS566" s="62"/>
      <c r="AT566" s="62"/>
      <c r="AU566" s="62"/>
      <c r="AV566" s="62"/>
    </row>
    <row r="567" spans="1:48" ht="12.75" customHeight="1" x14ac:dyDescent="0.2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2"/>
    </row>
    <row r="568" spans="1:48" ht="12.75" customHeight="1" x14ac:dyDescent="0.2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2"/>
      <c r="AE568" s="62"/>
      <c r="AF568" s="62"/>
      <c r="AG568" s="62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2"/>
    </row>
    <row r="569" spans="1:48" ht="12.75" customHeight="1" x14ac:dyDescent="0.2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2"/>
    </row>
    <row r="570" spans="1:48" ht="12.75" customHeight="1" x14ac:dyDescent="0.2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62"/>
      <c r="AF570" s="62"/>
      <c r="AG570" s="62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2"/>
    </row>
    <row r="571" spans="1:48" ht="12.75" customHeight="1" x14ac:dyDescent="0.2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2"/>
    </row>
    <row r="572" spans="1:48" ht="12.75" customHeight="1" x14ac:dyDescent="0.2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2"/>
      <c r="AE572" s="62"/>
      <c r="AF572" s="62"/>
      <c r="AG572" s="62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2"/>
    </row>
    <row r="573" spans="1:48" ht="12.75" customHeight="1" x14ac:dyDescent="0.2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2"/>
    </row>
    <row r="574" spans="1:48" ht="12.75" customHeight="1" x14ac:dyDescent="0.2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2"/>
      <c r="AE574" s="62"/>
      <c r="AF574" s="62"/>
      <c r="AG574" s="62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2"/>
    </row>
    <row r="575" spans="1:48" ht="12.75" customHeight="1" x14ac:dyDescent="0.2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2"/>
      <c r="AJ575" s="62"/>
      <c r="AK575" s="62"/>
      <c r="AL575" s="62"/>
      <c r="AM575" s="62"/>
      <c r="AN575" s="62"/>
      <c r="AO575" s="62"/>
      <c r="AP575" s="62"/>
      <c r="AQ575" s="62"/>
      <c r="AR575" s="62"/>
      <c r="AS575" s="62"/>
      <c r="AT575" s="62"/>
      <c r="AU575" s="62"/>
      <c r="AV575" s="62"/>
    </row>
    <row r="576" spans="1:48" ht="12.75" customHeight="1" x14ac:dyDescent="0.2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  <c r="AA576" s="62"/>
      <c r="AB576" s="62"/>
      <c r="AC576" s="62"/>
      <c r="AD576" s="62"/>
      <c r="AE576" s="62"/>
      <c r="AF576" s="62"/>
      <c r="AG576" s="62"/>
      <c r="AH576" s="62"/>
      <c r="AI576" s="62"/>
      <c r="AJ576" s="62"/>
      <c r="AK576" s="62"/>
      <c r="AL576" s="62"/>
      <c r="AM576" s="62"/>
      <c r="AN576" s="62"/>
      <c r="AO576" s="62"/>
      <c r="AP576" s="62"/>
      <c r="AQ576" s="62"/>
      <c r="AR576" s="62"/>
      <c r="AS576" s="62"/>
      <c r="AT576" s="62"/>
      <c r="AU576" s="62"/>
      <c r="AV576" s="62"/>
    </row>
    <row r="577" spans="1:48" ht="12.75" customHeight="1" x14ac:dyDescent="0.2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2"/>
      <c r="AJ577" s="62"/>
      <c r="AK577" s="62"/>
      <c r="AL577" s="62"/>
      <c r="AM577" s="62"/>
      <c r="AN577" s="62"/>
      <c r="AO577" s="62"/>
      <c r="AP577" s="62"/>
      <c r="AQ577" s="62"/>
      <c r="AR577" s="62"/>
      <c r="AS577" s="62"/>
      <c r="AT577" s="62"/>
      <c r="AU577" s="62"/>
      <c r="AV577" s="62"/>
    </row>
    <row r="578" spans="1:48" ht="12.75" customHeight="1" x14ac:dyDescent="0.2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  <c r="AA578" s="62"/>
      <c r="AB578" s="62"/>
      <c r="AC578" s="62"/>
      <c r="AD578" s="62"/>
      <c r="AE578" s="62"/>
      <c r="AF578" s="62"/>
      <c r="AG578" s="62"/>
      <c r="AH578" s="62"/>
      <c r="AI578" s="62"/>
      <c r="AJ578" s="62"/>
      <c r="AK578" s="62"/>
      <c r="AL578" s="62"/>
      <c r="AM578" s="62"/>
      <c r="AN578" s="62"/>
      <c r="AO578" s="62"/>
      <c r="AP578" s="62"/>
      <c r="AQ578" s="62"/>
      <c r="AR578" s="62"/>
      <c r="AS578" s="62"/>
      <c r="AT578" s="62"/>
      <c r="AU578" s="62"/>
      <c r="AV578" s="62"/>
    </row>
    <row r="579" spans="1:48" ht="12.75" customHeight="1" x14ac:dyDescent="0.2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2"/>
      <c r="AJ579" s="62"/>
      <c r="AK579" s="62"/>
      <c r="AL579" s="62"/>
      <c r="AM579" s="62"/>
      <c r="AN579" s="62"/>
      <c r="AO579" s="62"/>
      <c r="AP579" s="62"/>
      <c r="AQ579" s="62"/>
      <c r="AR579" s="62"/>
      <c r="AS579" s="62"/>
      <c r="AT579" s="62"/>
      <c r="AU579" s="62"/>
      <c r="AV579" s="62"/>
    </row>
    <row r="580" spans="1:48" ht="12.75" customHeight="1" x14ac:dyDescent="0.2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  <c r="AA580" s="62"/>
      <c r="AB580" s="62"/>
      <c r="AC580" s="62"/>
      <c r="AD580" s="62"/>
      <c r="AE580" s="62"/>
      <c r="AF580" s="62"/>
      <c r="AG580" s="62"/>
      <c r="AH580" s="62"/>
      <c r="AI580" s="62"/>
      <c r="AJ580" s="62"/>
      <c r="AK580" s="62"/>
      <c r="AL580" s="62"/>
      <c r="AM580" s="62"/>
      <c r="AN580" s="62"/>
      <c r="AO580" s="62"/>
      <c r="AP580" s="62"/>
      <c r="AQ580" s="62"/>
      <c r="AR580" s="62"/>
      <c r="AS580" s="62"/>
      <c r="AT580" s="62"/>
      <c r="AU580" s="62"/>
      <c r="AV580" s="62"/>
    </row>
    <row r="581" spans="1:48" ht="12.75" customHeight="1" x14ac:dyDescent="0.2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2"/>
      <c r="AJ581" s="62"/>
      <c r="AK581" s="62"/>
      <c r="AL581" s="62"/>
      <c r="AM581" s="62"/>
      <c r="AN581" s="62"/>
      <c r="AO581" s="62"/>
      <c r="AP581" s="62"/>
      <c r="AQ581" s="62"/>
      <c r="AR581" s="62"/>
      <c r="AS581" s="62"/>
      <c r="AT581" s="62"/>
      <c r="AU581" s="62"/>
      <c r="AV581" s="62"/>
    </row>
    <row r="582" spans="1:48" ht="12.75" customHeight="1" x14ac:dyDescent="0.2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  <c r="AA582" s="62"/>
      <c r="AB582" s="62"/>
      <c r="AC582" s="62"/>
      <c r="AD582" s="62"/>
      <c r="AE582" s="62"/>
      <c r="AF582" s="62"/>
      <c r="AG582" s="62"/>
      <c r="AH582" s="62"/>
      <c r="AI582" s="62"/>
      <c r="AJ582" s="62"/>
      <c r="AK582" s="62"/>
      <c r="AL582" s="62"/>
      <c r="AM582" s="62"/>
      <c r="AN582" s="62"/>
      <c r="AO582" s="62"/>
      <c r="AP582" s="62"/>
      <c r="AQ582" s="62"/>
      <c r="AR582" s="62"/>
      <c r="AS582" s="62"/>
      <c r="AT582" s="62"/>
      <c r="AU582" s="62"/>
      <c r="AV582" s="62"/>
    </row>
    <row r="583" spans="1:48" ht="12.75" customHeight="1" x14ac:dyDescent="0.2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2"/>
      <c r="AJ583" s="62"/>
      <c r="AK583" s="62"/>
      <c r="AL583" s="62"/>
      <c r="AM583" s="62"/>
      <c r="AN583" s="62"/>
      <c r="AO583" s="62"/>
      <c r="AP583" s="62"/>
      <c r="AQ583" s="62"/>
      <c r="AR583" s="62"/>
      <c r="AS583" s="62"/>
      <c r="AT583" s="62"/>
      <c r="AU583" s="62"/>
      <c r="AV583" s="62"/>
    </row>
    <row r="584" spans="1:48" ht="12.75" customHeight="1" x14ac:dyDescent="0.2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  <c r="AA584" s="62"/>
      <c r="AB584" s="62"/>
      <c r="AC584" s="62"/>
      <c r="AD584" s="62"/>
      <c r="AE584" s="62"/>
      <c r="AF584" s="62"/>
      <c r="AG584" s="62"/>
      <c r="AH584" s="62"/>
      <c r="AI584" s="62"/>
      <c r="AJ584" s="62"/>
      <c r="AK584" s="62"/>
      <c r="AL584" s="62"/>
      <c r="AM584" s="62"/>
      <c r="AN584" s="62"/>
      <c r="AO584" s="62"/>
      <c r="AP584" s="62"/>
      <c r="AQ584" s="62"/>
      <c r="AR584" s="62"/>
      <c r="AS584" s="62"/>
      <c r="AT584" s="62"/>
      <c r="AU584" s="62"/>
      <c r="AV584" s="62"/>
    </row>
    <row r="585" spans="1:48" ht="12.75" customHeight="1" x14ac:dyDescent="0.2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2"/>
      <c r="AJ585" s="62"/>
      <c r="AK585" s="62"/>
      <c r="AL585" s="62"/>
      <c r="AM585" s="62"/>
      <c r="AN585" s="62"/>
      <c r="AO585" s="62"/>
      <c r="AP585" s="62"/>
      <c r="AQ585" s="62"/>
      <c r="AR585" s="62"/>
      <c r="AS585" s="62"/>
      <c r="AT585" s="62"/>
      <c r="AU585" s="62"/>
      <c r="AV585" s="62"/>
    </row>
    <row r="586" spans="1:48" ht="12.75" customHeight="1" x14ac:dyDescent="0.2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2"/>
    </row>
    <row r="587" spans="1:48" ht="12.75" customHeight="1" x14ac:dyDescent="0.2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2"/>
    </row>
    <row r="588" spans="1:48" ht="12.75" customHeight="1" x14ac:dyDescent="0.2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2"/>
      <c r="AE588" s="62"/>
      <c r="AF588" s="62"/>
      <c r="AG588" s="62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2"/>
    </row>
    <row r="589" spans="1:48" ht="12.75" customHeight="1" x14ac:dyDescent="0.2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2"/>
    </row>
    <row r="590" spans="1:48" ht="12.75" customHeight="1" x14ac:dyDescent="0.2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62"/>
      <c r="AF590" s="62"/>
      <c r="AG590" s="62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2"/>
    </row>
    <row r="591" spans="1:48" ht="12.75" customHeight="1" x14ac:dyDescent="0.2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2"/>
    </row>
    <row r="592" spans="1:48" ht="12.75" customHeight="1" x14ac:dyDescent="0.2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2"/>
      <c r="AE592" s="62"/>
      <c r="AF592" s="62"/>
      <c r="AG592" s="62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2"/>
    </row>
    <row r="593" spans="1:48" ht="12.75" customHeight="1" x14ac:dyDescent="0.2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2"/>
    </row>
    <row r="594" spans="1:48" ht="12.75" customHeight="1" x14ac:dyDescent="0.2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2"/>
      <c r="AE594" s="62"/>
      <c r="AF594" s="62"/>
      <c r="AG594" s="62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2"/>
    </row>
    <row r="595" spans="1:48" ht="12.75" customHeight="1" x14ac:dyDescent="0.2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2"/>
    </row>
    <row r="596" spans="1:48" ht="12.75" customHeight="1" x14ac:dyDescent="0.2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2"/>
      <c r="AE596" s="62"/>
      <c r="AF596" s="62"/>
      <c r="AG596" s="62"/>
      <c r="AH596" s="62"/>
      <c r="AI596" s="62"/>
      <c r="AJ596" s="62"/>
      <c r="AK596" s="62"/>
      <c r="AL596" s="62"/>
      <c r="AM596" s="62"/>
      <c r="AN596" s="62"/>
      <c r="AO596" s="62"/>
      <c r="AP596" s="62"/>
      <c r="AQ596" s="62"/>
      <c r="AR596" s="62"/>
      <c r="AS596" s="62"/>
      <c r="AT596" s="62"/>
      <c r="AU596" s="62"/>
      <c r="AV596" s="62"/>
    </row>
    <row r="597" spans="1:48" ht="12.75" customHeight="1" x14ac:dyDescent="0.2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2"/>
      <c r="AJ597" s="62"/>
      <c r="AK597" s="62"/>
      <c r="AL597" s="62"/>
      <c r="AM597" s="62"/>
      <c r="AN597" s="62"/>
      <c r="AO597" s="62"/>
      <c r="AP597" s="62"/>
      <c r="AQ597" s="62"/>
      <c r="AR597" s="62"/>
      <c r="AS597" s="62"/>
      <c r="AT597" s="62"/>
      <c r="AU597" s="62"/>
      <c r="AV597" s="62"/>
    </row>
    <row r="598" spans="1:48" ht="12.75" customHeight="1" x14ac:dyDescent="0.2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  <c r="AA598" s="62"/>
      <c r="AB598" s="62"/>
      <c r="AC598" s="62"/>
      <c r="AD598" s="62"/>
      <c r="AE598" s="62"/>
      <c r="AF598" s="62"/>
      <c r="AG598" s="62"/>
      <c r="AH598" s="62"/>
      <c r="AI598" s="62"/>
      <c r="AJ598" s="62"/>
      <c r="AK598" s="62"/>
      <c r="AL598" s="62"/>
      <c r="AM598" s="62"/>
      <c r="AN598" s="62"/>
      <c r="AO598" s="62"/>
      <c r="AP598" s="62"/>
      <c r="AQ598" s="62"/>
      <c r="AR598" s="62"/>
      <c r="AS598" s="62"/>
      <c r="AT598" s="62"/>
      <c r="AU598" s="62"/>
      <c r="AV598" s="62"/>
    </row>
    <row r="599" spans="1:48" ht="12.75" customHeight="1" x14ac:dyDescent="0.2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2"/>
      <c r="AJ599" s="62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2"/>
      <c r="AV599" s="62"/>
    </row>
    <row r="600" spans="1:48" ht="12.75" customHeight="1" x14ac:dyDescent="0.2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  <c r="AA600" s="62"/>
      <c r="AB600" s="62"/>
      <c r="AC600" s="62"/>
      <c r="AD600" s="62"/>
      <c r="AE600" s="62"/>
      <c r="AF600" s="62"/>
      <c r="AG600" s="62"/>
      <c r="AH600" s="62"/>
      <c r="AI600" s="62"/>
      <c r="AJ600" s="62"/>
      <c r="AK600" s="62"/>
      <c r="AL600" s="62"/>
      <c r="AM600" s="62"/>
      <c r="AN600" s="62"/>
      <c r="AO600" s="62"/>
      <c r="AP600" s="62"/>
      <c r="AQ600" s="62"/>
      <c r="AR600" s="62"/>
      <c r="AS600" s="62"/>
      <c r="AT600" s="62"/>
      <c r="AU600" s="62"/>
      <c r="AV600" s="62"/>
    </row>
    <row r="601" spans="1:48" ht="12.75" customHeight="1" x14ac:dyDescent="0.2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2"/>
      <c r="AJ601" s="62"/>
      <c r="AK601" s="62"/>
      <c r="AL601" s="62"/>
      <c r="AM601" s="62"/>
      <c r="AN601" s="62"/>
      <c r="AO601" s="62"/>
      <c r="AP601" s="62"/>
      <c r="AQ601" s="62"/>
      <c r="AR601" s="62"/>
      <c r="AS601" s="62"/>
      <c r="AT601" s="62"/>
      <c r="AU601" s="62"/>
      <c r="AV601" s="62"/>
    </row>
    <row r="602" spans="1:48" ht="12.75" customHeight="1" x14ac:dyDescent="0.2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  <c r="AB602" s="62"/>
      <c r="AC602" s="62"/>
      <c r="AD602" s="62"/>
      <c r="AE602" s="62"/>
      <c r="AF602" s="62"/>
      <c r="AG602" s="62"/>
      <c r="AH602" s="62"/>
      <c r="AI602" s="62"/>
      <c r="AJ602" s="62"/>
      <c r="AK602" s="62"/>
      <c r="AL602" s="62"/>
      <c r="AM602" s="62"/>
      <c r="AN602" s="62"/>
      <c r="AO602" s="62"/>
      <c r="AP602" s="62"/>
      <c r="AQ602" s="62"/>
      <c r="AR602" s="62"/>
      <c r="AS602" s="62"/>
      <c r="AT602" s="62"/>
      <c r="AU602" s="62"/>
      <c r="AV602" s="62"/>
    </row>
    <row r="603" spans="1:48" ht="12.75" customHeight="1" x14ac:dyDescent="0.2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2"/>
      <c r="AJ603" s="62"/>
      <c r="AK603" s="62"/>
      <c r="AL603" s="62"/>
      <c r="AM603" s="62"/>
      <c r="AN603" s="62"/>
      <c r="AO603" s="62"/>
      <c r="AP603" s="62"/>
      <c r="AQ603" s="62"/>
      <c r="AR603" s="62"/>
      <c r="AS603" s="62"/>
      <c r="AT603" s="62"/>
      <c r="AU603" s="62"/>
      <c r="AV603" s="62"/>
    </row>
    <row r="604" spans="1:48" ht="12.75" customHeight="1" x14ac:dyDescent="0.2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  <c r="AB604" s="62"/>
      <c r="AC604" s="62"/>
      <c r="AD604" s="62"/>
      <c r="AE604" s="62"/>
      <c r="AF604" s="62"/>
      <c r="AG604" s="62"/>
      <c r="AH604" s="62"/>
      <c r="AI604" s="62"/>
      <c r="AJ604" s="62"/>
      <c r="AK604" s="62"/>
      <c r="AL604" s="62"/>
      <c r="AM604" s="62"/>
      <c r="AN604" s="62"/>
      <c r="AO604" s="62"/>
      <c r="AP604" s="62"/>
      <c r="AQ604" s="62"/>
      <c r="AR604" s="62"/>
      <c r="AS604" s="62"/>
      <c r="AT604" s="62"/>
      <c r="AU604" s="62"/>
      <c r="AV604" s="62"/>
    </row>
    <row r="605" spans="1:48" ht="12.75" customHeight="1" x14ac:dyDescent="0.2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2"/>
      <c r="AJ605" s="62"/>
      <c r="AK605" s="62"/>
      <c r="AL605" s="62"/>
      <c r="AM605" s="62"/>
      <c r="AN605" s="62"/>
      <c r="AO605" s="62"/>
      <c r="AP605" s="62"/>
      <c r="AQ605" s="62"/>
      <c r="AR605" s="62"/>
      <c r="AS605" s="62"/>
      <c r="AT605" s="62"/>
      <c r="AU605" s="62"/>
      <c r="AV605" s="62"/>
    </row>
    <row r="606" spans="1:48" ht="12.75" customHeight="1" x14ac:dyDescent="0.2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  <c r="AB606" s="62"/>
      <c r="AC606" s="62"/>
      <c r="AD606" s="62"/>
      <c r="AE606" s="62"/>
      <c r="AF606" s="62"/>
      <c r="AG606" s="62"/>
      <c r="AH606" s="62"/>
      <c r="AI606" s="62"/>
      <c r="AJ606" s="62"/>
      <c r="AK606" s="62"/>
      <c r="AL606" s="62"/>
      <c r="AM606" s="62"/>
      <c r="AN606" s="62"/>
      <c r="AO606" s="62"/>
      <c r="AP606" s="62"/>
      <c r="AQ606" s="62"/>
      <c r="AR606" s="62"/>
      <c r="AS606" s="62"/>
      <c r="AT606" s="62"/>
      <c r="AU606" s="62"/>
      <c r="AV606" s="62"/>
    </row>
    <row r="607" spans="1:48" ht="12.75" customHeight="1" x14ac:dyDescent="0.2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2"/>
      <c r="AJ607" s="62"/>
      <c r="AK607" s="62"/>
      <c r="AL607" s="62"/>
      <c r="AM607" s="62"/>
      <c r="AN607" s="62"/>
      <c r="AO607" s="62"/>
      <c r="AP607" s="62"/>
      <c r="AQ607" s="62"/>
      <c r="AR607" s="62"/>
      <c r="AS607" s="62"/>
      <c r="AT607" s="62"/>
      <c r="AU607" s="62"/>
      <c r="AV607" s="62"/>
    </row>
    <row r="608" spans="1:48" ht="12.75" customHeight="1" x14ac:dyDescent="0.2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2"/>
    </row>
    <row r="609" spans="1:48" ht="12.75" customHeight="1" x14ac:dyDescent="0.2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</row>
    <row r="610" spans="1:48" ht="12.75" customHeight="1" x14ac:dyDescent="0.2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2"/>
      <c r="AE610" s="62"/>
      <c r="AF610" s="62"/>
      <c r="AG610" s="62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</row>
    <row r="611" spans="1:48" ht="12.75" customHeight="1" x14ac:dyDescent="0.2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</row>
    <row r="612" spans="1:48" ht="12.75" customHeight="1" x14ac:dyDescent="0.2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</row>
    <row r="613" spans="1:48" ht="12.75" customHeight="1" x14ac:dyDescent="0.2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</row>
    <row r="614" spans="1:48" ht="12.75" customHeight="1" x14ac:dyDescent="0.2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62"/>
      <c r="AF614" s="62"/>
      <c r="AG614" s="62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</row>
    <row r="615" spans="1:48" ht="12.75" customHeight="1" x14ac:dyDescent="0.2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</row>
    <row r="616" spans="1:48" ht="12.75" customHeight="1" x14ac:dyDescent="0.2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2"/>
      <c r="AE616" s="62"/>
      <c r="AF616" s="62"/>
      <c r="AG616" s="62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</row>
    <row r="617" spans="1:48" ht="12.75" customHeight="1" x14ac:dyDescent="0.2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</row>
    <row r="618" spans="1:48" ht="12.75" customHeight="1" x14ac:dyDescent="0.2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2"/>
      <c r="AE618" s="62"/>
      <c r="AF618" s="62"/>
      <c r="AG618" s="62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</row>
    <row r="619" spans="1:48" ht="12.75" customHeight="1" x14ac:dyDescent="0.2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</row>
    <row r="620" spans="1:48" ht="12.75" customHeight="1" x14ac:dyDescent="0.2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2"/>
      <c r="AE620" s="62"/>
      <c r="AF620" s="62"/>
      <c r="AG620" s="62"/>
      <c r="AH620" s="62"/>
      <c r="AI620" s="62"/>
      <c r="AJ620" s="62"/>
      <c r="AK620" s="62"/>
      <c r="AL620" s="62"/>
      <c r="AM620" s="62"/>
      <c r="AN620" s="62"/>
      <c r="AO620" s="62"/>
      <c r="AP620" s="62"/>
      <c r="AQ620" s="62"/>
      <c r="AR620" s="62"/>
      <c r="AS620" s="62"/>
      <c r="AT620" s="62"/>
      <c r="AU620" s="62"/>
      <c r="AV620" s="62"/>
    </row>
    <row r="621" spans="1:48" ht="12.75" customHeight="1" x14ac:dyDescent="0.2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2"/>
      <c r="AJ621" s="62"/>
      <c r="AK621" s="62"/>
      <c r="AL621" s="62"/>
      <c r="AM621" s="62"/>
      <c r="AN621" s="62"/>
      <c r="AO621" s="62"/>
      <c r="AP621" s="62"/>
      <c r="AQ621" s="62"/>
      <c r="AR621" s="62"/>
      <c r="AS621" s="62"/>
      <c r="AT621" s="62"/>
      <c r="AU621" s="62"/>
      <c r="AV621" s="62"/>
    </row>
    <row r="622" spans="1:48" ht="12.75" customHeight="1" x14ac:dyDescent="0.2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  <c r="AB622" s="62"/>
      <c r="AC622" s="62"/>
      <c r="AD622" s="62"/>
      <c r="AE622" s="62"/>
      <c r="AF622" s="62"/>
      <c r="AG622" s="62"/>
      <c r="AH622" s="62"/>
      <c r="AI622" s="62"/>
      <c r="AJ622" s="62"/>
      <c r="AK622" s="62"/>
      <c r="AL622" s="62"/>
      <c r="AM622" s="62"/>
      <c r="AN622" s="62"/>
      <c r="AO622" s="62"/>
      <c r="AP622" s="62"/>
      <c r="AQ622" s="62"/>
      <c r="AR622" s="62"/>
      <c r="AS622" s="62"/>
      <c r="AT622" s="62"/>
      <c r="AU622" s="62"/>
      <c r="AV622" s="62"/>
    </row>
    <row r="623" spans="1:48" ht="12.75" customHeight="1" x14ac:dyDescent="0.2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2"/>
      <c r="AJ623" s="62"/>
      <c r="AK623" s="62"/>
      <c r="AL623" s="62"/>
      <c r="AM623" s="62"/>
      <c r="AN623" s="62"/>
      <c r="AO623" s="62"/>
      <c r="AP623" s="62"/>
      <c r="AQ623" s="62"/>
      <c r="AR623" s="62"/>
      <c r="AS623" s="62"/>
      <c r="AT623" s="62"/>
      <c r="AU623" s="62"/>
      <c r="AV623" s="62"/>
    </row>
    <row r="624" spans="1:48" ht="12.75" customHeight="1" x14ac:dyDescent="0.2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  <c r="AB624" s="62"/>
      <c r="AC624" s="62"/>
      <c r="AD624" s="62"/>
      <c r="AE624" s="62"/>
      <c r="AF624" s="62"/>
      <c r="AG624" s="62"/>
      <c r="AH624" s="62"/>
      <c r="AI624" s="62"/>
      <c r="AJ624" s="62"/>
      <c r="AK624" s="62"/>
      <c r="AL624" s="62"/>
      <c r="AM624" s="62"/>
      <c r="AN624" s="62"/>
      <c r="AO624" s="62"/>
      <c r="AP624" s="62"/>
      <c r="AQ624" s="62"/>
      <c r="AR624" s="62"/>
      <c r="AS624" s="62"/>
      <c r="AT624" s="62"/>
      <c r="AU624" s="62"/>
      <c r="AV624" s="62"/>
    </row>
    <row r="625" spans="1:48" ht="12.75" customHeight="1" x14ac:dyDescent="0.2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2"/>
      <c r="AJ625" s="62"/>
      <c r="AK625" s="62"/>
      <c r="AL625" s="62"/>
      <c r="AM625" s="62"/>
      <c r="AN625" s="62"/>
      <c r="AO625" s="62"/>
      <c r="AP625" s="62"/>
      <c r="AQ625" s="62"/>
      <c r="AR625" s="62"/>
      <c r="AS625" s="62"/>
      <c r="AT625" s="62"/>
      <c r="AU625" s="62"/>
      <c r="AV625" s="62"/>
    </row>
    <row r="626" spans="1:48" ht="12.75" customHeight="1" x14ac:dyDescent="0.2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  <c r="AB626" s="62"/>
      <c r="AC626" s="62"/>
      <c r="AD626" s="62"/>
      <c r="AE626" s="62"/>
      <c r="AF626" s="62"/>
      <c r="AG626" s="62"/>
      <c r="AH626" s="62"/>
      <c r="AI626" s="62"/>
      <c r="AJ626" s="62"/>
      <c r="AK626" s="62"/>
      <c r="AL626" s="62"/>
      <c r="AM626" s="62"/>
      <c r="AN626" s="62"/>
      <c r="AO626" s="62"/>
      <c r="AP626" s="62"/>
      <c r="AQ626" s="62"/>
      <c r="AR626" s="62"/>
      <c r="AS626" s="62"/>
      <c r="AT626" s="62"/>
      <c r="AU626" s="62"/>
      <c r="AV626" s="62"/>
    </row>
    <row r="627" spans="1:48" ht="12.75" customHeight="1" x14ac:dyDescent="0.2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2"/>
      <c r="AJ627" s="62"/>
      <c r="AK627" s="62"/>
      <c r="AL627" s="62"/>
      <c r="AM627" s="62"/>
      <c r="AN627" s="62"/>
      <c r="AO627" s="62"/>
      <c r="AP627" s="62"/>
      <c r="AQ627" s="62"/>
      <c r="AR627" s="62"/>
      <c r="AS627" s="62"/>
      <c r="AT627" s="62"/>
      <c r="AU627" s="62"/>
      <c r="AV627" s="62"/>
    </row>
    <row r="628" spans="1:48" ht="12.75" customHeight="1" x14ac:dyDescent="0.2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  <c r="AB628" s="62"/>
      <c r="AC628" s="62"/>
      <c r="AD628" s="62"/>
      <c r="AE628" s="62"/>
      <c r="AF628" s="62"/>
      <c r="AG628" s="62"/>
      <c r="AH628" s="62"/>
      <c r="AI628" s="62"/>
      <c r="AJ628" s="62"/>
      <c r="AK628" s="62"/>
      <c r="AL628" s="62"/>
      <c r="AM628" s="62"/>
      <c r="AN628" s="62"/>
      <c r="AO628" s="62"/>
      <c r="AP628" s="62"/>
      <c r="AQ628" s="62"/>
      <c r="AR628" s="62"/>
      <c r="AS628" s="62"/>
      <c r="AT628" s="62"/>
      <c r="AU628" s="62"/>
      <c r="AV628" s="62"/>
    </row>
    <row r="629" spans="1:48" ht="12.75" customHeight="1" x14ac:dyDescent="0.2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2"/>
      <c r="AJ629" s="62"/>
      <c r="AK629" s="62"/>
      <c r="AL629" s="62"/>
      <c r="AM629" s="62"/>
      <c r="AN629" s="62"/>
      <c r="AO629" s="62"/>
      <c r="AP629" s="62"/>
      <c r="AQ629" s="62"/>
      <c r="AR629" s="62"/>
      <c r="AS629" s="62"/>
      <c r="AT629" s="62"/>
      <c r="AU629" s="62"/>
      <c r="AV629" s="62"/>
    </row>
    <row r="630" spans="1:48" ht="12.75" customHeight="1" x14ac:dyDescent="0.2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62"/>
      <c r="AJ630" s="62"/>
      <c r="AK630" s="62"/>
      <c r="AL630" s="62"/>
      <c r="AM630" s="62"/>
      <c r="AN630" s="62"/>
      <c r="AO630" s="62"/>
      <c r="AP630" s="62"/>
      <c r="AQ630" s="62"/>
      <c r="AR630" s="62"/>
      <c r="AS630" s="62"/>
      <c r="AT630" s="62"/>
      <c r="AU630" s="62"/>
      <c r="AV630" s="62"/>
    </row>
    <row r="631" spans="1:48" ht="12.75" customHeight="1" x14ac:dyDescent="0.2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2"/>
      <c r="AJ631" s="62"/>
      <c r="AK631" s="62"/>
      <c r="AL631" s="62"/>
      <c r="AM631" s="62"/>
      <c r="AN631" s="62"/>
      <c r="AO631" s="62"/>
      <c r="AP631" s="62"/>
      <c r="AQ631" s="62"/>
      <c r="AR631" s="62"/>
      <c r="AS631" s="62"/>
      <c r="AT631" s="62"/>
      <c r="AU631" s="62"/>
      <c r="AV631" s="62"/>
    </row>
    <row r="632" spans="1:48" ht="12.75" customHeight="1" x14ac:dyDescent="0.2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2"/>
      <c r="AE632" s="62"/>
      <c r="AF632" s="62"/>
      <c r="AG632" s="62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2"/>
    </row>
    <row r="633" spans="1:48" ht="12.75" customHeight="1" x14ac:dyDescent="0.2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</row>
    <row r="634" spans="1:48" ht="12.75" customHeight="1" x14ac:dyDescent="0.2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2"/>
      <c r="AE634" s="62"/>
      <c r="AF634" s="62"/>
      <c r="AG634" s="62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</row>
    <row r="635" spans="1:48" ht="12.75" customHeight="1" x14ac:dyDescent="0.2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</row>
    <row r="636" spans="1:48" ht="12.75" customHeight="1" x14ac:dyDescent="0.2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2"/>
      <c r="AE636" s="62"/>
      <c r="AF636" s="62"/>
      <c r="AG636" s="62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</row>
    <row r="637" spans="1:48" ht="12.75" customHeight="1" x14ac:dyDescent="0.2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</row>
    <row r="638" spans="1:48" ht="12.75" customHeight="1" x14ac:dyDescent="0.2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62"/>
      <c r="AF638" s="62"/>
      <c r="AG638" s="62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</row>
    <row r="639" spans="1:48" ht="12.75" customHeight="1" x14ac:dyDescent="0.2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</row>
    <row r="640" spans="1:48" ht="12.75" customHeight="1" x14ac:dyDescent="0.2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2"/>
      <c r="AE640" s="62"/>
      <c r="AF640" s="62"/>
      <c r="AG640" s="62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</row>
    <row r="641" spans="1:48" ht="12.75" customHeight="1" x14ac:dyDescent="0.2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</row>
    <row r="642" spans="1:48" ht="12.75" customHeight="1" x14ac:dyDescent="0.2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2"/>
      <c r="AE642" s="62"/>
      <c r="AF642" s="62"/>
      <c r="AG642" s="62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</row>
    <row r="643" spans="1:48" ht="12.75" customHeight="1" x14ac:dyDescent="0.2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</row>
    <row r="644" spans="1:48" ht="12.75" customHeight="1" x14ac:dyDescent="0.2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2"/>
      <c r="AE644" s="62"/>
      <c r="AF644" s="62"/>
      <c r="AG644" s="62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</row>
    <row r="645" spans="1:48" ht="12.75" customHeight="1" x14ac:dyDescent="0.2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</row>
    <row r="646" spans="1:48" ht="12.75" customHeight="1" x14ac:dyDescent="0.2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2"/>
      <c r="AE646" s="62"/>
      <c r="AF646" s="62"/>
      <c r="AG646" s="62"/>
      <c r="AH646" s="62"/>
      <c r="AI646" s="62"/>
      <c r="AJ646" s="62"/>
      <c r="AK646" s="62"/>
      <c r="AL646" s="62"/>
      <c r="AM646" s="62"/>
      <c r="AN646" s="62"/>
      <c r="AO646" s="62"/>
      <c r="AP646" s="62"/>
      <c r="AQ646" s="62"/>
      <c r="AR646" s="62"/>
      <c r="AS646" s="62"/>
      <c r="AT646" s="62"/>
      <c r="AU646" s="62"/>
      <c r="AV646" s="62"/>
    </row>
    <row r="647" spans="1:48" ht="12.75" customHeight="1" x14ac:dyDescent="0.2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2"/>
      <c r="AJ647" s="62"/>
      <c r="AK647" s="62"/>
      <c r="AL647" s="62"/>
      <c r="AM647" s="62"/>
      <c r="AN647" s="62"/>
      <c r="AO647" s="62"/>
      <c r="AP647" s="62"/>
      <c r="AQ647" s="62"/>
      <c r="AR647" s="62"/>
      <c r="AS647" s="62"/>
      <c r="AT647" s="62"/>
      <c r="AU647" s="62"/>
      <c r="AV647" s="62"/>
    </row>
    <row r="648" spans="1:48" ht="12.75" customHeight="1" x14ac:dyDescent="0.2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  <c r="AB648" s="62"/>
      <c r="AC648" s="62"/>
      <c r="AD648" s="62"/>
      <c r="AE648" s="62"/>
      <c r="AF648" s="62"/>
      <c r="AG648" s="62"/>
      <c r="AH648" s="62"/>
      <c r="AI648" s="62"/>
      <c r="AJ648" s="62"/>
      <c r="AK648" s="62"/>
      <c r="AL648" s="62"/>
      <c r="AM648" s="62"/>
      <c r="AN648" s="62"/>
      <c r="AO648" s="62"/>
      <c r="AP648" s="62"/>
      <c r="AQ648" s="62"/>
      <c r="AR648" s="62"/>
      <c r="AS648" s="62"/>
      <c r="AT648" s="62"/>
      <c r="AU648" s="62"/>
      <c r="AV648" s="62"/>
    </row>
    <row r="649" spans="1:48" ht="12.75" customHeight="1" x14ac:dyDescent="0.2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2"/>
      <c r="AJ649" s="62"/>
      <c r="AK649" s="62"/>
      <c r="AL649" s="62"/>
      <c r="AM649" s="62"/>
      <c r="AN649" s="62"/>
      <c r="AO649" s="62"/>
      <c r="AP649" s="62"/>
      <c r="AQ649" s="62"/>
      <c r="AR649" s="62"/>
      <c r="AS649" s="62"/>
      <c r="AT649" s="62"/>
      <c r="AU649" s="62"/>
      <c r="AV649" s="62"/>
    </row>
    <row r="650" spans="1:48" ht="12.75" customHeight="1" x14ac:dyDescent="0.2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  <c r="AB650" s="62"/>
      <c r="AC650" s="62"/>
      <c r="AD650" s="62"/>
      <c r="AE650" s="62"/>
      <c r="AF650" s="62"/>
      <c r="AG650" s="62"/>
      <c r="AH650" s="62"/>
      <c r="AI650" s="62"/>
      <c r="AJ650" s="62"/>
      <c r="AK650" s="62"/>
      <c r="AL650" s="62"/>
      <c r="AM650" s="62"/>
      <c r="AN650" s="62"/>
      <c r="AO650" s="62"/>
      <c r="AP650" s="62"/>
      <c r="AQ650" s="62"/>
      <c r="AR650" s="62"/>
      <c r="AS650" s="62"/>
      <c r="AT650" s="62"/>
      <c r="AU650" s="62"/>
      <c r="AV650" s="62"/>
    </row>
    <row r="651" spans="1:48" ht="12.75" customHeight="1" x14ac:dyDescent="0.2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2"/>
      <c r="AJ651" s="62"/>
      <c r="AK651" s="62"/>
      <c r="AL651" s="62"/>
      <c r="AM651" s="62"/>
      <c r="AN651" s="62"/>
      <c r="AO651" s="62"/>
      <c r="AP651" s="62"/>
      <c r="AQ651" s="62"/>
      <c r="AR651" s="62"/>
      <c r="AS651" s="62"/>
      <c r="AT651" s="62"/>
      <c r="AU651" s="62"/>
      <c r="AV651" s="62"/>
    </row>
    <row r="652" spans="1:48" ht="12.75" customHeight="1" x14ac:dyDescent="0.2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62"/>
      <c r="AJ652" s="62"/>
      <c r="AK652" s="62"/>
      <c r="AL652" s="62"/>
      <c r="AM652" s="62"/>
      <c r="AN652" s="62"/>
      <c r="AO652" s="62"/>
      <c r="AP652" s="62"/>
      <c r="AQ652" s="62"/>
      <c r="AR652" s="62"/>
      <c r="AS652" s="62"/>
      <c r="AT652" s="62"/>
      <c r="AU652" s="62"/>
      <c r="AV652" s="62"/>
    </row>
    <row r="653" spans="1:48" ht="12.75" customHeight="1" x14ac:dyDescent="0.2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2"/>
      <c r="AJ653" s="62"/>
      <c r="AK653" s="62"/>
      <c r="AL653" s="62"/>
      <c r="AM653" s="62"/>
      <c r="AN653" s="62"/>
      <c r="AO653" s="62"/>
      <c r="AP653" s="62"/>
      <c r="AQ653" s="62"/>
      <c r="AR653" s="62"/>
      <c r="AS653" s="62"/>
      <c r="AT653" s="62"/>
      <c r="AU653" s="62"/>
      <c r="AV653" s="62"/>
    </row>
    <row r="654" spans="1:48" ht="12.75" customHeight="1" x14ac:dyDescent="0.2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  <c r="AB654" s="62"/>
      <c r="AC654" s="62"/>
      <c r="AD654" s="62"/>
      <c r="AE654" s="62"/>
      <c r="AF654" s="62"/>
      <c r="AG654" s="62"/>
      <c r="AH654" s="62"/>
      <c r="AI654" s="62"/>
      <c r="AJ654" s="62"/>
      <c r="AK654" s="62"/>
      <c r="AL654" s="62"/>
      <c r="AM654" s="62"/>
      <c r="AN654" s="62"/>
      <c r="AO654" s="62"/>
      <c r="AP654" s="62"/>
      <c r="AQ654" s="62"/>
      <c r="AR654" s="62"/>
      <c r="AS654" s="62"/>
      <c r="AT654" s="62"/>
      <c r="AU654" s="62"/>
      <c r="AV654" s="62"/>
    </row>
    <row r="655" spans="1:48" ht="12.75" customHeight="1" x14ac:dyDescent="0.2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2"/>
      <c r="AJ655" s="62"/>
      <c r="AK655" s="62"/>
      <c r="AL655" s="62"/>
      <c r="AM655" s="62"/>
      <c r="AN655" s="62"/>
      <c r="AO655" s="62"/>
      <c r="AP655" s="62"/>
      <c r="AQ655" s="62"/>
      <c r="AR655" s="62"/>
      <c r="AS655" s="62"/>
      <c r="AT655" s="62"/>
      <c r="AU655" s="62"/>
      <c r="AV655" s="62"/>
    </row>
    <row r="656" spans="1:48" ht="12.75" customHeight="1" x14ac:dyDescent="0.2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  <c r="AB656" s="62"/>
      <c r="AC656" s="62"/>
      <c r="AD656" s="62"/>
      <c r="AE656" s="62"/>
      <c r="AF656" s="62"/>
      <c r="AG656" s="62"/>
      <c r="AH656" s="62"/>
      <c r="AI656" s="62"/>
      <c r="AJ656" s="62"/>
      <c r="AK656" s="62"/>
      <c r="AL656" s="62"/>
      <c r="AM656" s="62"/>
      <c r="AN656" s="62"/>
      <c r="AO656" s="62"/>
      <c r="AP656" s="62"/>
      <c r="AQ656" s="62"/>
      <c r="AR656" s="62"/>
      <c r="AS656" s="62"/>
      <c r="AT656" s="62"/>
      <c r="AU656" s="62"/>
      <c r="AV656" s="62"/>
    </row>
    <row r="657" spans="1:48" ht="12.75" customHeight="1" x14ac:dyDescent="0.2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2"/>
      <c r="AJ657" s="62"/>
      <c r="AK657" s="62"/>
      <c r="AL657" s="62"/>
      <c r="AM657" s="62"/>
      <c r="AN657" s="62"/>
      <c r="AO657" s="62"/>
      <c r="AP657" s="62"/>
      <c r="AQ657" s="62"/>
      <c r="AR657" s="62"/>
      <c r="AS657" s="62"/>
      <c r="AT657" s="62"/>
      <c r="AU657" s="62"/>
      <c r="AV657" s="62"/>
    </row>
    <row r="658" spans="1:48" ht="12.75" customHeight="1" x14ac:dyDescent="0.2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  <c r="AB658" s="62"/>
      <c r="AC658" s="62"/>
      <c r="AD658" s="62"/>
      <c r="AE658" s="62"/>
      <c r="AF658" s="62"/>
      <c r="AG658" s="62"/>
      <c r="AH658" s="62"/>
      <c r="AI658" s="62"/>
      <c r="AJ658" s="62"/>
      <c r="AK658" s="62"/>
      <c r="AL658" s="62"/>
      <c r="AM658" s="62"/>
      <c r="AN658" s="62"/>
      <c r="AO658" s="62"/>
      <c r="AP658" s="62"/>
      <c r="AQ658" s="62"/>
      <c r="AR658" s="62"/>
      <c r="AS658" s="62"/>
      <c r="AT658" s="62"/>
      <c r="AU658" s="62"/>
      <c r="AV658" s="62"/>
    </row>
    <row r="659" spans="1:48" ht="12.75" customHeight="1" x14ac:dyDescent="0.2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2"/>
    </row>
    <row r="660" spans="1:48" ht="12.75" customHeight="1" x14ac:dyDescent="0.2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2"/>
      <c r="AE660" s="62"/>
      <c r="AF660" s="62"/>
      <c r="AG660" s="62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</row>
    <row r="661" spans="1:48" ht="12.75" customHeight="1" x14ac:dyDescent="0.2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</row>
    <row r="662" spans="1:48" ht="12.75" customHeight="1" x14ac:dyDescent="0.2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2"/>
      <c r="AE662" s="62"/>
      <c r="AF662" s="62"/>
      <c r="AG662" s="62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</row>
    <row r="663" spans="1:48" ht="12.75" customHeight="1" x14ac:dyDescent="0.2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</row>
    <row r="664" spans="1:48" ht="12.75" customHeight="1" x14ac:dyDescent="0.2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2"/>
      <c r="AE664" s="62"/>
      <c r="AF664" s="62"/>
      <c r="AG664" s="62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</row>
    <row r="665" spans="1:48" ht="12.75" customHeight="1" x14ac:dyDescent="0.2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</row>
    <row r="666" spans="1:48" ht="12.75" customHeight="1" x14ac:dyDescent="0.2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62"/>
      <c r="AF666" s="62"/>
      <c r="AG666" s="62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</row>
    <row r="667" spans="1:48" ht="12.75" customHeight="1" x14ac:dyDescent="0.2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</row>
    <row r="668" spans="1:48" ht="12.75" customHeight="1" x14ac:dyDescent="0.2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2"/>
      <c r="AE668" s="62"/>
      <c r="AF668" s="62"/>
      <c r="AG668" s="62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</row>
    <row r="669" spans="1:48" ht="12.75" customHeight="1" x14ac:dyDescent="0.2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</row>
    <row r="670" spans="1:48" ht="12.75" customHeight="1" x14ac:dyDescent="0.2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2"/>
      <c r="AE670" s="62"/>
      <c r="AF670" s="62"/>
      <c r="AG670" s="62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</row>
    <row r="671" spans="1:48" ht="12.75" customHeight="1" x14ac:dyDescent="0.2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</row>
    <row r="672" spans="1:48" ht="12.75" customHeight="1" x14ac:dyDescent="0.2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2"/>
      <c r="AE672" s="62"/>
      <c r="AF672" s="62"/>
      <c r="AG672" s="62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</row>
    <row r="673" spans="1:48" ht="12.75" customHeight="1" x14ac:dyDescent="0.2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</row>
    <row r="674" spans="1:48" ht="12.75" customHeight="1" x14ac:dyDescent="0.2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</row>
    <row r="675" spans="1:48" ht="12.75" customHeight="1" x14ac:dyDescent="0.2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2"/>
      <c r="AJ675" s="62"/>
      <c r="AK675" s="62"/>
      <c r="AL675" s="62"/>
      <c r="AM675" s="62"/>
      <c r="AN675" s="62"/>
      <c r="AO675" s="62"/>
      <c r="AP675" s="62"/>
      <c r="AQ675" s="62"/>
      <c r="AR675" s="62"/>
      <c r="AS675" s="62"/>
      <c r="AT675" s="62"/>
      <c r="AU675" s="62"/>
      <c r="AV675" s="62"/>
    </row>
    <row r="676" spans="1:48" ht="12.75" customHeight="1" x14ac:dyDescent="0.2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  <c r="AB676" s="62"/>
      <c r="AC676" s="62"/>
      <c r="AD676" s="62"/>
      <c r="AE676" s="62"/>
      <c r="AF676" s="62"/>
      <c r="AG676" s="62"/>
      <c r="AH676" s="62"/>
      <c r="AI676" s="62"/>
      <c r="AJ676" s="62"/>
      <c r="AK676" s="62"/>
      <c r="AL676" s="62"/>
      <c r="AM676" s="62"/>
      <c r="AN676" s="62"/>
      <c r="AO676" s="62"/>
      <c r="AP676" s="62"/>
      <c r="AQ676" s="62"/>
      <c r="AR676" s="62"/>
      <c r="AS676" s="62"/>
      <c r="AT676" s="62"/>
      <c r="AU676" s="62"/>
      <c r="AV676" s="62"/>
    </row>
    <row r="677" spans="1:48" ht="12.75" customHeight="1" x14ac:dyDescent="0.2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2"/>
      <c r="AJ677" s="62"/>
      <c r="AK677" s="62"/>
      <c r="AL677" s="62"/>
      <c r="AM677" s="62"/>
      <c r="AN677" s="62"/>
      <c r="AO677" s="62"/>
      <c r="AP677" s="62"/>
      <c r="AQ677" s="62"/>
      <c r="AR677" s="62"/>
      <c r="AS677" s="62"/>
      <c r="AT677" s="62"/>
      <c r="AU677" s="62"/>
      <c r="AV677" s="62"/>
    </row>
    <row r="678" spans="1:48" ht="12.75" customHeight="1" x14ac:dyDescent="0.2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  <c r="AB678" s="62"/>
      <c r="AC678" s="62"/>
      <c r="AD678" s="62"/>
      <c r="AE678" s="62"/>
      <c r="AF678" s="62"/>
      <c r="AG678" s="62"/>
      <c r="AH678" s="62"/>
      <c r="AI678" s="62"/>
      <c r="AJ678" s="62"/>
      <c r="AK678" s="62"/>
      <c r="AL678" s="62"/>
      <c r="AM678" s="62"/>
      <c r="AN678" s="62"/>
      <c r="AO678" s="62"/>
      <c r="AP678" s="62"/>
      <c r="AQ678" s="62"/>
      <c r="AR678" s="62"/>
      <c r="AS678" s="62"/>
      <c r="AT678" s="62"/>
      <c r="AU678" s="62"/>
      <c r="AV678" s="62"/>
    </row>
    <row r="679" spans="1:48" ht="12.75" customHeight="1" x14ac:dyDescent="0.2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2"/>
      <c r="AJ679" s="62"/>
      <c r="AK679" s="62"/>
      <c r="AL679" s="62"/>
      <c r="AM679" s="62"/>
      <c r="AN679" s="62"/>
      <c r="AO679" s="62"/>
      <c r="AP679" s="62"/>
      <c r="AQ679" s="62"/>
      <c r="AR679" s="62"/>
      <c r="AS679" s="62"/>
      <c r="AT679" s="62"/>
      <c r="AU679" s="62"/>
      <c r="AV679" s="62"/>
    </row>
    <row r="680" spans="1:48" ht="12.75" customHeight="1" x14ac:dyDescent="0.2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  <c r="AB680" s="62"/>
      <c r="AC680" s="62"/>
      <c r="AD680" s="62"/>
      <c r="AE680" s="62"/>
      <c r="AF680" s="62"/>
      <c r="AG680" s="62"/>
      <c r="AH680" s="62"/>
      <c r="AI680" s="62"/>
      <c r="AJ680" s="62"/>
      <c r="AK680" s="62"/>
      <c r="AL680" s="62"/>
      <c r="AM680" s="62"/>
      <c r="AN680" s="62"/>
      <c r="AO680" s="62"/>
      <c r="AP680" s="62"/>
      <c r="AQ680" s="62"/>
      <c r="AR680" s="62"/>
      <c r="AS680" s="62"/>
      <c r="AT680" s="62"/>
      <c r="AU680" s="62"/>
      <c r="AV680" s="62"/>
    </row>
    <row r="681" spans="1:48" ht="12.75" customHeight="1" x14ac:dyDescent="0.2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2"/>
      <c r="AJ681" s="62"/>
      <c r="AK681" s="62"/>
      <c r="AL681" s="62"/>
      <c r="AM681" s="62"/>
      <c r="AN681" s="62"/>
      <c r="AO681" s="62"/>
      <c r="AP681" s="62"/>
      <c r="AQ681" s="62"/>
      <c r="AR681" s="62"/>
      <c r="AS681" s="62"/>
      <c r="AT681" s="62"/>
      <c r="AU681" s="62"/>
      <c r="AV681" s="62"/>
    </row>
    <row r="682" spans="1:48" ht="12.75" customHeight="1" x14ac:dyDescent="0.2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  <c r="AB682" s="62"/>
      <c r="AC682" s="62"/>
      <c r="AD682" s="62"/>
      <c r="AE682" s="62"/>
      <c r="AF682" s="62"/>
      <c r="AG682" s="62"/>
      <c r="AH682" s="62"/>
      <c r="AI682" s="62"/>
      <c r="AJ682" s="62"/>
      <c r="AK682" s="62"/>
      <c r="AL682" s="62"/>
      <c r="AM682" s="62"/>
      <c r="AN682" s="62"/>
      <c r="AO682" s="62"/>
      <c r="AP682" s="62"/>
      <c r="AQ682" s="62"/>
      <c r="AR682" s="62"/>
      <c r="AS682" s="62"/>
      <c r="AT682" s="62"/>
      <c r="AU682" s="62"/>
      <c r="AV682" s="62"/>
    </row>
    <row r="683" spans="1:48" ht="12.75" customHeight="1" x14ac:dyDescent="0.2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2"/>
      <c r="AJ683" s="62"/>
      <c r="AK683" s="62"/>
      <c r="AL683" s="62"/>
      <c r="AM683" s="62"/>
      <c r="AN683" s="62"/>
      <c r="AO683" s="62"/>
      <c r="AP683" s="62"/>
      <c r="AQ683" s="62"/>
      <c r="AR683" s="62"/>
      <c r="AS683" s="62"/>
      <c r="AT683" s="62"/>
      <c r="AU683" s="62"/>
      <c r="AV683" s="62"/>
    </row>
    <row r="684" spans="1:48" ht="12.75" customHeight="1" x14ac:dyDescent="0.2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  <c r="AB684" s="62"/>
      <c r="AC684" s="62"/>
      <c r="AD684" s="62"/>
      <c r="AE684" s="62"/>
      <c r="AF684" s="62"/>
      <c r="AG684" s="62"/>
      <c r="AH684" s="62"/>
      <c r="AI684" s="62"/>
      <c r="AJ684" s="62"/>
      <c r="AK684" s="62"/>
      <c r="AL684" s="62"/>
      <c r="AM684" s="62"/>
      <c r="AN684" s="62"/>
      <c r="AO684" s="62"/>
      <c r="AP684" s="62"/>
      <c r="AQ684" s="62"/>
      <c r="AR684" s="62"/>
      <c r="AS684" s="62"/>
      <c r="AT684" s="62"/>
      <c r="AU684" s="62"/>
      <c r="AV684" s="62"/>
    </row>
    <row r="685" spans="1:48" ht="12.75" customHeight="1" x14ac:dyDescent="0.2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2"/>
      <c r="AJ685" s="62"/>
      <c r="AK685" s="62"/>
      <c r="AL685" s="62"/>
      <c r="AM685" s="62"/>
      <c r="AN685" s="62"/>
      <c r="AO685" s="62"/>
      <c r="AP685" s="62"/>
      <c r="AQ685" s="62"/>
      <c r="AR685" s="62"/>
      <c r="AS685" s="62"/>
      <c r="AT685" s="62"/>
      <c r="AU685" s="62"/>
      <c r="AV685" s="62"/>
    </row>
    <row r="686" spans="1:48" ht="12.75" customHeight="1" x14ac:dyDescent="0.2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  <c r="AB686" s="62"/>
      <c r="AC686" s="62"/>
      <c r="AD686" s="62"/>
      <c r="AE686" s="62"/>
      <c r="AF686" s="62"/>
      <c r="AG686" s="62"/>
      <c r="AH686" s="62"/>
      <c r="AI686" s="62"/>
      <c r="AJ686" s="62"/>
      <c r="AK686" s="62"/>
      <c r="AL686" s="62"/>
      <c r="AM686" s="62"/>
      <c r="AN686" s="62"/>
      <c r="AO686" s="62"/>
      <c r="AP686" s="62"/>
      <c r="AQ686" s="62"/>
      <c r="AR686" s="62"/>
      <c r="AS686" s="62"/>
      <c r="AT686" s="62"/>
      <c r="AU686" s="62"/>
      <c r="AV686" s="62"/>
    </row>
    <row r="687" spans="1:48" ht="12.75" customHeight="1" x14ac:dyDescent="0.2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2"/>
      <c r="AJ687" s="62"/>
      <c r="AK687" s="62"/>
      <c r="AL687" s="62"/>
      <c r="AM687" s="62"/>
      <c r="AN687" s="62"/>
      <c r="AO687" s="62"/>
      <c r="AP687" s="62"/>
      <c r="AQ687" s="62"/>
      <c r="AR687" s="62"/>
      <c r="AS687" s="62"/>
      <c r="AT687" s="62"/>
      <c r="AU687" s="62"/>
      <c r="AV687" s="62"/>
    </row>
    <row r="688" spans="1:48" ht="12.75" customHeight="1" x14ac:dyDescent="0.2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2"/>
      <c r="AE688" s="62"/>
      <c r="AF688" s="62"/>
      <c r="AG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2"/>
    </row>
    <row r="689" spans="1:48" ht="12.75" customHeight="1" x14ac:dyDescent="0.2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</row>
    <row r="690" spans="1:48" ht="12.75" customHeight="1" x14ac:dyDescent="0.2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2"/>
      <c r="AE690" s="62"/>
      <c r="AF690" s="62"/>
      <c r="AG690" s="62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</row>
    <row r="691" spans="1:48" ht="12.75" customHeight="1" x14ac:dyDescent="0.2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</row>
    <row r="692" spans="1:48" ht="12.75" customHeight="1" x14ac:dyDescent="0.2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2"/>
      <c r="AE692" s="62"/>
      <c r="AF692" s="62"/>
      <c r="AG692" s="62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</row>
    <row r="693" spans="1:48" ht="12.75" customHeight="1" x14ac:dyDescent="0.2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</row>
    <row r="694" spans="1:48" ht="12.75" customHeight="1" x14ac:dyDescent="0.2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2"/>
      <c r="AE694" s="62"/>
      <c r="AF694" s="62"/>
      <c r="AG694" s="62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</row>
    <row r="695" spans="1:48" ht="12.75" customHeight="1" x14ac:dyDescent="0.2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</row>
    <row r="696" spans="1:48" ht="12.75" customHeight="1" x14ac:dyDescent="0.2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</row>
    <row r="697" spans="1:48" ht="12.75" customHeight="1" x14ac:dyDescent="0.2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</row>
    <row r="698" spans="1:48" ht="12.75" customHeight="1" x14ac:dyDescent="0.2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2"/>
      <c r="AE698" s="62"/>
      <c r="AF698" s="62"/>
      <c r="AG698" s="62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</row>
    <row r="699" spans="1:48" ht="12.75" customHeight="1" x14ac:dyDescent="0.2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</row>
    <row r="700" spans="1:48" ht="12.75" customHeight="1" x14ac:dyDescent="0.2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2"/>
      <c r="AE700" s="62"/>
      <c r="AF700" s="62"/>
      <c r="AG700" s="62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</row>
    <row r="701" spans="1:48" ht="12.75" customHeight="1" x14ac:dyDescent="0.2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</row>
    <row r="702" spans="1:48" ht="12.75" customHeight="1" x14ac:dyDescent="0.2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2"/>
      <c r="AE702" s="62"/>
      <c r="AF702" s="62"/>
      <c r="AG702" s="62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</row>
    <row r="703" spans="1:48" ht="12.75" customHeight="1" x14ac:dyDescent="0.2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</row>
    <row r="704" spans="1:48" ht="12.75" customHeight="1" x14ac:dyDescent="0.2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2"/>
      <c r="AE704" s="62"/>
      <c r="AF704" s="62"/>
      <c r="AG704" s="62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</row>
    <row r="705" spans="1:48" ht="12.75" customHeight="1" x14ac:dyDescent="0.2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</row>
    <row r="706" spans="1:48" ht="12.75" customHeight="1" x14ac:dyDescent="0.2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2"/>
      <c r="AE706" s="62"/>
      <c r="AF706" s="62"/>
      <c r="AG706" s="62"/>
      <c r="AH706" s="62"/>
      <c r="AI706" s="62"/>
      <c r="AJ706" s="62"/>
      <c r="AK706" s="62"/>
      <c r="AL706" s="62"/>
      <c r="AM706" s="62"/>
      <c r="AN706" s="62"/>
      <c r="AO706" s="62"/>
      <c r="AP706" s="62"/>
      <c r="AQ706" s="62"/>
      <c r="AR706" s="62"/>
      <c r="AS706" s="62"/>
      <c r="AT706" s="62"/>
      <c r="AU706" s="62"/>
      <c r="AV706" s="62"/>
    </row>
    <row r="707" spans="1:48" ht="12.75" customHeight="1" x14ac:dyDescent="0.2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2"/>
      <c r="AJ707" s="62"/>
      <c r="AK707" s="62"/>
      <c r="AL707" s="62"/>
      <c r="AM707" s="62"/>
      <c r="AN707" s="62"/>
      <c r="AO707" s="62"/>
      <c r="AP707" s="62"/>
      <c r="AQ707" s="62"/>
      <c r="AR707" s="62"/>
      <c r="AS707" s="62"/>
      <c r="AT707" s="62"/>
      <c r="AU707" s="62"/>
      <c r="AV707" s="62"/>
    </row>
    <row r="708" spans="1:48" ht="12.75" customHeight="1" x14ac:dyDescent="0.2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  <c r="AB708" s="62"/>
      <c r="AC708" s="62"/>
      <c r="AD708" s="62"/>
      <c r="AE708" s="62"/>
      <c r="AF708" s="62"/>
      <c r="AG708" s="62"/>
      <c r="AH708" s="62"/>
      <c r="AI708" s="62"/>
      <c r="AJ708" s="62"/>
      <c r="AK708" s="62"/>
      <c r="AL708" s="62"/>
      <c r="AM708" s="62"/>
      <c r="AN708" s="62"/>
      <c r="AO708" s="62"/>
      <c r="AP708" s="62"/>
      <c r="AQ708" s="62"/>
      <c r="AR708" s="62"/>
      <c r="AS708" s="62"/>
      <c r="AT708" s="62"/>
      <c r="AU708" s="62"/>
      <c r="AV708" s="62"/>
    </row>
    <row r="709" spans="1:48" ht="12.75" customHeight="1" x14ac:dyDescent="0.2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2"/>
      <c r="AJ709" s="62"/>
      <c r="AK709" s="62"/>
      <c r="AL709" s="62"/>
      <c r="AM709" s="62"/>
      <c r="AN709" s="62"/>
      <c r="AO709" s="62"/>
      <c r="AP709" s="62"/>
      <c r="AQ709" s="62"/>
      <c r="AR709" s="62"/>
      <c r="AS709" s="62"/>
      <c r="AT709" s="62"/>
      <c r="AU709" s="62"/>
      <c r="AV709" s="62"/>
    </row>
    <row r="710" spans="1:48" ht="12.75" customHeight="1" x14ac:dyDescent="0.2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  <c r="AB710" s="62"/>
      <c r="AC710" s="62"/>
      <c r="AD710" s="62"/>
      <c r="AE710" s="62"/>
      <c r="AF710" s="62"/>
      <c r="AG710" s="62"/>
      <c r="AH710" s="62"/>
      <c r="AI710" s="62"/>
      <c r="AJ710" s="62"/>
      <c r="AK710" s="62"/>
      <c r="AL710" s="62"/>
      <c r="AM710" s="62"/>
      <c r="AN710" s="62"/>
      <c r="AO710" s="62"/>
      <c r="AP710" s="62"/>
      <c r="AQ710" s="62"/>
      <c r="AR710" s="62"/>
      <c r="AS710" s="62"/>
      <c r="AT710" s="62"/>
      <c r="AU710" s="62"/>
      <c r="AV710" s="62"/>
    </row>
    <row r="711" spans="1:48" ht="12.75" customHeight="1" x14ac:dyDescent="0.2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2"/>
      <c r="AJ711" s="62"/>
      <c r="AK711" s="62"/>
      <c r="AL711" s="62"/>
      <c r="AM711" s="62"/>
      <c r="AN711" s="62"/>
      <c r="AO711" s="62"/>
      <c r="AP711" s="62"/>
      <c r="AQ711" s="62"/>
      <c r="AR711" s="62"/>
      <c r="AS711" s="62"/>
      <c r="AT711" s="62"/>
      <c r="AU711" s="62"/>
      <c r="AV711" s="62"/>
    </row>
    <row r="712" spans="1:48" ht="12.75" customHeight="1" x14ac:dyDescent="0.2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  <c r="AB712" s="62"/>
      <c r="AC712" s="62"/>
      <c r="AD712" s="62"/>
      <c r="AE712" s="62"/>
      <c r="AF712" s="62"/>
      <c r="AG712" s="62"/>
      <c r="AH712" s="62"/>
      <c r="AI712" s="62"/>
      <c r="AJ712" s="62"/>
      <c r="AK712" s="62"/>
      <c r="AL712" s="62"/>
      <c r="AM712" s="62"/>
      <c r="AN712" s="62"/>
      <c r="AO712" s="62"/>
      <c r="AP712" s="62"/>
      <c r="AQ712" s="62"/>
      <c r="AR712" s="62"/>
      <c r="AS712" s="62"/>
      <c r="AT712" s="62"/>
      <c r="AU712" s="62"/>
      <c r="AV712" s="62"/>
    </row>
    <row r="713" spans="1:48" ht="12.75" customHeight="1" x14ac:dyDescent="0.2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2"/>
      <c r="AJ713" s="62"/>
      <c r="AK713" s="62"/>
      <c r="AL713" s="62"/>
      <c r="AM713" s="62"/>
      <c r="AN713" s="62"/>
      <c r="AO713" s="62"/>
      <c r="AP713" s="62"/>
      <c r="AQ713" s="62"/>
      <c r="AR713" s="62"/>
      <c r="AS713" s="62"/>
      <c r="AT713" s="62"/>
      <c r="AU713" s="62"/>
      <c r="AV713" s="62"/>
    </row>
    <row r="714" spans="1:48" ht="12.75" customHeight="1" x14ac:dyDescent="0.2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  <c r="AB714" s="62"/>
      <c r="AC714" s="62"/>
      <c r="AD714" s="62"/>
      <c r="AE714" s="62"/>
      <c r="AF714" s="62"/>
      <c r="AG714" s="62"/>
      <c r="AH714" s="62"/>
      <c r="AI714" s="62"/>
      <c r="AJ714" s="62"/>
      <c r="AK714" s="62"/>
      <c r="AL714" s="62"/>
      <c r="AM714" s="62"/>
      <c r="AN714" s="62"/>
      <c r="AO714" s="62"/>
      <c r="AP714" s="62"/>
      <c r="AQ714" s="62"/>
      <c r="AR714" s="62"/>
      <c r="AS714" s="62"/>
      <c r="AT714" s="62"/>
      <c r="AU714" s="62"/>
      <c r="AV714" s="62"/>
    </row>
    <row r="715" spans="1:48" ht="12.75" customHeight="1" x14ac:dyDescent="0.2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2"/>
      <c r="AJ715" s="62"/>
      <c r="AK715" s="62"/>
      <c r="AL715" s="62"/>
      <c r="AM715" s="62"/>
      <c r="AN715" s="62"/>
      <c r="AO715" s="62"/>
      <c r="AP715" s="62"/>
      <c r="AQ715" s="62"/>
      <c r="AR715" s="62"/>
      <c r="AS715" s="62"/>
      <c r="AT715" s="62"/>
      <c r="AU715" s="62"/>
      <c r="AV715" s="62"/>
    </row>
    <row r="716" spans="1:48" ht="12.75" customHeight="1" x14ac:dyDescent="0.2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  <c r="AB716" s="62"/>
      <c r="AC716" s="62"/>
      <c r="AD716" s="62"/>
      <c r="AE716" s="62"/>
      <c r="AF716" s="62"/>
      <c r="AG716" s="62"/>
      <c r="AH716" s="62"/>
      <c r="AI716" s="62"/>
      <c r="AJ716" s="62"/>
      <c r="AK716" s="62"/>
      <c r="AL716" s="62"/>
      <c r="AM716" s="62"/>
      <c r="AN716" s="62"/>
      <c r="AO716" s="62"/>
      <c r="AP716" s="62"/>
      <c r="AQ716" s="62"/>
      <c r="AR716" s="62"/>
      <c r="AS716" s="62"/>
      <c r="AT716" s="62"/>
      <c r="AU716" s="62"/>
      <c r="AV716" s="62"/>
    </row>
    <row r="717" spans="1:48" ht="12.75" customHeight="1" x14ac:dyDescent="0.2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2"/>
      <c r="AJ717" s="62"/>
      <c r="AK717" s="62"/>
      <c r="AL717" s="62"/>
      <c r="AM717" s="62"/>
      <c r="AN717" s="62"/>
      <c r="AO717" s="62"/>
      <c r="AP717" s="62"/>
      <c r="AQ717" s="62"/>
      <c r="AR717" s="62"/>
      <c r="AS717" s="62"/>
      <c r="AT717" s="62"/>
      <c r="AU717" s="62"/>
      <c r="AV717" s="62"/>
    </row>
    <row r="718" spans="1:48" ht="12.75" customHeight="1" x14ac:dyDescent="0.2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62"/>
      <c r="AJ718" s="62"/>
      <c r="AK718" s="62"/>
      <c r="AL718" s="62"/>
      <c r="AM718" s="62"/>
      <c r="AN718" s="62"/>
      <c r="AO718" s="62"/>
      <c r="AP718" s="62"/>
      <c r="AQ718" s="62"/>
      <c r="AR718" s="62"/>
      <c r="AS718" s="62"/>
      <c r="AT718" s="62"/>
      <c r="AU718" s="62"/>
      <c r="AV718" s="62"/>
    </row>
    <row r="719" spans="1:48" ht="12.75" customHeight="1" x14ac:dyDescent="0.2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</row>
    <row r="720" spans="1:48" ht="12.75" customHeight="1" x14ac:dyDescent="0.2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2"/>
      <c r="AE720" s="62"/>
      <c r="AF720" s="62"/>
      <c r="AG720" s="62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</row>
    <row r="721" spans="1:48" ht="12.75" customHeight="1" x14ac:dyDescent="0.2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</row>
    <row r="722" spans="1:48" ht="12.75" customHeight="1" x14ac:dyDescent="0.2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2"/>
      <c r="AE722" s="62"/>
      <c r="AF722" s="62"/>
      <c r="AG722" s="62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</row>
    <row r="723" spans="1:48" ht="12.75" customHeight="1" x14ac:dyDescent="0.2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</row>
    <row r="724" spans="1:48" ht="12.75" customHeight="1" x14ac:dyDescent="0.2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2"/>
      <c r="AE724" s="62"/>
      <c r="AF724" s="62"/>
      <c r="AG724" s="62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</row>
    <row r="725" spans="1:48" ht="12.75" customHeight="1" x14ac:dyDescent="0.2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</row>
    <row r="726" spans="1:48" ht="12.75" customHeight="1" x14ac:dyDescent="0.2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2"/>
      <c r="AE726" s="62"/>
      <c r="AF726" s="62"/>
      <c r="AG726" s="62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</row>
    <row r="727" spans="1:48" ht="12.75" customHeight="1" x14ac:dyDescent="0.2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</row>
    <row r="728" spans="1:48" ht="12.75" customHeight="1" x14ac:dyDescent="0.2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62"/>
      <c r="AF728" s="62"/>
      <c r="AG728" s="62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</row>
    <row r="729" spans="1:48" ht="12.75" customHeight="1" x14ac:dyDescent="0.2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</row>
    <row r="730" spans="1:48" ht="12.75" customHeight="1" x14ac:dyDescent="0.2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2"/>
      <c r="AE730" s="62"/>
      <c r="AF730" s="62"/>
      <c r="AG730" s="62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</row>
    <row r="731" spans="1:48" ht="12.75" customHeight="1" x14ac:dyDescent="0.2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</row>
    <row r="732" spans="1:48" ht="12.75" customHeight="1" x14ac:dyDescent="0.2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2"/>
      <c r="AE732" s="62"/>
      <c r="AF732" s="62"/>
      <c r="AG732" s="62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</row>
    <row r="733" spans="1:48" ht="12.75" customHeight="1" x14ac:dyDescent="0.2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</row>
    <row r="734" spans="1:48" ht="12.75" customHeight="1" x14ac:dyDescent="0.2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2"/>
      <c r="AE734" s="62"/>
      <c r="AF734" s="62"/>
      <c r="AG734" s="62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</row>
    <row r="735" spans="1:48" ht="12.75" customHeight="1" x14ac:dyDescent="0.2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</row>
    <row r="736" spans="1:48" ht="12.75" customHeight="1" x14ac:dyDescent="0.2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2"/>
      <c r="AE736" s="62"/>
      <c r="AF736" s="62"/>
      <c r="AG736" s="62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</row>
    <row r="737" spans="1:48" ht="12.75" customHeight="1" x14ac:dyDescent="0.2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</row>
    <row r="738" spans="1:48" ht="12.75" customHeight="1" x14ac:dyDescent="0.2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2"/>
      <c r="AE738" s="62"/>
      <c r="AF738" s="62"/>
      <c r="AG738" s="62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</row>
    <row r="739" spans="1:48" ht="12.75" customHeight="1" x14ac:dyDescent="0.2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2"/>
      <c r="AJ739" s="62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2"/>
      <c r="AV739" s="62"/>
    </row>
    <row r="740" spans="1:48" ht="12.75" customHeight="1" x14ac:dyDescent="0.2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62"/>
      <c r="AJ740" s="62"/>
      <c r="AK740" s="62"/>
      <c r="AL740" s="62"/>
      <c r="AM740" s="62"/>
      <c r="AN740" s="62"/>
      <c r="AO740" s="62"/>
      <c r="AP740" s="62"/>
      <c r="AQ740" s="62"/>
      <c r="AR740" s="62"/>
      <c r="AS740" s="62"/>
      <c r="AT740" s="62"/>
      <c r="AU740" s="62"/>
      <c r="AV740" s="62"/>
    </row>
    <row r="741" spans="1:48" ht="12.75" customHeight="1" x14ac:dyDescent="0.2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2"/>
      <c r="AJ741" s="62"/>
      <c r="AK741" s="62"/>
      <c r="AL741" s="62"/>
      <c r="AM741" s="62"/>
      <c r="AN741" s="62"/>
      <c r="AO741" s="62"/>
      <c r="AP741" s="62"/>
      <c r="AQ741" s="62"/>
      <c r="AR741" s="62"/>
      <c r="AS741" s="62"/>
      <c r="AT741" s="62"/>
      <c r="AU741" s="62"/>
      <c r="AV741" s="62"/>
    </row>
    <row r="742" spans="1:48" ht="12.75" customHeight="1" x14ac:dyDescent="0.2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  <c r="AB742" s="62"/>
      <c r="AC742" s="62"/>
      <c r="AD742" s="62"/>
      <c r="AE742" s="62"/>
      <c r="AF742" s="62"/>
      <c r="AG742" s="62"/>
      <c r="AH742" s="62"/>
      <c r="AI742" s="62"/>
      <c r="AJ742" s="62"/>
      <c r="AK742" s="62"/>
      <c r="AL742" s="62"/>
      <c r="AM742" s="62"/>
      <c r="AN742" s="62"/>
      <c r="AO742" s="62"/>
      <c r="AP742" s="62"/>
      <c r="AQ742" s="62"/>
      <c r="AR742" s="62"/>
      <c r="AS742" s="62"/>
      <c r="AT742" s="62"/>
      <c r="AU742" s="62"/>
      <c r="AV742" s="62"/>
    </row>
    <row r="743" spans="1:48" ht="12.75" customHeight="1" x14ac:dyDescent="0.2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2"/>
      <c r="AJ743" s="62"/>
      <c r="AK743" s="62"/>
      <c r="AL743" s="62"/>
      <c r="AM743" s="62"/>
      <c r="AN743" s="62"/>
      <c r="AO743" s="62"/>
      <c r="AP743" s="62"/>
      <c r="AQ743" s="62"/>
      <c r="AR743" s="62"/>
      <c r="AS743" s="62"/>
      <c r="AT743" s="62"/>
      <c r="AU743" s="62"/>
      <c r="AV743" s="62"/>
    </row>
    <row r="744" spans="1:48" ht="12.75" customHeight="1" x14ac:dyDescent="0.2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  <c r="AB744" s="62"/>
      <c r="AC744" s="62"/>
      <c r="AD744" s="62"/>
      <c r="AE744" s="62"/>
      <c r="AF744" s="62"/>
      <c r="AG744" s="62"/>
      <c r="AH744" s="62"/>
      <c r="AI744" s="62"/>
      <c r="AJ744" s="62"/>
      <c r="AK744" s="62"/>
      <c r="AL744" s="62"/>
      <c r="AM744" s="62"/>
      <c r="AN744" s="62"/>
      <c r="AO744" s="62"/>
      <c r="AP744" s="62"/>
      <c r="AQ744" s="62"/>
      <c r="AR744" s="62"/>
      <c r="AS744" s="62"/>
      <c r="AT744" s="62"/>
      <c r="AU744" s="62"/>
      <c r="AV744" s="62"/>
    </row>
    <row r="745" spans="1:48" ht="12.75" customHeight="1" x14ac:dyDescent="0.2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2"/>
      <c r="AJ745" s="62"/>
      <c r="AK745" s="62"/>
      <c r="AL745" s="62"/>
      <c r="AM745" s="62"/>
      <c r="AN745" s="62"/>
      <c r="AO745" s="62"/>
      <c r="AP745" s="62"/>
      <c r="AQ745" s="62"/>
      <c r="AR745" s="62"/>
      <c r="AS745" s="62"/>
      <c r="AT745" s="62"/>
      <c r="AU745" s="62"/>
      <c r="AV745" s="62"/>
    </row>
    <row r="746" spans="1:48" ht="12.75" customHeight="1" x14ac:dyDescent="0.2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  <c r="AB746" s="62"/>
      <c r="AC746" s="62"/>
      <c r="AD746" s="62"/>
      <c r="AE746" s="62"/>
      <c r="AF746" s="62"/>
      <c r="AG746" s="62"/>
      <c r="AH746" s="62"/>
      <c r="AI746" s="62"/>
      <c r="AJ746" s="62"/>
      <c r="AK746" s="62"/>
      <c r="AL746" s="62"/>
      <c r="AM746" s="62"/>
      <c r="AN746" s="62"/>
      <c r="AO746" s="62"/>
      <c r="AP746" s="62"/>
      <c r="AQ746" s="62"/>
      <c r="AR746" s="62"/>
      <c r="AS746" s="62"/>
      <c r="AT746" s="62"/>
      <c r="AU746" s="62"/>
      <c r="AV746" s="62"/>
    </row>
    <row r="747" spans="1:48" ht="12.75" customHeight="1" x14ac:dyDescent="0.2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2"/>
      <c r="AJ747" s="62"/>
      <c r="AK747" s="62"/>
      <c r="AL747" s="62"/>
      <c r="AM747" s="62"/>
      <c r="AN747" s="62"/>
      <c r="AO747" s="62"/>
      <c r="AP747" s="62"/>
      <c r="AQ747" s="62"/>
      <c r="AR747" s="62"/>
      <c r="AS747" s="62"/>
      <c r="AT747" s="62"/>
      <c r="AU747" s="62"/>
      <c r="AV747" s="62"/>
    </row>
    <row r="748" spans="1:48" ht="12.75" customHeight="1" x14ac:dyDescent="0.2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  <c r="AB748" s="62"/>
      <c r="AC748" s="62"/>
      <c r="AD748" s="62"/>
      <c r="AE748" s="62"/>
      <c r="AF748" s="62"/>
      <c r="AG748" s="62"/>
      <c r="AH748" s="62"/>
      <c r="AI748" s="62"/>
      <c r="AJ748" s="62"/>
      <c r="AK748" s="62"/>
      <c r="AL748" s="62"/>
      <c r="AM748" s="62"/>
      <c r="AN748" s="62"/>
      <c r="AO748" s="62"/>
      <c r="AP748" s="62"/>
      <c r="AQ748" s="62"/>
      <c r="AR748" s="62"/>
      <c r="AS748" s="62"/>
      <c r="AT748" s="62"/>
      <c r="AU748" s="62"/>
      <c r="AV748" s="62"/>
    </row>
    <row r="749" spans="1:48" ht="12.75" customHeight="1" x14ac:dyDescent="0.2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2"/>
      <c r="AJ749" s="62"/>
      <c r="AK749" s="62"/>
      <c r="AL749" s="62"/>
      <c r="AM749" s="62"/>
      <c r="AN749" s="62"/>
      <c r="AO749" s="62"/>
      <c r="AP749" s="62"/>
      <c r="AQ749" s="62"/>
      <c r="AR749" s="62"/>
      <c r="AS749" s="62"/>
      <c r="AT749" s="62"/>
      <c r="AU749" s="62"/>
      <c r="AV749" s="62"/>
    </row>
    <row r="750" spans="1:48" ht="12.75" customHeight="1" x14ac:dyDescent="0.2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  <c r="AB750" s="62"/>
      <c r="AC750" s="62"/>
      <c r="AD750" s="62"/>
      <c r="AE750" s="62"/>
      <c r="AF750" s="62"/>
      <c r="AG750" s="62"/>
      <c r="AH750" s="62"/>
      <c r="AI750" s="62"/>
      <c r="AJ750" s="62"/>
      <c r="AK750" s="62"/>
      <c r="AL750" s="62"/>
      <c r="AM750" s="62"/>
      <c r="AN750" s="62"/>
      <c r="AO750" s="62"/>
      <c r="AP750" s="62"/>
      <c r="AQ750" s="62"/>
      <c r="AR750" s="62"/>
      <c r="AS750" s="62"/>
      <c r="AT750" s="62"/>
      <c r="AU750" s="62"/>
      <c r="AV750" s="62"/>
    </row>
    <row r="751" spans="1:48" ht="12.75" customHeight="1" x14ac:dyDescent="0.2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2"/>
      <c r="AJ751" s="62"/>
      <c r="AK751" s="62"/>
      <c r="AL751" s="62"/>
      <c r="AM751" s="62"/>
      <c r="AN751" s="62"/>
      <c r="AO751" s="62"/>
      <c r="AP751" s="62"/>
      <c r="AQ751" s="62"/>
      <c r="AR751" s="62"/>
      <c r="AS751" s="62"/>
      <c r="AT751" s="62"/>
      <c r="AU751" s="62"/>
      <c r="AV751" s="62"/>
    </row>
    <row r="752" spans="1:48" ht="12.75" customHeight="1" x14ac:dyDescent="0.2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  <c r="AB752" s="62"/>
      <c r="AC752" s="62"/>
      <c r="AD752" s="62"/>
      <c r="AE752" s="62"/>
      <c r="AF752" s="62"/>
      <c r="AG752" s="62"/>
      <c r="AH752" s="62"/>
      <c r="AI752" s="62"/>
      <c r="AJ752" s="62"/>
      <c r="AK752" s="62"/>
      <c r="AL752" s="62"/>
      <c r="AM752" s="62"/>
      <c r="AN752" s="62"/>
      <c r="AO752" s="62"/>
      <c r="AP752" s="62"/>
      <c r="AQ752" s="62"/>
      <c r="AR752" s="62"/>
      <c r="AS752" s="62"/>
      <c r="AT752" s="62"/>
      <c r="AU752" s="62"/>
      <c r="AV752" s="62"/>
    </row>
    <row r="753" spans="1:48" ht="12.75" customHeight="1" x14ac:dyDescent="0.2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2"/>
      <c r="AJ753" s="62"/>
      <c r="AK753" s="62"/>
      <c r="AL753" s="62"/>
      <c r="AM753" s="62"/>
      <c r="AN753" s="62"/>
      <c r="AO753" s="62"/>
      <c r="AP753" s="62"/>
      <c r="AQ753" s="62"/>
      <c r="AR753" s="62"/>
      <c r="AS753" s="62"/>
      <c r="AT753" s="62"/>
      <c r="AU753" s="62"/>
      <c r="AV753" s="62"/>
    </row>
    <row r="754" spans="1:48" ht="12.75" customHeight="1" x14ac:dyDescent="0.2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  <c r="AB754" s="62"/>
      <c r="AC754" s="62"/>
      <c r="AD754" s="62"/>
      <c r="AE754" s="62"/>
      <c r="AF754" s="62"/>
      <c r="AG754" s="62"/>
      <c r="AH754" s="62"/>
      <c r="AI754" s="62"/>
      <c r="AJ754" s="62"/>
      <c r="AK754" s="62"/>
      <c r="AL754" s="62"/>
      <c r="AM754" s="62"/>
      <c r="AN754" s="62"/>
      <c r="AO754" s="62"/>
      <c r="AP754" s="62"/>
      <c r="AQ754" s="62"/>
      <c r="AR754" s="62"/>
      <c r="AS754" s="62"/>
      <c r="AT754" s="62"/>
      <c r="AU754" s="62"/>
      <c r="AV754" s="62"/>
    </row>
    <row r="755" spans="1:48" ht="12.75" customHeight="1" x14ac:dyDescent="0.2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2"/>
      <c r="AJ755" s="62"/>
      <c r="AK755" s="62"/>
      <c r="AL755" s="62"/>
      <c r="AM755" s="62"/>
      <c r="AN755" s="62"/>
      <c r="AO755" s="62"/>
      <c r="AP755" s="62"/>
      <c r="AQ755" s="62"/>
      <c r="AR755" s="62"/>
      <c r="AS755" s="62"/>
      <c r="AT755" s="62"/>
      <c r="AU755" s="62"/>
      <c r="AV755" s="62"/>
    </row>
    <row r="756" spans="1:48" ht="12.75" customHeight="1" x14ac:dyDescent="0.2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  <c r="AB756" s="62"/>
      <c r="AC756" s="62"/>
      <c r="AD756" s="62"/>
      <c r="AE756" s="62"/>
      <c r="AF756" s="62"/>
      <c r="AG756" s="62"/>
      <c r="AH756" s="62"/>
      <c r="AI756" s="62"/>
      <c r="AJ756" s="62"/>
      <c r="AK756" s="62"/>
      <c r="AL756" s="62"/>
      <c r="AM756" s="62"/>
      <c r="AN756" s="62"/>
      <c r="AO756" s="62"/>
      <c r="AP756" s="62"/>
      <c r="AQ756" s="62"/>
      <c r="AR756" s="62"/>
      <c r="AS756" s="62"/>
      <c r="AT756" s="62"/>
      <c r="AU756" s="62"/>
      <c r="AV756" s="62"/>
    </row>
    <row r="757" spans="1:48" ht="12.75" customHeight="1" x14ac:dyDescent="0.2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2"/>
      <c r="AJ757" s="62"/>
      <c r="AK757" s="62"/>
      <c r="AL757" s="62"/>
      <c r="AM757" s="62"/>
      <c r="AN757" s="62"/>
      <c r="AO757" s="62"/>
      <c r="AP757" s="62"/>
      <c r="AQ757" s="62"/>
      <c r="AR757" s="62"/>
      <c r="AS757" s="62"/>
      <c r="AT757" s="62"/>
      <c r="AU757" s="62"/>
      <c r="AV757" s="62"/>
    </row>
    <row r="758" spans="1:48" ht="12.75" customHeight="1" x14ac:dyDescent="0.2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  <c r="AB758" s="62"/>
      <c r="AC758" s="62"/>
      <c r="AD758" s="62"/>
      <c r="AE758" s="62"/>
      <c r="AF758" s="62"/>
      <c r="AG758" s="62"/>
      <c r="AH758" s="62"/>
      <c r="AI758" s="62"/>
      <c r="AJ758" s="62"/>
      <c r="AK758" s="62"/>
      <c r="AL758" s="62"/>
      <c r="AM758" s="62"/>
      <c r="AN758" s="62"/>
      <c r="AO758" s="62"/>
      <c r="AP758" s="62"/>
      <c r="AQ758" s="62"/>
      <c r="AR758" s="62"/>
      <c r="AS758" s="62"/>
      <c r="AT758" s="62"/>
      <c r="AU758" s="62"/>
      <c r="AV758" s="62"/>
    </row>
    <row r="759" spans="1:48" ht="12.75" customHeight="1" x14ac:dyDescent="0.2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2"/>
      <c r="AJ759" s="62"/>
      <c r="AK759" s="62"/>
      <c r="AL759" s="62"/>
      <c r="AM759" s="62"/>
      <c r="AN759" s="62"/>
      <c r="AO759" s="62"/>
      <c r="AP759" s="62"/>
      <c r="AQ759" s="62"/>
      <c r="AR759" s="62"/>
      <c r="AS759" s="62"/>
      <c r="AT759" s="62"/>
      <c r="AU759" s="62"/>
      <c r="AV759" s="62"/>
    </row>
    <row r="760" spans="1:48" ht="12.75" customHeight="1" x14ac:dyDescent="0.2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  <c r="AB760" s="62"/>
      <c r="AC760" s="62"/>
      <c r="AD760" s="62"/>
      <c r="AE760" s="62"/>
      <c r="AF760" s="62"/>
      <c r="AG760" s="62"/>
      <c r="AH760" s="62"/>
      <c r="AI760" s="62"/>
      <c r="AJ760" s="62"/>
      <c r="AK760" s="62"/>
      <c r="AL760" s="62"/>
      <c r="AM760" s="62"/>
      <c r="AN760" s="62"/>
      <c r="AO760" s="62"/>
      <c r="AP760" s="62"/>
      <c r="AQ760" s="62"/>
      <c r="AR760" s="62"/>
      <c r="AS760" s="62"/>
      <c r="AT760" s="62"/>
      <c r="AU760" s="62"/>
      <c r="AV760" s="62"/>
    </row>
    <row r="761" spans="1:48" ht="12.75" customHeight="1" x14ac:dyDescent="0.2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2"/>
      <c r="AJ761" s="62"/>
      <c r="AK761" s="62"/>
      <c r="AL761" s="62"/>
      <c r="AM761" s="62"/>
      <c r="AN761" s="62"/>
      <c r="AO761" s="62"/>
      <c r="AP761" s="62"/>
      <c r="AQ761" s="62"/>
      <c r="AR761" s="62"/>
      <c r="AS761" s="62"/>
      <c r="AT761" s="62"/>
      <c r="AU761" s="62"/>
      <c r="AV761" s="62"/>
    </row>
    <row r="762" spans="1:48" ht="12.75" customHeight="1" x14ac:dyDescent="0.2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62"/>
      <c r="AJ762" s="62"/>
      <c r="AK762" s="62"/>
      <c r="AL762" s="62"/>
      <c r="AM762" s="62"/>
      <c r="AN762" s="62"/>
      <c r="AO762" s="62"/>
      <c r="AP762" s="62"/>
      <c r="AQ762" s="62"/>
      <c r="AR762" s="62"/>
      <c r="AS762" s="62"/>
      <c r="AT762" s="62"/>
      <c r="AU762" s="62"/>
      <c r="AV762" s="62"/>
    </row>
    <row r="763" spans="1:48" ht="12.75" customHeight="1" x14ac:dyDescent="0.2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2"/>
      <c r="AJ763" s="62"/>
      <c r="AK763" s="62"/>
      <c r="AL763" s="62"/>
      <c r="AM763" s="62"/>
      <c r="AN763" s="62"/>
      <c r="AO763" s="62"/>
      <c r="AP763" s="62"/>
      <c r="AQ763" s="62"/>
      <c r="AR763" s="62"/>
      <c r="AS763" s="62"/>
      <c r="AT763" s="62"/>
      <c r="AU763" s="62"/>
      <c r="AV763" s="62"/>
    </row>
    <row r="764" spans="1:48" ht="12.75" customHeight="1" x14ac:dyDescent="0.2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  <c r="AB764" s="62"/>
      <c r="AC764" s="62"/>
      <c r="AD764" s="62"/>
      <c r="AE764" s="62"/>
      <c r="AF764" s="62"/>
      <c r="AG764" s="62"/>
      <c r="AH764" s="62"/>
      <c r="AI764" s="62"/>
      <c r="AJ764" s="62"/>
      <c r="AK764" s="62"/>
      <c r="AL764" s="62"/>
      <c r="AM764" s="62"/>
      <c r="AN764" s="62"/>
      <c r="AO764" s="62"/>
      <c r="AP764" s="62"/>
      <c r="AQ764" s="62"/>
      <c r="AR764" s="62"/>
      <c r="AS764" s="62"/>
      <c r="AT764" s="62"/>
      <c r="AU764" s="62"/>
      <c r="AV764" s="62"/>
    </row>
    <row r="765" spans="1:48" ht="12.75" customHeight="1" x14ac:dyDescent="0.2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2"/>
      <c r="AJ765" s="62"/>
      <c r="AK765" s="62"/>
      <c r="AL765" s="62"/>
      <c r="AM765" s="62"/>
      <c r="AN765" s="62"/>
      <c r="AO765" s="62"/>
      <c r="AP765" s="62"/>
      <c r="AQ765" s="62"/>
      <c r="AR765" s="62"/>
      <c r="AS765" s="62"/>
      <c r="AT765" s="62"/>
      <c r="AU765" s="62"/>
      <c r="AV765" s="62"/>
    </row>
    <row r="766" spans="1:48" ht="12.75" customHeight="1" x14ac:dyDescent="0.2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  <c r="AB766" s="62"/>
      <c r="AC766" s="62"/>
      <c r="AD766" s="62"/>
      <c r="AE766" s="62"/>
      <c r="AF766" s="62"/>
      <c r="AG766" s="62"/>
      <c r="AH766" s="62"/>
      <c r="AI766" s="62"/>
      <c r="AJ766" s="62"/>
      <c r="AK766" s="62"/>
      <c r="AL766" s="62"/>
      <c r="AM766" s="62"/>
      <c r="AN766" s="62"/>
      <c r="AO766" s="62"/>
      <c r="AP766" s="62"/>
      <c r="AQ766" s="62"/>
      <c r="AR766" s="62"/>
      <c r="AS766" s="62"/>
      <c r="AT766" s="62"/>
      <c r="AU766" s="62"/>
      <c r="AV766" s="62"/>
    </row>
    <row r="767" spans="1:48" ht="12.75" customHeight="1" x14ac:dyDescent="0.2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2"/>
      <c r="AJ767" s="62"/>
      <c r="AK767" s="62"/>
      <c r="AL767" s="62"/>
      <c r="AM767" s="62"/>
      <c r="AN767" s="62"/>
      <c r="AO767" s="62"/>
      <c r="AP767" s="62"/>
      <c r="AQ767" s="62"/>
      <c r="AR767" s="62"/>
      <c r="AS767" s="62"/>
      <c r="AT767" s="62"/>
      <c r="AU767" s="62"/>
      <c r="AV767" s="62"/>
    </row>
    <row r="768" spans="1:48" ht="12.75" customHeight="1" x14ac:dyDescent="0.2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  <c r="AB768" s="62"/>
      <c r="AC768" s="62"/>
      <c r="AD768" s="62"/>
      <c r="AE768" s="62"/>
      <c r="AF768" s="62"/>
      <c r="AG768" s="62"/>
      <c r="AH768" s="62"/>
      <c r="AI768" s="62"/>
      <c r="AJ768" s="62"/>
      <c r="AK768" s="62"/>
      <c r="AL768" s="62"/>
      <c r="AM768" s="62"/>
      <c r="AN768" s="62"/>
      <c r="AO768" s="62"/>
      <c r="AP768" s="62"/>
      <c r="AQ768" s="62"/>
      <c r="AR768" s="62"/>
      <c r="AS768" s="62"/>
      <c r="AT768" s="62"/>
      <c r="AU768" s="62"/>
      <c r="AV768" s="62"/>
    </row>
    <row r="769" spans="1:48" ht="12.75" customHeight="1" x14ac:dyDescent="0.2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2"/>
      <c r="AJ769" s="62"/>
      <c r="AK769" s="62"/>
      <c r="AL769" s="62"/>
      <c r="AM769" s="62"/>
      <c r="AN769" s="62"/>
      <c r="AO769" s="62"/>
      <c r="AP769" s="62"/>
      <c r="AQ769" s="62"/>
      <c r="AR769" s="62"/>
      <c r="AS769" s="62"/>
      <c r="AT769" s="62"/>
      <c r="AU769" s="62"/>
      <c r="AV769" s="62"/>
    </row>
    <row r="770" spans="1:48" ht="12.75" customHeight="1" x14ac:dyDescent="0.2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  <c r="AB770" s="62"/>
      <c r="AC770" s="62"/>
      <c r="AD770" s="62"/>
      <c r="AE770" s="62"/>
      <c r="AF770" s="62"/>
      <c r="AG770" s="62"/>
      <c r="AH770" s="62"/>
      <c r="AI770" s="62"/>
      <c r="AJ770" s="62"/>
      <c r="AK770" s="62"/>
      <c r="AL770" s="62"/>
      <c r="AM770" s="62"/>
      <c r="AN770" s="62"/>
      <c r="AO770" s="62"/>
      <c r="AP770" s="62"/>
      <c r="AQ770" s="62"/>
      <c r="AR770" s="62"/>
      <c r="AS770" s="62"/>
      <c r="AT770" s="62"/>
      <c r="AU770" s="62"/>
      <c r="AV770" s="62"/>
    </row>
    <row r="771" spans="1:48" ht="12.75" customHeight="1" x14ac:dyDescent="0.2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2"/>
      <c r="AJ771" s="62"/>
      <c r="AK771" s="62"/>
      <c r="AL771" s="62"/>
      <c r="AM771" s="62"/>
      <c r="AN771" s="62"/>
      <c r="AO771" s="62"/>
      <c r="AP771" s="62"/>
      <c r="AQ771" s="62"/>
      <c r="AR771" s="62"/>
      <c r="AS771" s="62"/>
      <c r="AT771" s="62"/>
      <c r="AU771" s="62"/>
      <c r="AV771" s="62"/>
    </row>
    <row r="772" spans="1:48" ht="12.75" customHeight="1" x14ac:dyDescent="0.2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  <c r="AB772" s="62"/>
      <c r="AC772" s="62"/>
      <c r="AD772" s="62"/>
      <c r="AE772" s="62"/>
      <c r="AF772" s="62"/>
      <c r="AG772" s="62"/>
      <c r="AH772" s="62"/>
      <c r="AI772" s="62"/>
      <c r="AJ772" s="62"/>
      <c r="AK772" s="62"/>
      <c r="AL772" s="62"/>
      <c r="AM772" s="62"/>
      <c r="AN772" s="62"/>
      <c r="AO772" s="62"/>
      <c r="AP772" s="62"/>
      <c r="AQ772" s="62"/>
      <c r="AR772" s="62"/>
      <c r="AS772" s="62"/>
      <c r="AT772" s="62"/>
      <c r="AU772" s="62"/>
      <c r="AV772" s="62"/>
    </row>
    <row r="773" spans="1:48" ht="12.75" customHeight="1" x14ac:dyDescent="0.2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2"/>
      <c r="AJ773" s="62"/>
      <c r="AK773" s="62"/>
      <c r="AL773" s="62"/>
      <c r="AM773" s="62"/>
      <c r="AN773" s="62"/>
      <c r="AO773" s="62"/>
      <c r="AP773" s="62"/>
      <c r="AQ773" s="62"/>
      <c r="AR773" s="62"/>
      <c r="AS773" s="62"/>
      <c r="AT773" s="62"/>
      <c r="AU773" s="62"/>
      <c r="AV773" s="62"/>
    </row>
    <row r="774" spans="1:48" ht="12.75" customHeight="1" x14ac:dyDescent="0.2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  <c r="AB774" s="62"/>
      <c r="AC774" s="62"/>
      <c r="AD774" s="62"/>
      <c r="AE774" s="62"/>
      <c r="AF774" s="62"/>
      <c r="AG774" s="62"/>
      <c r="AH774" s="62"/>
      <c r="AI774" s="62"/>
      <c r="AJ774" s="62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2"/>
      <c r="AV774" s="62"/>
    </row>
    <row r="775" spans="1:48" ht="12.75" customHeight="1" x14ac:dyDescent="0.2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2"/>
      <c r="AJ775" s="62"/>
      <c r="AK775" s="62"/>
      <c r="AL775" s="62"/>
      <c r="AM775" s="62"/>
      <c r="AN775" s="62"/>
      <c r="AO775" s="62"/>
      <c r="AP775" s="62"/>
      <c r="AQ775" s="62"/>
      <c r="AR775" s="62"/>
      <c r="AS775" s="62"/>
      <c r="AT775" s="62"/>
      <c r="AU775" s="62"/>
      <c r="AV775" s="62"/>
    </row>
    <row r="776" spans="1:48" ht="12.75" customHeight="1" x14ac:dyDescent="0.2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  <c r="AB776" s="62"/>
      <c r="AC776" s="62"/>
      <c r="AD776" s="62"/>
      <c r="AE776" s="62"/>
      <c r="AF776" s="62"/>
      <c r="AG776" s="62"/>
      <c r="AH776" s="62"/>
      <c r="AI776" s="62"/>
      <c r="AJ776" s="62"/>
      <c r="AK776" s="62"/>
      <c r="AL776" s="62"/>
      <c r="AM776" s="62"/>
      <c r="AN776" s="62"/>
      <c r="AO776" s="62"/>
      <c r="AP776" s="62"/>
      <c r="AQ776" s="62"/>
      <c r="AR776" s="62"/>
      <c r="AS776" s="62"/>
      <c r="AT776" s="62"/>
      <c r="AU776" s="62"/>
      <c r="AV776" s="62"/>
    </row>
    <row r="777" spans="1:48" ht="12.75" customHeight="1" x14ac:dyDescent="0.2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2"/>
      <c r="AJ777" s="62"/>
      <c r="AK777" s="62"/>
      <c r="AL777" s="62"/>
      <c r="AM777" s="62"/>
      <c r="AN777" s="62"/>
      <c r="AO777" s="62"/>
      <c r="AP777" s="62"/>
      <c r="AQ777" s="62"/>
      <c r="AR777" s="62"/>
      <c r="AS777" s="62"/>
      <c r="AT777" s="62"/>
      <c r="AU777" s="62"/>
      <c r="AV777" s="62"/>
    </row>
    <row r="778" spans="1:48" ht="12.75" customHeight="1" x14ac:dyDescent="0.2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  <c r="AB778" s="62"/>
      <c r="AC778" s="62"/>
      <c r="AD778" s="62"/>
      <c r="AE778" s="62"/>
      <c r="AF778" s="62"/>
      <c r="AG778" s="62"/>
      <c r="AH778" s="62"/>
      <c r="AI778" s="62"/>
      <c r="AJ778" s="62"/>
      <c r="AK778" s="62"/>
      <c r="AL778" s="62"/>
      <c r="AM778" s="62"/>
      <c r="AN778" s="62"/>
      <c r="AO778" s="62"/>
      <c r="AP778" s="62"/>
      <c r="AQ778" s="62"/>
      <c r="AR778" s="62"/>
      <c r="AS778" s="62"/>
      <c r="AT778" s="62"/>
      <c r="AU778" s="62"/>
      <c r="AV778" s="62"/>
    </row>
    <row r="779" spans="1:48" ht="12.75" customHeight="1" x14ac:dyDescent="0.2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2"/>
      <c r="AJ779" s="62"/>
      <c r="AK779" s="62"/>
      <c r="AL779" s="62"/>
      <c r="AM779" s="62"/>
      <c r="AN779" s="62"/>
      <c r="AO779" s="62"/>
      <c r="AP779" s="62"/>
      <c r="AQ779" s="62"/>
      <c r="AR779" s="62"/>
      <c r="AS779" s="62"/>
      <c r="AT779" s="62"/>
      <c r="AU779" s="62"/>
      <c r="AV779" s="62"/>
    </row>
    <row r="780" spans="1:48" ht="12.75" customHeight="1" x14ac:dyDescent="0.2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  <c r="AB780" s="62"/>
      <c r="AC780" s="62"/>
      <c r="AD780" s="62"/>
      <c r="AE780" s="62"/>
      <c r="AF780" s="62"/>
      <c r="AG780" s="62"/>
      <c r="AH780" s="62"/>
      <c r="AI780" s="62"/>
      <c r="AJ780" s="62"/>
      <c r="AK780" s="62"/>
      <c r="AL780" s="62"/>
      <c r="AM780" s="62"/>
      <c r="AN780" s="62"/>
      <c r="AO780" s="62"/>
      <c r="AP780" s="62"/>
      <c r="AQ780" s="62"/>
      <c r="AR780" s="62"/>
      <c r="AS780" s="62"/>
      <c r="AT780" s="62"/>
      <c r="AU780" s="62"/>
      <c r="AV780" s="62"/>
    </row>
    <row r="781" spans="1:48" ht="12.75" customHeight="1" x14ac:dyDescent="0.2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2"/>
      <c r="AJ781" s="62"/>
      <c r="AK781" s="62"/>
      <c r="AL781" s="62"/>
      <c r="AM781" s="62"/>
      <c r="AN781" s="62"/>
      <c r="AO781" s="62"/>
      <c r="AP781" s="62"/>
      <c r="AQ781" s="62"/>
      <c r="AR781" s="62"/>
      <c r="AS781" s="62"/>
      <c r="AT781" s="62"/>
      <c r="AU781" s="62"/>
      <c r="AV781" s="62"/>
    </row>
    <row r="782" spans="1:48" ht="12.75" customHeight="1" x14ac:dyDescent="0.2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  <c r="AB782" s="62"/>
      <c r="AC782" s="62"/>
      <c r="AD782" s="62"/>
      <c r="AE782" s="62"/>
      <c r="AF782" s="62"/>
      <c r="AG782" s="62"/>
      <c r="AH782" s="62"/>
      <c r="AI782" s="62"/>
      <c r="AJ782" s="62"/>
      <c r="AK782" s="62"/>
      <c r="AL782" s="62"/>
      <c r="AM782" s="62"/>
      <c r="AN782" s="62"/>
      <c r="AO782" s="62"/>
      <c r="AP782" s="62"/>
      <c r="AQ782" s="62"/>
      <c r="AR782" s="62"/>
      <c r="AS782" s="62"/>
      <c r="AT782" s="62"/>
      <c r="AU782" s="62"/>
      <c r="AV782" s="62"/>
    </row>
    <row r="783" spans="1:48" ht="12.75" customHeight="1" x14ac:dyDescent="0.2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2"/>
      <c r="AJ783" s="62"/>
      <c r="AK783" s="62"/>
      <c r="AL783" s="62"/>
      <c r="AM783" s="62"/>
      <c r="AN783" s="62"/>
      <c r="AO783" s="62"/>
      <c r="AP783" s="62"/>
      <c r="AQ783" s="62"/>
      <c r="AR783" s="62"/>
      <c r="AS783" s="62"/>
      <c r="AT783" s="62"/>
      <c r="AU783" s="62"/>
      <c r="AV783" s="62"/>
    </row>
    <row r="784" spans="1:48" ht="12.75" customHeight="1" x14ac:dyDescent="0.2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62"/>
      <c r="AJ784" s="62"/>
      <c r="AK784" s="62"/>
      <c r="AL784" s="62"/>
      <c r="AM784" s="62"/>
      <c r="AN784" s="62"/>
      <c r="AO784" s="62"/>
      <c r="AP784" s="62"/>
      <c r="AQ784" s="62"/>
      <c r="AR784" s="62"/>
      <c r="AS784" s="62"/>
      <c r="AT784" s="62"/>
      <c r="AU784" s="62"/>
      <c r="AV784" s="62"/>
    </row>
    <row r="785" spans="1:48" ht="12.75" customHeight="1" x14ac:dyDescent="0.2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2"/>
      <c r="AJ785" s="62"/>
      <c r="AK785" s="62"/>
      <c r="AL785" s="62"/>
      <c r="AM785" s="62"/>
      <c r="AN785" s="62"/>
      <c r="AO785" s="62"/>
      <c r="AP785" s="62"/>
      <c r="AQ785" s="62"/>
      <c r="AR785" s="62"/>
      <c r="AS785" s="62"/>
      <c r="AT785" s="62"/>
      <c r="AU785" s="62"/>
      <c r="AV785" s="62"/>
    </row>
    <row r="786" spans="1:48" ht="12.75" customHeight="1" x14ac:dyDescent="0.2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  <c r="AB786" s="62"/>
      <c r="AC786" s="62"/>
      <c r="AD786" s="62"/>
      <c r="AE786" s="62"/>
      <c r="AF786" s="62"/>
      <c r="AG786" s="62"/>
      <c r="AH786" s="62"/>
      <c r="AI786" s="62"/>
      <c r="AJ786" s="62"/>
      <c r="AK786" s="62"/>
      <c r="AL786" s="62"/>
      <c r="AM786" s="62"/>
      <c r="AN786" s="62"/>
      <c r="AO786" s="62"/>
      <c r="AP786" s="62"/>
      <c r="AQ786" s="62"/>
      <c r="AR786" s="62"/>
      <c r="AS786" s="62"/>
      <c r="AT786" s="62"/>
      <c r="AU786" s="62"/>
      <c r="AV786" s="62"/>
    </row>
    <row r="787" spans="1:48" ht="12.75" customHeight="1" x14ac:dyDescent="0.2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2"/>
      <c r="AJ787" s="62"/>
      <c r="AK787" s="62"/>
      <c r="AL787" s="62"/>
      <c r="AM787" s="62"/>
      <c r="AN787" s="62"/>
      <c r="AO787" s="62"/>
      <c r="AP787" s="62"/>
      <c r="AQ787" s="62"/>
      <c r="AR787" s="62"/>
      <c r="AS787" s="62"/>
      <c r="AT787" s="62"/>
      <c r="AU787" s="62"/>
      <c r="AV787" s="62"/>
    </row>
    <row r="788" spans="1:48" ht="12.75" customHeight="1" x14ac:dyDescent="0.2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  <c r="AB788" s="62"/>
      <c r="AC788" s="62"/>
      <c r="AD788" s="62"/>
      <c r="AE788" s="62"/>
      <c r="AF788" s="62"/>
      <c r="AG788" s="62"/>
      <c r="AH788" s="62"/>
      <c r="AI788" s="62"/>
      <c r="AJ788" s="62"/>
      <c r="AK788" s="62"/>
      <c r="AL788" s="62"/>
      <c r="AM788" s="62"/>
      <c r="AN788" s="62"/>
      <c r="AO788" s="62"/>
      <c r="AP788" s="62"/>
      <c r="AQ788" s="62"/>
      <c r="AR788" s="62"/>
      <c r="AS788" s="62"/>
      <c r="AT788" s="62"/>
      <c r="AU788" s="62"/>
      <c r="AV788" s="62"/>
    </row>
    <row r="789" spans="1:48" ht="12.75" customHeight="1" x14ac:dyDescent="0.2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2"/>
      <c r="AJ789" s="62"/>
      <c r="AK789" s="62"/>
      <c r="AL789" s="62"/>
      <c r="AM789" s="62"/>
      <c r="AN789" s="62"/>
      <c r="AO789" s="62"/>
      <c r="AP789" s="62"/>
      <c r="AQ789" s="62"/>
      <c r="AR789" s="62"/>
      <c r="AS789" s="62"/>
      <c r="AT789" s="62"/>
      <c r="AU789" s="62"/>
      <c r="AV789" s="62"/>
    </row>
    <row r="790" spans="1:48" ht="12.75" customHeight="1" x14ac:dyDescent="0.2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  <c r="AB790" s="62"/>
      <c r="AC790" s="62"/>
      <c r="AD790" s="62"/>
      <c r="AE790" s="62"/>
      <c r="AF790" s="62"/>
      <c r="AG790" s="62"/>
      <c r="AH790" s="62"/>
      <c r="AI790" s="62"/>
      <c r="AJ790" s="62"/>
      <c r="AK790" s="62"/>
      <c r="AL790" s="62"/>
      <c r="AM790" s="62"/>
      <c r="AN790" s="62"/>
      <c r="AO790" s="62"/>
      <c r="AP790" s="62"/>
      <c r="AQ790" s="62"/>
      <c r="AR790" s="62"/>
      <c r="AS790" s="62"/>
      <c r="AT790" s="62"/>
      <c r="AU790" s="62"/>
      <c r="AV790" s="62"/>
    </row>
    <row r="791" spans="1:48" ht="12.75" customHeight="1" x14ac:dyDescent="0.2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2"/>
      <c r="AJ791" s="62"/>
      <c r="AK791" s="62"/>
      <c r="AL791" s="62"/>
      <c r="AM791" s="62"/>
      <c r="AN791" s="62"/>
      <c r="AO791" s="62"/>
      <c r="AP791" s="62"/>
      <c r="AQ791" s="62"/>
      <c r="AR791" s="62"/>
      <c r="AS791" s="62"/>
      <c r="AT791" s="62"/>
      <c r="AU791" s="62"/>
      <c r="AV791" s="62"/>
    </row>
    <row r="792" spans="1:48" ht="12.75" customHeight="1" x14ac:dyDescent="0.2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62"/>
    </row>
    <row r="793" spans="1:48" ht="12.75" customHeight="1" x14ac:dyDescent="0.2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62"/>
    </row>
    <row r="794" spans="1:48" ht="12.75" customHeight="1" x14ac:dyDescent="0.2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  <c r="AB794" s="62"/>
      <c r="AC794" s="62"/>
      <c r="AD794" s="62"/>
      <c r="AE794" s="62"/>
      <c r="AF794" s="62"/>
      <c r="AG794" s="62"/>
      <c r="AH794" s="62"/>
      <c r="AI794" s="62"/>
      <c r="AJ794" s="62"/>
      <c r="AK794" s="62"/>
      <c r="AL794" s="62"/>
      <c r="AM794" s="62"/>
      <c r="AN794" s="62"/>
      <c r="AO794" s="62"/>
      <c r="AP794" s="62"/>
      <c r="AQ794" s="62"/>
      <c r="AR794" s="62"/>
      <c r="AS794" s="62"/>
      <c r="AT794" s="62"/>
      <c r="AU794" s="62"/>
      <c r="AV794" s="62"/>
    </row>
    <row r="795" spans="1:48" ht="12.75" customHeight="1" x14ac:dyDescent="0.2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</row>
    <row r="796" spans="1:48" ht="12.75" customHeight="1" x14ac:dyDescent="0.2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  <c r="AB796" s="62"/>
      <c r="AC796" s="62"/>
      <c r="AD796" s="62"/>
      <c r="AE796" s="62"/>
      <c r="AF796" s="62"/>
      <c r="AG796" s="62"/>
      <c r="AH796" s="62"/>
      <c r="AI796" s="62"/>
      <c r="AJ796" s="62"/>
      <c r="AK796" s="62"/>
      <c r="AL796" s="62"/>
      <c r="AM796" s="62"/>
      <c r="AN796" s="62"/>
      <c r="AO796" s="62"/>
      <c r="AP796" s="62"/>
      <c r="AQ796" s="62"/>
      <c r="AR796" s="62"/>
      <c r="AS796" s="62"/>
      <c r="AT796" s="62"/>
      <c r="AU796" s="62"/>
      <c r="AV796" s="62"/>
    </row>
    <row r="797" spans="1:48" ht="12.75" customHeight="1" x14ac:dyDescent="0.2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</row>
    <row r="798" spans="1:48" ht="12.75" customHeight="1" x14ac:dyDescent="0.2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</row>
    <row r="799" spans="1:48" ht="12.75" customHeight="1" x14ac:dyDescent="0.2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2"/>
      <c r="AJ799" s="62"/>
      <c r="AK799" s="62"/>
      <c r="AL799" s="62"/>
      <c r="AM799" s="62"/>
      <c r="AN799" s="62"/>
      <c r="AO799" s="62"/>
      <c r="AP799" s="62"/>
      <c r="AQ799" s="62"/>
      <c r="AR799" s="62"/>
      <c r="AS799" s="62"/>
      <c r="AT799" s="62"/>
      <c r="AU799" s="62"/>
      <c r="AV799" s="62"/>
    </row>
    <row r="800" spans="1:48" ht="12.75" customHeight="1" x14ac:dyDescent="0.2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  <c r="AB800" s="62"/>
      <c r="AC800" s="62"/>
      <c r="AD800" s="62"/>
      <c r="AE800" s="62"/>
      <c r="AF800" s="62"/>
      <c r="AG800" s="62"/>
      <c r="AH800" s="62"/>
      <c r="AI800" s="62"/>
      <c r="AJ800" s="62"/>
      <c r="AK800" s="62"/>
      <c r="AL800" s="62"/>
      <c r="AM800" s="62"/>
      <c r="AN800" s="62"/>
      <c r="AO800" s="62"/>
      <c r="AP800" s="62"/>
      <c r="AQ800" s="62"/>
      <c r="AR800" s="62"/>
      <c r="AS800" s="62"/>
      <c r="AT800" s="62"/>
      <c r="AU800" s="62"/>
      <c r="AV800" s="62"/>
    </row>
    <row r="801" spans="1:48" ht="12.75" customHeight="1" x14ac:dyDescent="0.2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2"/>
      <c r="AJ801" s="62"/>
      <c r="AK801" s="62"/>
      <c r="AL801" s="62"/>
      <c r="AM801" s="62"/>
      <c r="AN801" s="62"/>
      <c r="AO801" s="62"/>
      <c r="AP801" s="62"/>
      <c r="AQ801" s="62"/>
      <c r="AR801" s="62"/>
      <c r="AS801" s="62"/>
      <c r="AT801" s="62"/>
      <c r="AU801" s="62"/>
      <c r="AV801" s="62"/>
    </row>
    <row r="802" spans="1:48" ht="12.75" customHeight="1" x14ac:dyDescent="0.2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  <c r="AB802" s="62"/>
      <c r="AC802" s="62"/>
      <c r="AD802" s="62"/>
      <c r="AE802" s="62"/>
      <c r="AF802" s="62"/>
      <c r="AG802" s="62"/>
      <c r="AH802" s="62"/>
      <c r="AI802" s="62"/>
      <c r="AJ802" s="62"/>
      <c r="AK802" s="62"/>
      <c r="AL802" s="62"/>
      <c r="AM802" s="62"/>
      <c r="AN802" s="62"/>
      <c r="AO802" s="62"/>
      <c r="AP802" s="62"/>
      <c r="AQ802" s="62"/>
      <c r="AR802" s="62"/>
      <c r="AS802" s="62"/>
      <c r="AT802" s="62"/>
      <c r="AU802" s="62"/>
      <c r="AV802" s="62"/>
    </row>
    <row r="803" spans="1:48" ht="12.75" customHeight="1" x14ac:dyDescent="0.2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2"/>
      <c r="AJ803" s="62"/>
      <c r="AK803" s="62"/>
      <c r="AL803" s="62"/>
      <c r="AM803" s="62"/>
      <c r="AN803" s="62"/>
      <c r="AO803" s="62"/>
      <c r="AP803" s="62"/>
      <c r="AQ803" s="62"/>
      <c r="AR803" s="62"/>
      <c r="AS803" s="62"/>
      <c r="AT803" s="62"/>
      <c r="AU803" s="62"/>
      <c r="AV803" s="62"/>
    </row>
    <row r="804" spans="1:48" ht="12.75" customHeight="1" x14ac:dyDescent="0.2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  <c r="AB804" s="62"/>
      <c r="AC804" s="62"/>
      <c r="AD804" s="62"/>
      <c r="AE804" s="62"/>
      <c r="AF804" s="62"/>
      <c r="AG804" s="62"/>
      <c r="AH804" s="62"/>
      <c r="AI804" s="62"/>
      <c r="AJ804" s="62"/>
      <c r="AK804" s="62"/>
      <c r="AL804" s="62"/>
      <c r="AM804" s="62"/>
      <c r="AN804" s="62"/>
      <c r="AO804" s="62"/>
      <c r="AP804" s="62"/>
      <c r="AQ804" s="62"/>
      <c r="AR804" s="62"/>
      <c r="AS804" s="62"/>
      <c r="AT804" s="62"/>
      <c r="AU804" s="62"/>
      <c r="AV804" s="62"/>
    </row>
    <row r="805" spans="1:48" ht="12.75" customHeight="1" x14ac:dyDescent="0.2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2"/>
      <c r="AJ805" s="62"/>
      <c r="AK805" s="62"/>
      <c r="AL805" s="62"/>
      <c r="AM805" s="62"/>
      <c r="AN805" s="62"/>
      <c r="AO805" s="62"/>
      <c r="AP805" s="62"/>
      <c r="AQ805" s="62"/>
      <c r="AR805" s="62"/>
      <c r="AS805" s="62"/>
      <c r="AT805" s="62"/>
      <c r="AU805" s="62"/>
      <c r="AV805" s="62"/>
    </row>
    <row r="806" spans="1:48" ht="12.75" customHeight="1" x14ac:dyDescent="0.2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62"/>
      <c r="AJ806" s="62"/>
      <c r="AK806" s="62"/>
      <c r="AL806" s="62"/>
      <c r="AM806" s="62"/>
      <c r="AN806" s="62"/>
      <c r="AO806" s="62"/>
      <c r="AP806" s="62"/>
      <c r="AQ806" s="62"/>
      <c r="AR806" s="62"/>
      <c r="AS806" s="62"/>
      <c r="AT806" s="62"/>
      <c r="AU806" s="62"/>
      <c r="AV806" s="62"/>
    </row>
    <row r="807" spans="1:48" ht="12.75" customHeight="1" x14ac:dyDescent="0.2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2"/>
      <c r="AJ807" s="62"/>
      <c r="AK807" s="62"/>
      <c r="AL807" s="62"/>
      <c r="AM807" s="62"/>
      <c r="AN807" s="62"/>
      <c r="AO807" s="62"/>
      <c r="AP807" s="62"/>
      <c r="AQ807" s="62"/>
      <c r="AR807" s="62"/>
      <c r="AS807" s="62"/>
      <c r="AT807" s="62"/>
      <c r="AU807" s="62"/>
      <c r="AV807" s="62"/>
    </row>
    <row r="808" spans="1:48" ht="12.75" customHeight="1" x14ac:dyDescent="0.2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  <c r="AB808" s="62"/>
      <c r="AC808" s="62"/>
      <c r="AD808" s="62"/>
      <c r="AE808" s="62"/>
      <c r="AF808" s="62"/>
      <c r="AG808" s="62"/>
      <c r="AH808" s="62"/>
      <c r="AI808" s="62"/>
      <c r="AJ808" s="62"/>
      <c r="AK808" s="62"/>
      <c r="AL808" s="62"/>
      <c r="AM808" s="62"/>
      <c r="AN808" s="62"/>
      <c r="AO808" s="62"/>
      <c r="AP808" s="62"/>
      <c r="AQ808" s="62"/>
      <c r="AR808" s="62"/>
      <c r="AS808" s="62"/>
      <c r="AT808" s="62"/>
      <c r="AU808" s="62"/>
      <c r="AV808" s="62"/>
    </row>
    <row r="809" spans="1:48" ht="12.75" customHeight="1" x14ac:dyDescent="0.2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2"/>
      <c r="AJ809" s="62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2"/>
      <c r="AV809" s="62"/>
    </row>
    <row r="810" spans="1:48" ht="12.75" customHeight="1" x14ac:dyDescent="0.2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  <c r="AB810" s="62"/>
      <c r="AC810" s="62"/>
      <c r="AD810" s="62"/>
      <c r="AE810" s="62"/>
      <c r="AF810" s="62"/>
      <c r="AG810" s="62"/>
      <c r="AH810" s="62"/>
      <c r="AI810" s="62"/>
      <c r="AJ810" s="62"/>
      <c r="AK810" s="62"/>
      <c r="AL810" s="62"/>
      <c r="AM810" s="62"/>
      <c r="AN810" s="62"/>
      <c r="AO810" s="62"/>
      <c r="AP810" s="62"/>
      <c r="AQ810" s="62"/>
      <c r="AR810" s="62"/>
      <c r="AS810" s="62"/>
      <c r="AT810" s="62"/>
      <c r="AU810" s="62"/>
      <c r="AV810" s="62"/>
    </row>
    <row r="811" spans="1:48" ht="12.75" customHeight="1" x14ac:dyDescent="0.2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62"/>
      <c r="AU811" s="62"/>
      <c r="AV811" s="62"/>
    </row>
    <row r="812" spans="1:48" ht="12.75" customHeight="1" x14ac:dyDescent="0.2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  <c r="AB812" s="62"/>
      <c r="AC812" s="62"/>
      <c r="AD812" s="62"/>
      <c r="AE812" s="62"/>
      <c r="AF812" s="62"/>
      <c r="AG812" s="62"/>
      <c r="AH812" s="62"/>
      <c r="AI812" s="62"/>
      <c r="AJ812" s="62"/>
      <c r="AK812" s="62"/>
      <c r="AL812" s="62"/>
      <c r="AM812" s="62"/>
      <c r="AN812" s="62"/>
      <c r="AO812" s="62"/>
      <c r="AP812" s="62"/>
      <c r="AQ812" s="62"/>
      <c r="AR812" s="62"/>
      <c r="AS812" s="62"/>
      <c r="AT812" s="62"/>
      <c r="AU812" s="62"/>
      <c r="AV812" s="62"/>
    </row>
    <row r="813" spans="1:48" ht="12.75" customHeight="1" x14ac:dyDescent="0.2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62"/>
    </row>
    <row r="814" spans="1:48" ht="12.75" customHeight="1" x14ac:dyDescent="0.2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62"/>
    </row>
    <row r="815" spans="1:48" ht="12.75" customHeight="1" x14ac:dyDescent="0.2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2"/>
      <c r="AJ815" s="62"/>
      <c r="AK815" s="62"/>
      <c r="AL815" s="62"/>
      <c r="AM815" s="62"/>
      <c r="AN815" s="62"/>
      <c r="AO815" s="62"/>
      <c r="AP815" s="62"/>
      <c r="AQ815" s="62"/>
      <c r="AR815" s="62"/>
      <c r="AS815" s="62"/>
      <c r="AT815" s="62"/>
      <c r="AU815" s="62"/>
      <c r="AV815" s="62"/>
    </row>
    <row r="816" spans="1:48" ht="12.75" customHeight="1" x14ac:dyDescent="0.2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62"/>
      <c r="AG816" s="62"/>
      <c r="AH816" s="62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</row>
    <row r="817" spans="1:48" ht="12.75" customHeight="1" x14ac:dyDescent="0.2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2"/>
      <c r="AJ817" s="62"/>
      <c r="AK817" s="62"/>
      <c r="AL817" s="62"/>
      <c r="AM817" s="62"/>
      <c r="AN817" s="62"/>
      <c r="AO817" s="62"/>
      <c r="AP817" s="62"/>
      <c r="AQ817" s="62"/>
      <c r="AR817" s="62"/>
      <c r="AS817" s="62"/>
      <c r="AT817" s="62"/>
      <c r="AU817" s="62"/>
      <c r="AV817" s="62"/>
    </row>
    <row r="818" spans="1:48" ht="12.75" customHeight="1" x14ac:dyDescent="0.2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</row>
    <row r="819" spans="1:48" ht="12.75" customHeight="1" x14ac:dyDescent="0.2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</row>
    <row r="820" spans="1:48" ht="12.75" customHeight="1" x14ac:dyDescent="0.2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</row>
    <row r="821" spans="1:48" ht="12.75" customHeight="1" x14ac:dyDescent="0.2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2"/>
      <c r="AJ821" s="62"/>
      <c r="AK821" s="62"/>
      <c r="AL821" s="62"/>
      <c r="AM821" s="62"/>
      <c r="AN821" s="62"/>
      <c r="AO821" s="62"/>
      <c r="AP821" s="62"/>
      <c r="AQ821" s="62"/>
      <c r="AR821" s="62"/>
      <c r="AS821" s="62"/>
      <c r="AT821" s="62"/>
      <c r="AU821" s="62"/>
      <c r="AV821" s="62"/>
    </row>
    <row r="822" spans="1:48" ht="12.75" customHeight="1" x14ac:dyDescent="0.2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  <c r="AB822" s="62"/>
      <c r="AC822" s="62"/>
      <c r="AD822" s="62"/>
      <c r="AE822" s="62"/>
      <c r="AF822" s="62"/>
      <c r="AG822" s="62"/>
      <c r="AH822" s="62"/>
      <c r="AI822" s="62"/>
      <c r="AJ822" s="62"/>
      <c r="AK822" s="62"/>
      <c r="AL822" s="62"/>
      <c r="AM822" s="62"/>
      <c r="AN822" s="62"/>
      <c r="AO822" s="62"/>
      <c r="AP822" s="62"/>
      <c r="AQ822" s="62"/>
      <c r="AR822" s="62"/>
      <c r="AS822" s="62"/>
      <c r="AT822" s="62"/>
      <c r="AU822" s="62"/>
      <c r="AV822" s="62"/>
    </row>
    <row r="823" spans="1:48" ht="12.75" customHeight="1" x14ac:dyDescent="0.2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2"/>
      <c r="AJ823" s="62"/>
      <c r="AK823" s="62"/>
      <c r="AL823" s="62"/>
      <c r="AM823" s="62"/>
      <c r="AN823" s="62"/>
      <c r="AO823" s="62"/>
      <c r="AP823" s="62"/>
      <c r="AQ823" s="62"/>
      <c r="AR823" s="62"/>
      <c r="AS823" s="62"/>
      <c r="AT823" s="62"/>
      <c r="AU823" s="62"/>
      <c r="AV823" s="62"/>
    </row>
    <row r="824" spans="1:48" ht="12.75" customHeight="1" x14ac:dyDescent="0.2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  <c r="AB824" s="62"/>
      <c r="AC824" s="62"/>
      <c r="AD824" s="62"/>
      <c r="AE824" s="62"/>
      <c r="AF824" s="62"/>
      <c r="AG824" s="62"/>
      <c r="AH824" s="62"/>
      <c r="AI824" s="62"/>
      <c r="AJ824" s="62"/>
      <c r="AK824" s="62"/>
      <c r="AL824" s="62"/>
      <c r="AM824" s="62"/>
      <c r="AN824" s="62"/>
      <c r="AO824" s="62"/>
      <c r="AP824" s="62"/>
      <c r="AQ824" s="62"/>
      <c r="AR824" s="62"/>
      <c r="AS824" s="62"/>
      <c r="AT824" s="62"/>
      <c r="AU824" s="62"/>
      <c r="AV824" s="62"/>
    </row>
    <row r="825" spans="1:48" ht="12.75" customHeight="1" x14ac:dyDescent="0.2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2"/>
      <c r="AJ825" s="62"/>
      <c r="AK825" s="62"/>
      <c r="AL825" s="62"/>
      <c r="AM825" s="62"/>
      <c r="AN825" s="62"/>
      <c r="AO825" s="62"/>
      <c r="AP825" s="62"/>
      <c r="AQ825" s="62"/>
      <c r="AR825" s="62"/>
      <c r="AS825" s="62"/>
      <c r="AT825" s="62"/>
      <c r="AU825" s="62"/>
      <c r="AV825" s="62"/>
    </row>
    <row r="826" spans="1:48" ht="12.75" customHeight="1" x14ac:dyDescent="0.2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  <c r="AB826" s="62"/>
      <c r="AC826" s="62"/>
      <c r="AD826" s="62"/>
      <c r="AE826" s="62"/>
      <c r="AF826" s="62"/>
      <c r="AG826" s="62"/>
      <c r="AH826" s="62"/>
      <c r="AI826" s="62"/>
      <c r="AJ826" s="62"/>
      <c r="AK826" s="62"/>
      <c r="AL826" s="62"/>
      <c r="AM826" s="62"/>
      <c r="AN826" s="62"/>
      <c r="AO826" s="62"/>
      <c r="AP826" s="62"/>
      <c r="AQ826" s="62"/>
      <c r="AR826" s="62"/>
      <c r="AS826" s="62"/>
      <c r="AT826" s="62"/>
      <c r="AU826" s="62"/>
      <c r="AV826" s="62"/>
    </row>
    <row r="827" spans="1:48" ht="12.75" customHeight="1" x14ac:dyDescent="0.2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2"/>
      <c r="AJ827" s="62"/>
      <c r="AK827" s="62"/>
      <c r="AL827" s="62"/>
      <c r="AM827" s="62"/>
      <c r="AN827" s="62"/>
      <c r="AO827" s="62"/>
      <c r="AP827" s="62"/>
      <c r="AQ827" s="62"/>
      <c r="AR827" s="62"/>
      <c r="AS827" s="62"/>
      <c r="AT827" s="62"/>
      <c r="AU827" s="62"/>
      <c r="AV827" s="62"/>
    </row>
    <row r="828" spans="1:48" ht="12.75" customHeight="1" x14ac:dyDescent="0.2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62"/>
      <c r="AJ828" s="62"/>
      <c r="AK828" s="62"/>
      <c r="AL828" s="62"/>
      <c r="AM828" s="62"/>
      <c r="AN828" s="62"/>
      <c r="AO828" s="62"/>
      <c r="AP828" s="62"/>
      <c r="AQ828" s="62"/>
      <c r="AR828" s="62"/>
      <c r="AS828" s="62"/>
      <c r="AT828" s="62"/>
      <c r="AU828" s="62"/>
      <c r="AV828" s="62"/>
    </row>
    <row r="829" spans="1:48" ht="12.75" customHeight="1" x14ac:dyDescent="0.2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2"/>
      <c r="AJ829" s="62"/>
      <c r="AK829" s="62"/>
      <c r="AL829" s="62"/>
      <c r="AM829" s="62"/>
      <c r="AN829" s="62"/>
      <c r="AO829" s="62"/>
      <c r="AP829" s="62"/>
      <c r="AQ829" s="62"/>
      <c r="AR829" s="62"/>
      <c r="AS829" s="62"/>
      <c r="AT829" s="62"/>
      <c r="AU829" s="62"/>
      <c r="AV829" s="62"/>
    </row>
    <row r="830" spans="1:48" ht="12.75" customHeight="1" x14ac:dyDescent="0.2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  <c r="AB830" s="62"/>
      <c r="AC830" s="62"/>
      <c r="AD830" s="62"/>
      <c r="AE830" s="62"/>
      <c r="AF830" s="62"/>
      <c r="AG830" s="62"/>
      <c r="AH830" s="62"/>
      <c r="AI830" s="62"/>
      <c r="AJ830" s="62"/>
      <c r="AK830" s="62"/>
      <c r="AL830" s="62"/>
      <c r="AM830" s="62"/>
      <c r="AN830" s="62"/>
      <c r="AO830" s="62"/>
      <c r="AP830" s="62"/>
      <c r="AQ830" s="62"/>
      <c r="AR830" s="62"/>
      <c r="AS830" s="62"/>
      <c r="AT830" s="62"/>
      <c r="AU830" s="62"/>
      <c r="AV830" s="62"/>
    </row>
    <row r="831" spans="1:48" ht="12.75" customHeight="1" x14ac:dyDescent="0.2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2"/>
      <c r="AJ831" s="62"/>
      <c r="AK831" s="62"/>
      <c r="AL831" s="62"/>
      <c r="AM831" s="62"/>
      <c r="AN831" s="62"/>
      <c r="AO831" s="62"/>
      <c r="AP831" s="62"/>
      <c r="AQ831" s="62"/>
      <c r="AR831" s="62"/>
      <c r="AS831" s="62"/>
      <c r="AT831" s="62"/>
      <c r="AU831" s="62"/>
      <c r="AV831" s="62"/>
    </row>
    <row r="832" spans="1:48" ht="12.75" customHeight="1" x14ac:dyDescent="0.2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  <c r="AB832" s="62"/>
      <c r="AC832" s="62"/>
      <c r="AD832" s="62"/>
      <c r="AE832" s="62"/>
      <c r="AF832" s="62"/>
      <c r="AG832" s="62"/>
      <c r="AH832" s="62"/>
      <c r="AI832" s="62"/>
      <c r="AJ832" s="62"/>
      <c r="AK832" s="62"/>
      <c r="AL832" s="62"/>
      <c r="AM832" s="62"/>
      <c r="AN832" s="62"/>
      <c r="AO832" s="62"/>
      <c r="AP832" s="62"/>
      <c r="AQ832" s="62"/>
      <c r="AR832" s="62"/>
      <c r="AS832" s="62"/>
      <c r="AT832" s="62"/>
      <c r="AU832" s="62"/>
      <c r="AV832" s="62"/>
    </row>
    <row r="833" spans="1:48" ht="12.75" customHeight="1" x14ac:dyDescent="0.2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2"/>
      <c r="AJ833" s="62"/>
      <c r="AK833" s="62"/>
      <c r="AL833" s="62"/>
      <c r="AM833" s="62"/>
      <c r="AN833" s="62"/>
      <c r="AO833" s="62"/>
      <c r="AP833" s="62"/>
      <c r="AQ833" s="62"/>
      <c r="AR833" s="62"/>
      <c r="AS833" s="62"/>
      <c r="AT833" s="62"/>
      <c r="AU833" s="62"/>
      <c r="AV833" s="62"/>
    </row>
    <row r="834" spans="1:48" ht="12.75" customHeight="1" x14ac:dyDescent="0.2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  <c r="AB834" s="62"/>
      <c r="AC834" s="62"/>
      <c r="AD834" s="62"/>
      <c r="AE834" s="62"/>
      <c r="AF834" s="62"/>
      <c r="AG834" s="62"/>
      <c r="AH834" s="62"/>
      <c r="AI834" s="62"/>
      <c r="AJ834" s="62"/>
      <c r="AK834" s="62"/>
      <c r="AL834" s="62"/>
      <c r="AM834" s="62"/>
      <c r="AN834" s="62"/>
      <c r="AO834" s="62"/>
      <c r="AP834" s="62"/>
      <c r="AQ834" s="62"/>
      <c r="AR834" s="62"/>
      <c r="AS834" s="62"/>
      <c r="AT834" s="62"/>
      <c r="AU834" s="62"/>
      <c r="AV834" s="62"/>
    </row>
    <row r="835" spans="1:48" ht="12.75" customHeight="1" x14ac:dyDescent="0.2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2"/>
      <c r="AJ835" s="62"/>
      <c r="AK835" s="62"/>
      <c r="AL835" s="62"/>
      <c r="AM835" s="62"/>
      <c r="AN835" s="62"/>
      <c r="AO835" s="62"/>
      <c r="AP835" s="62"/>
      <c r="AQ835" s="62"/>
      <c r="AR835" s="62"/>
      <c r="AS835" s="62"/>
      <c r="AT835" s="62"/>
      <c r="AU835" s="62"/>
      <c r="AV835" s="62"/>
    </row>
    <row r="836" spans="1:48" ht="12.75" customHeight="1" x14ac:dyDescent="0.2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62"/>
    </row>
    <row r="837" spans="1:48" ht="12.75" customHeight="1" x14ac:dyDescent="0.2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2"/>
      <c r="AJ837" s="62"/>
      <c r="AK837" s="62"/>
      <c r="AL837" s="62"/>
      <c r="AM837" s="62"/>
      <c r="AN837" s="62"/>
      <c r="AO837" s="62"/>
      <c r="AP837" s="62"/>
      <c r="AQ837" s="62"/>
      <c r="AR837" s="62"/>
      <c r="AS837" s="62"/>
      <c r="AT837" s="62"/>
      <c r="AU837" s="62"/>
      <c r="AV837" s="62"/>
    </row>
    <row r="838" spans="1:48" ht="12.75" customHeight="1" x14ac:dyDescent="0.2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62"/>
      <c r="AG838" s="62"/>
      <c r="AH838" s="62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</row>
    <row r="839" spans="1:48" ht="12.75" customHeight="1" x14ac:dyDescent="0.2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2"/>
      <c r="AJ839" s="62"/>
      <c r="AK839" s="62"/>
      <c r="AL839" s="62"/>
      <c r="AM839" s="62"/>
      <c r="AN839" s="62"/>
      <c r="AO839" s="62"/>
      <c r="AP839" s="62"/>
      <c r="AQ839" s="62"/>
      <c r="AR839" s="62"/>
      <c r="AS839" s="62"/>
      <c r="AT839" s="62"/>
      <c r="AU839" s="62"/>
      <c r="AV839" s="62"/>
    </row>
    <row r="840" spans="1:48" ht="12.75" customHeight="1" x14ac:dyDescent="0.2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</row>
    <row r="841" spans="1:48" ht="12.75" customHeight="1" x14ac:dyDescent="0.2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</row>
    <row r="842" spans="1:48" ht="12.75" customHeight="1" x14ac:dyDescent="0.2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</row>
    <row r="843" spans="1:48" ht="12.75" customHeight="1" x14ac:dyDescent="0.2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2"/>
      <c r="AJ843" s="62"/>
      <c r="AK843" s="62"/>
      <c r="AL843" s="62"/>
      <c r="AM843" s="62"/>
      <c r="AN843" s="62"/>
      <c r="AO843" s="62"/>
      <c r="AP843" s="62"/>
      <c r="AQ843" s="62"/>
      <c r="AR843" s="62"/>
      <c r="AS843" s="62"/>
      <c r="AT843" s="62"/>
      <c r="AU843" s="62"/>
      <c r="AV843" s="62"/>
    </row>
    <row r="844" spans="1:48" ht="12.75" customHeight="1" x14ac:dyDescent="0.2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  <c r="AB844" s="62"/>
      <c r="AC844" s="62"/>
      <c r="AD844" s="62"/>
      <c r="AE844" s="62"/>
      <c r="AF844" s="62"/>
      <c r="AG844" s="62"/>
      <c r="AH844" s="62"/>
      <c r="AI844" s="62"/>
      <c r="AJ844" s="62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2"/>
      <c r="AV844" s="62"/>
    </row>
    <row r="845" spans="1:48" ht="12.75" customHeight="1" x14ac:dyDescent="0.2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2"/>
      <c r="AJ845" s="62"/>
      <c r="AK845" s="62"/>
      <c r="AL845" s="62"/>
      <c r="AM845" s="62"/>
      <c r="AN845" s="62"/>
      <c r="AO845" s="62"/>
      <c r="AP845" s="62"/>
      <c r="AQ845" s="62"/>
      <c r="AR845" s="62"/>
      <c r="AS845" s="62"/>
      <c r="AT845" s="62"/>
      <c r="AU845" s="62"/>
      <c r="AV845" s="62"/>
    </row>
    <row r="846" spans="1:48" ht="12.75" customHeight="1" x14ac:dyDescent="0.2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  <c r="AB846" s="62"/>
      <c r="AC846" s="62"/>
      <c r="AD846" s="62"/>
      <c r="AE846" s="62"/>
      <c r="AF846" s="62"/>
      <c r="AG846" s="62"/>
      <c r="AH846" s="62"/>
      <c r="AI846" s="62"/>
      <c r="AJ846" s="62"/>
      <c r="AK846" s="62"/>
      <c r="AL846" s="62"/>
      <c r="AM846" s="62"/>
      <c r="AN846" s="62"/>
      <c r="AO846" s="62"/>
      <c r="AP846" s="62"/>
      <c r="AQ846" s="62"/>
      <c r="AR846" s="62"/>
      <c r="AS846" s="62"/>
      <c r="AT846" s="62"/>
      <c r="AU846" s="62"/>
      <c r="AV846" s="62"/>
    </row>
    <row r="847" spans="1:48" ht="12.75" customHeight="1" x14ac:dyDescent="0.2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2"/>
      <c r="AJ847" s="62"/>
      <c r="AK847" s="62"/>
      <c r="AL847" s="62"/>
      <c r="AM847" s="62"/>
      <c r="AN847" s="62"/>
      <c r="AO847" s="62"/>
      <c r="AP847" s="62"/>
      <c r="AQ847" s="62"/>
      <c r="AR847" s="62"/>
      <c r="AS847" s="62"/>
      <c r="AT847" s="62"/>
      <c r="AU847" s="62"/>
      <c r="AV847" s="62"/>
    </row>
    <row r="848" spans="1:48" ht="12.75" customHeight="1" x14ac:dyDescent="0.2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  <c r="AB848" s="62"/>
      <c r="AC848" s="62"/>
      <c r="AD848" s="62"/>
      <c r="AE848" s="62"/>
      <c r="AF848" s="62"/>
      <c r="AG848" s="62"/>
      <c r="AH848" s="62"/>
      <c r="AI848" s="62"/>
      <c r="AJ848" s="62"/>
      <c r="AK848" s="62"/>
      <c r="AL848" s="62"/>
      <c r="AM848" s="62"/>
      <c r="AN848" s="62"/>
      <c r="AO848" s="62"/>
      <c r="AP848" s="62"/>
      <c r="AQ848" s="62"/>
      <c r="AR848" s="62"/>
      <c r="AS848" s="62"/>
      <c r="AT848" s="62"/>
      <c r="AU848" s="62"/>
      <c r="AV848" s="62"/>
    </row>
    <row r="849" spans="1:48" ht="12.75" customHeight="1" x14ac:dyDescent="0.2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2"/>
      <c r="AJ849" s="62"/>
      <c r="AK849" s="62"/>
      <c r="AL849" s="62"/>
      <c r="AM849" s="62"/>
      <c r="AN849" s="62"/>
      <c r="AO849" s="62"/>
      <c r="AP849" s="62"/>
      <c r="AQ849" s="62"/>
      <c r="AR849" s="62"/>
      <c r="AS849" s="62"/>
      <c r="AT849" s="62"/>
      <c r="AU849" s="62"/>
      <c r="AV849" s="62"/>
    </row>
    <row r="850" spans="1:48" ht="12.75" customHeight="1" x14ac:dyDescent="0.2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62"/>
      <c r="AJ850" s="62"/>
      <c r="AK850" s="62"/>
      <c r="AL850" s="62"/>
      <c r="AM850" s="62"/>
      <c r="AN850" s="62"/>
      <c r="AO850" s="62"/>
      <c r="AP850" s="62"/>
      <c r="AQ850" s="62"/>
      <c r="AR850" s="62"/>
      <c r="AS850" s="62"/>
      <c r="AT850" s="62"/>
      <c r="AU850" s="62"/>
      <c r="AV850" s="62"/>
    </row>
    <row r="851" spans="1:48" ht="12.75" customHeight="1" x14ac:dyDescent="0.2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2"/>
      <c r="AJ851" s="62"/>
      <c r="AK851" s="62"/>
      <c r="AL851" s="62"/>
      <c r="AM851" s="62"/>
      <c r="AN851" s="62"/>
      <c r="AO851" s="62"/>
      <c r="AP851" s="62"/>
      <c r="AQ851" s="62"/>
      <c r="AR851" s="62"/>
      <c r="AS851" s="62"/>
      <c r="AT851" s="62"/>
      <c r="AU851" s="62"/>
      <c r="AV851" s="62"/>
    </row>
    <row r="852" spans="1:48" ht="12.75" customHeight="1" x14ac:dyDescent="0.2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  <c r="AB852" s="62"/>
      <c r="AC852" s="62"/>
      <c r="AD852" s="62"/>
      <c r="AE852" s="62"/>
      <c r="AF852" s="62"/>
      <c r="AG852" s="62"/>
      <c r="AH852" s="62"/>
      <c r="AI852" s="62"/>
      <c r="AJ852" s="62"/>
      <c r="AK852" s="62"/>
      <c r="AL852" s="62"/>
      <c r="AM852" s="62"/>
      <c r="AN852" s="62"/>
      <c r="AO852" s="62"/>
      <c r="AP852" s="62"/>
      <c r="AQ852" s="62"/>
      <c r="AR852" s="62"/>
      <c r="AS852" s="62"/>
      <c r="AT852" s="62"/>
      <c r="AU852" s="62"/>
      <c r="AV852" s="62"/>
    </row>
    <row r="853" spans="1:48" ht="12.75" customHeight="1" x14ac:dyDescent="0.2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2"/>
      <c r="AJ853" s="62"/>
      <c r="AK853" s="62"/>
      <c r="AL853" s="62"/>
      <c r="AM853" s="62"/>
      <c r="AN853" s="62"/>
      <c r="AO853" s="62"/>
      <c r="AP853" s="62"/>
      <c r="AQ853" s="62"/>
      <c r="AR853" s="62"/>
      <c r="AS853" s="62"/>
      <c r="AT853" s="62"/>
      <c r="AU853" s="62"/>
      <c r="AV853" s="62"/>
    </row>
    <row r="854" spans="1:48" ht="12.75" customHeight="1" x14ac:dyDescent="0.2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  <c r="AB854" s="62"/>
      <c r="AC854" s="62"/>
      <c r="AD854" s="62"/>
      <c r="AE854" s="62"/>
      <c r="AF854" s="62"/>
      <c r="AG854" s="62"/>
      <c r="AH854" s="62"/>
      <c r="AI854" s="62"/>
      <c r="AJ854" s="62"/>
      <c r="AK854" s="62"/>
      <c r="AL854" s="62"/>
      <c r="AM854" s="62"/>
      <c r="AN854" s="62"/>
      <c r="AO854" s="62"/>
      <c r="AP854" s="62"/>
      <c r="AQ854" s="62"/>
      <c r="AR854" s="62"/>
      <c r="AS854" s="62"/>
      <c r="AT854" s="62"/>
      <c r="AU854" s="62"/>
      <c r="AV854" s="62"/>
    </row>
    <row r="855" spans="1:48" ht="12.75" customHeight="1" x14ac:dyDescent="0.2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  <c r="AV855" s="62"/>
    </row>
    <row r="856" spans="1:48" ht="12.75" customHeight="1" x14ac:dyDescent="0.2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  <c r="AB856" s="62"/>
      <c r="AC856" s="62"/>
      <c r="AD856" s="62"/>
      <c r="AE856" s="62"/>
      <c r="AF856" s="62"/>
      <c r="AG856" s="62"/>
      <c r="AH856" s="62"/>
      <c r="AI856" s="62"/>
      <c r="AJ856" s="62"/>
      <c r="AK856" s="62"/>
      <c r="AL856" s="62"/>
      <c r="AM856" s="62"/>
      <c r="AN856" s="62"/>
      <c r="AO856" s="62"/>
      <c r="AP856" s="62"/>
      <c r="AQ856" s="62"/>
      <c r="AR856" s="62"/>
      <c r="AS856" s="62"/>
      <c r="AT856" s="62"/>
      <c r="AU856" s="62"/>
      <c r="AV856" s="62"/>
    </row>
    <row r="857" spans="1:48" ht="12.75" customHeight="1" x14ac:dyDescent="0.2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2"/>
      <c r="AJ857" s="62"/>
      <c r="AK857" s="62"/>
      <c r="AL857" s="62"/>
      <c r="AM857" s="62"/>
      <c r="AN857" s="62"/>
      <c r="AO857" s="62"/>
      <c r="AP857" s="62"/>
      <c r="AQ857" s="62"/>
      <c r="AR857" s="62"/>
      <c r="AS857" s="62"/>
      <c r="AT857" s="62"/>
      <c r="AU857" s="62"/>
      <c r="AV857" s="62"/>
    </row>
    <row r="858" spans="1:48" ht="12.75" customHeight="1" x14ac:dyDescent="0.2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  <c r="AB858" s="62"/>
      <c r="AC858" s="62"/>
      <c r="AD858" s="62"/>
      <c r="AE858" s="62"/>
      <c r="AF858" s="62"/>
      <c r="AG858" s="62"/>
      <c r="AH858" s="62"/>
      <c r="AI858" s="62"/>
      <c r="AJ858" s="62"/>
      <c r="AK858" s="62"/>
      <c r="AL858" s="62"/>
      <c r="AM858" s="62"/>
      <c r="AN858" s="62"/>
      <c r="AO858" s="62"/>
      <c r="AP858" s="62"/>
      <c r="AQ858" s="62"/>
      <c r="AR858" s="62"/>
      <c r="AS858" s="62"/>
      <c r="AT858" s="62"/>
      <c r="AU858" s="62"/>
      <c r="AV858" s="62"/>
    </row>
    <row r="859" spans="1:48" ht="12.75" customHeight="1" x14ac:dyDescent="0.2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2"/>
      <c r="AJ859" s="62"/>
      <c r="AK859" s="62"/>
      <c r="AL859" s="62"/>
      <c r="AM859" s="62"/>
      <c r="AN859" s="62"/>
      <c r="AO859" s="62"/>
      <c r="AP859" s="62"/>
      <c r="AQ859" s="62"/>
      <c r="AR859" s="62"/>
      <c r="AS859" s="62"/>
      <c r="AT859" s="62"/>
      <c r="AU859" s="62"/>
      <c r="AV859" s="62"/>
    </row>
    <row r="860" spans="1:48" ht="12.75" customHeight="1" x14ac:dyDescent="0.2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  <c r="AB860" s="62"/>
      <c r="AC860" s="62"/>
      <c r="AD860" s="62"/>
      <c r="AE860" s="62"/>
      <c r="AF860" s="62"/>
      <c r="AG860" s="62"/>
      <c r="AH860" s="62"/>
      <c r="AI860" s="62"/>
      <c r="AJ860" s="62"/>
      <c r="AK860" s="62"/>
      <c r="AL860" s="62"/>
      <c r="AM860" s="62"/>
      <c r="AN860" s="62"/>
      <c r="AO860" s="62"/>
      <c r="AP860" s="62"/>
      <c r="AQ860" s="62"/>
      <c r="AR860" s="62"/>
      <c r="AS860" s="62"/>
      <c r="AT860" s="62"/>
      <c r="AU860" s="62"/>
      <c r="AV860" s="62"/>
    </row>
    <row r="861" spans="1:48" ht="12.75" customHeight="1" x14ac:dyDescent="0.2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2"/>
      <c r="AJ861" s="62"/>
      <c r="AK861" s="62"/>
      <c r="AL861" s="62"/>
      <c r="AM861" s="62"/>
      <c r="AN861" s="62"/>
      <c r="AO861" s="62"/>
      <c r="AP861" s="62"/>
      <c r="AQ861" s="62"/>
      <c r="AR861" s="62"/>
      <c r="AS861" s="62"/>
      <c r="AT861" s="62"/>
      <c r="AU861" s="62"/>
      <c r="AV861" s="62"/>
    </row>
    <row r="862" spans="1:48" ht="12.75" customHeight="1" x14ac:dyDescent="0.2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  <c r="AB862" s="62"/>
      <c r="AC862" s="62"/>
      <c r="AD862" s="62"/>
      <c r="AE862" s="62"/>
      <c r="AF862" s="62"/>
      <c r="AG862" s="62"/>
      <c r="AH862" s="62"/>
      <c r="AI862" s="62"/>
      <c r="AJ862" s="62"/>
      <c r="AK862" s="62"/>
      <c r="AL862" s="62"/>
      <c r="AM862" s="62"/>
      <c r="AN862" s="62"/>
      <c r="AO862" s="62"/>
      <c r="AP862" s="62"/>
      <c r="AQ862" s="62"/>
      <c r="AR862" s="62"/>
      <c r="AS862" s="62"/>
      <c r="AT862" s="62"/>
      <c r="AU862" s="62"/>
      <c r="AV862" s="62"/>
    </row>
    <row r="863" spans="1:48" ht="12.75" customHeight="1" x14ac:dyDescent="0.2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2"/>
      <c r="AJ863" s="62"/>
      <c r="AK863" s="62"/>
      <c r="AL863" s="62"/>
      <c r="AM863" s="62"/>
      <c r="AN863" s="62"/>
      <c r="AO863" s="62"/>
      <c r="AP863" s="62"/>
      <c r="AQ863" s="62"/>
      <c r="AR863" s="62"/>
      <c r="AS863" s="62"/>
      <c r="AT863" s="62"/>
      <c r="AU863" s="62"/>
      <c r="AV863" s="62"/>
    </row>
    <row r="864" spans="1:48" ht="12.75" customHeight="1" x14ac:dyDescent="0.2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  <c r="AB864" s="62"/>
      <c r="AC864" s="62"/>
      <c r="AD864" s="62"/>
      <c r="AE864" s="62"/>
      <c r="AF864" s="62"/>
      <c r="AG864" s="62"/>
      <c r="AH864" s="62"/>
      <c r="AI864" s="62"/>
      <c r="AJ864" s="62"/>
      <c r="AK864" s="62"/>
      <c r="AL864" s="62"/>
      <c r="AM864" s="62"/>
      <c r="AN864" s="62"/>
      <c r="AO864" s="62"/>
      <c r="AP864" s="62"/>
      <c r="AQ864" s="62"/>
      <c r="AR864" s="62"/>
      <c r="AS864" s="62"/>
      <c r="AT864" s="62"/>
      <c r="AU864" s="62"/>
      <c r="AV864" s="62"/>
    </row>
    <row r="865" spans="1:48" ht="12.75" customHeight="1" x14ac:dyDescent="0.2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2"/>
      <c r="AJ865" s="62"/>
      <c r="AK865" s="62"/>
      <c r="AL865" s="62"/>
      <c r="AM865" s="62"/>
      <c r="AN865" s="62"/>
      <c r="AO865" s="62"/>
      <c r="AP865" s="62"/>
      <c r="AQ865" s="62"/>
      <c r="AR865" s="62"/>
      <c r="AS865" s="62"/>
      <c r="AT865" s="62"/>
      <c r="AU865" s="62"/>
      <c r="AV865" s="62"/>
    </row>
    <row r="866" spans="1:48" ht="12.75" customHeight="1" x14ac:dyDescent="0.2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  <c r="AB866" s="62"/>
      <c r="AC866" s="62"/>
      <c r="AD866" s="62"/>
      <c r="AE866" s="62"/>
      <c r="AF866" s="62"/>
      <c r="AG866" s="62"/>
      <c r="AH866" s="62"/>
      <c r="AI866" s="62"/>
      <c r="AJ866" s="62"/>
      <c r="AK866" s="62"/>
      <c r="AL866" s="62"/>
      <c r="AM866" s="62"/>
      <c r="AN866" s="62"/>
      <c r="AO866" s="62"/>
      <c r="AP866" s="62"/>
      <c r="AQ866" s="62"/>
      <c r="AR866" s="62"/>
      <c r="AS866" s="62"/>
      <c r="AT866" s="62"/>
      <c r="AU866" s="62"/>
      <c r="AV866" s="62"/>
    </row>
    <row r="867" spans="1:48" ht="12.75" customHeight="1" x14ac:dyDescent="0.2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2"/>
      <c r="AJ867" s="62"/>
      <c r="AK867" s="62"/>
      <c r="AL867" s="62"/>
      <c r="AM867" s="62"/>
      <c r="AN867" s="62"/>
      <c r="AO867" s="62"/>
      <c r="AP867" s="62"/>
      <c r="AQ867" s="62"/>
      <c r="AR867" s="62"/>
      <c r="AS867" s="62"/>
      <c r="AT867" s="62"/>
      <c r="AU867" s="62"/>
      <c r="AV867" s="62"/>
    </row>
    <row r="868" spans="1:48" ht="12.75" customHeight="1" x14ac:dyDescent="0.2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  <c r="AB868" s="62"/>
      <c r="AC868" s="62"/>
      <c r="AD868" s="62"/>
      <c r="AE868" s="62"/>
      <c r="AF868" s="62"/>
      <c r="AG868" s="62"/>
      <c r="AH868" s="62"/>
      <c r="AI868" s="62"/>
      <c r="AJ868" s="62"/>
      <c r="AK868" s="62"/>
      <c r="AL868" s="62"/>
      <c r="AM868" s="62"/>
      <c r="AN868" s="62"/>
      <c r="AO868" s="62"/>
      <c r="AP868" s="62"/>
      <c r="AQ868" s="62"/>
      <c r="AR868" s="62"/>
      <c r="AS868" s="62"/>
      <c r="AT868" s="62"/>
      <c r="AU868" s="62"/>
      <c r="AV868" s="62"/>
    </row>
    <row r="869" spans="1:48" ht="12.75" customHeight="1" x14ac:dyDescent="0.2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2"/>
      <c r="AJ869" s="62"/>
      <c r="AK869" s="62"/>
      <c r="AL869" s="62"/>
      <c r="AM869" s="62"/>
      <c r="AN869" s="62"/>
      <c r="AO869" s="62"/>
      <c r="AP869" s="62"/>
      <c r="AQ869" s="62"/>
      <c r="AR869" s="62"/>
      <c r="AS869" s="62"/>
      <c r="AT869" s="62"/>
      <c r="AU869" s="62"/>
      <c r="AV869" s="62"/>
    </row>
    <row r="870" spans="1:48" ht="12.75" customHeight="1" x14ac:dyDescent="0.2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  <c r="AA870" s="62"/>
      <c r="AB870" s="62"/>
      <c r="AC870" s="62"/>
      <c r="AD870" s="62"/>
      <c r="AE870" s="62"/>
      <c r="AF870" s="62"/>
      <c r="AG870" s="62"/>
      <c r="AH870" s="62"/>
      <c r="AI870" s="62"/>
      <c r="AJ870" s="62"/>
      <c r="AK870" s="62"/>
      <c r="AL870" s="62"/>
      <c r="AM870" s="62"/>
      <c r="AN870" s="62"/>
      <c r="AO870" s="62"/>
      <c r="AP870" s="62"/>
      <c r="AQ870" s="62"/>
      <c r="AR870" s="62"/>
      <c r="AS870" s="62"/>
      <c r="AT870" s="62"/>
      <c r="AU870" s="62"/>
      <c r="AV870" s="62"/>
    </row>
    <row r="871" spans="1:48" ht="12.75" customHeight="1" x14ac:dyDescent="0.2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2"/>
      <c r="AJ871" s="62"/>
      <c r="AK871" s="62"/>
      <c r="AL871" s="62"/>
      <c r="AM871" s="62"/>
      <c r="AN871" s="62"/>
      <c r="AO871" s="62"/>
      <c r="AP871" s="62"/>
      <c r="AQ871" s="62"/>
      <c r="AR871" s="62"/>
      <c r="AS871" s="62"/>
      <c r="AT871" s="62"/>
      <c r="AU871" s="62"/>
      <c r="AV871" s="62"/>
    </row>
    <row r="872" spans="1:48" ht="12.75" customHeight="1" x14ac:dyDescent="0.2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  <c r="AB872" s="62"/>
      <c r="AC872" s="62"/>
      <c r="AD872" s="62"/>
      <c r="AE872" s="62"/>
      <c r="AF872" s="62"/>
      <c r="AG872" s="62"/>
      <c r="AH872" s="62"/>
      <c r="AI872" s="62"/>
      <c r="AJ872" s="62"/>
      <c r="AK872" s="62"/>
      <c r="AL872" s="62"/>
      <c r="AM872" s="62"/>
      <c r="AN872" s="62"/>
      <c r="AO872" s="62"/>
      <c r="AP872" s="62"/>
      <c r="AQ872" s="62"/>
      <c r="AR872" s="62"/>
      <c r="AS872" s="62"/>
      <c r="AT872" s="62"/>
      <c r="AU872" s="62"/>
      <c r="AV872" s="62"/>
    </row>
    <row r="873" spans="1:48" ht="12.75" customHeight="1" x14ac:dyDescent="0.2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2"/>
      <c r="AJ873" s="62"/>
      <c r="AK873" s="62"/>
      <c r="AL873" s="62"/>
      <c r="AM873" s="62"/>
      <c r="AN873" s="62"/>
      <c r="AO873" s="62"/>
      <c r="AP873" s="62"/>
      <c r="AQ873" s="62"/>
      <c r="AR873" s="62"/>
      <c r="AS873" s="62"/>
      <c r="AT873" s="62"/>
      <c r="AU873" s="62"/>
      <c r="AV873" s="62"/>
    </row>
    <row r="874" spans="1:48" ht="12.75" customHeight="1" x14ac:dyDescent="0.2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  <c r="AA874" s="62"/>
      <c r="AB874" s="62"/>
      <c r="AC874" s="62"/>
      <c r="AD874" s="62"/>
      <c r="AE874" s="62"/>
      <c r="AF874" s="62"/>
      <c r="AG874" s="62"/>
      <c r="AH874" s="62"/>
      <c r="AI874" s="62"/>
      <c r="AJ874" s="62"/>
      <c r="AK874" s="62"/>
      <c r="AL874" s="62"/>
      <c r="AM874" s="62"/>
      <c r="AN874" s="62"/>
      <c r="AO874" s="62"/>
      <c r="AP874" s="62"/>
      <c r="AQ874" s="62"/>
      <c r="AR874" s="62"/>
      <c r="AS874" s="62"/>
      <c r="AT874" s="62"/>
      <c r="AU874" s="62"/>
      <c r="AV874" s="62"/>
    </row>
    <row r="875" spans="1:48" ht="12.75" customHeight="1" x14ac:dyDescent="0.2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2"/>
      <c r="AJ875" s="62"/>
      <c r="AK875" s="62"/>
      <c r="AL875" s="62"/>
      <c r="AM875" s="62"/>
      <c r="AN875" s="62"/>
      <c r="AO875" s="62"/>
      <c r="AP875" s="62"/>
      <c r="AQ875" s="62"/>
      <c r="AR875" s="62"/>
      <c r="AS875" s="62"/>
      <c r="AT875" s="62"/>
      <c r="AU875" s="62"/>
      <c r="AV875" s="62"/>
    </row>
    <row r="876" spans="1:48" ht="12.75" customHeight="1" x14ac:dyDescent="0.2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  <c r="AA876" s="62"/>
      <c r="AB876" s="62"/>
      <c r="AC876" s="62"/>
      <c r="AD876" s="62"/>
      <c r="AE876" s="62"/>
      <c r="AF876" s="62"/>
      <c r="AG876" s="62"/>
      <c r="AH876" s="62"/>
      <c r="AI876" s="62"/>
      <c r="AJ876" s="62"/>
      <c r="AK876" s="62"/>
      <c r="AL876" s="62"/>
      <c r="AM876" s="62"/>
      <c r="AN876" s="62"/>
      <c r="AO876" s="62"/>
      <c r="AP876" s="62"/>
      <c r="AQ876" s="62"/>
      <c r="AR876" s="62"/>
      <c r="AS876" s="62"/>
      <c r="AT876" s="62"/>
      <c r="AU876" s="62"/>
      <c r="AV876" s="62"/>
    </row>
    <row r="877" spans="1:48" ht="12.75" customHeight="1" x14ac:dyDescent="0.2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2"/>
      <c r="AJ877" s="62"/>
      <c r="AK877" s="62"/>
      <c r="AL877" s="62"/>
      <c r="AM877" s="62"/>
      <c r="AN877" s="62"/>
      <c r="AO877" s="62"/>
      <c r="AP877" s="62"/>
      <c r="AQ877" s="62"/>
      <c r="AR877" s="62"/>
      <c r="AS877" s="62"/>
      <c r="AT877" s="62"/>
      <c r="AU877" s="62"/>
      <c r="AV877" s="62"/>
    </row>
    <row r="878" spans="1:48" ht="12.75" customHeight="1" x14ac:dyDescent="0.2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  <c r="AA878" s="62"/>
      <c r="AB878" s="62"/>
      <c r="AC878" s="62"/>
      <c r="AD878" s="62"/>
      <c r="AE878" s="62"/>
      <c r="AF878" s="62"/>
      <c r="AG878" s="62"/>
      <c r="AH878" s="62"/>
      <c r="AI878" s="62"/>
      <c r="AJ878" s="62"/>
      <c r="AK878" s="62"/>
      <c r="AL878" s="62"/>
      <c r="AM878" s="62"/>
      <c r="AN878" s="62"/>
      <c r="AO878" s="62"/>
      <c r="AP878" s="62"/>
      <c r="AQ878" s="62"/>
      <c r="AR878" s="62"/>
      <c r="AS878" s="62"/>
      <c r="AT878" s="62"/>
      <c r="AU878" s="62"/>
      <c r="AV878" s="62"/>
    </row>
    <row r="879" spans="1:48" ht="12.75" customHeight="1" x14ac:dyDescent="0.2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2"/>
      <c r="AJ879" s="62"/>
      <c r="AK879" s="62"/>
      <c r="AL879" s="62"/>
      <c r="AM879" s="62"/>
      <c r="AN879" s="62"/>
      <c r="AO879" s="62"/>
      <c r="AP879" s="62"/>
      <c r="AQ879" s="62"/>
      <c r="AR879" s="62"/>
      <c r="AS879" s="62"/>
      <c r="AT879" s="62"/>
      <c r="AU879" s="62"/>
      <c r="AV879" s="62"/>
    </row>
    <row r="880" spans="1:48" ht="12.75" customHeight="1" x14ac:dyDescent="0.2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  <c r="AA880" s="62"/>
      <c r="AB880" s="62"/>
      <c r="AC880" s="62"/>
      <c r="AD880" s="62"/>
      <c r="AE880" s="62"/>
      <c r="AF880" s="62"/>
      <c r="AG880" s="62"/>
      <c r="AH880" s="62"/>
      <c r="AI880" s="62"/>
      <c r="AJ880" s="62"/>
      <c r="AK880" s="62"/>
      <c r="AL880" s="62"/>
      <c r="AM880" s="62"/>
      <c r="AN880" s="62"/>
      <c r="AO880" s="62"/>
      <c r="AP880" s="62"/>
      <c r="AQ880" s="62"/>
      <c r="AR880" s="62"/>
      <c r="AS880" s="62"/>
      <c r="AT880" s="62"/>
      <c r="AU880" s="62"/>
      <c r="AV880" s="62"/>
    </row>
    <row r="881" spans="1:48" ht="12.75" customHeight="1" x14ac:dyDescent="0.2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2"/>
      <c r="AJ881" s="62"/>
      <c r="AK881" s="62"/>
      <c r="AL881" s="62"/>
      <c r="AM881" s="62"/>
      <c r="AN881" s="62"/>
      <c r="AO881" s="62"/>
      <c r="AP881" s="62"/>
      <c r="AQ881" s="62"/>
      <c r="AR881" s="62"/>
      <c r="AS881" s="62"/>
      <c r="AT881" s="62"/>
      <c r="AU881" s="62"/>
      <c r="AV881" s="62"/>
    </row>
    <row r="882" spans="1:48" ht="12.75" customHeight="1" x14ac:dyDescent="0.2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  <c r="AA882" s="62"/>
      <c r="AB882" s="62"/>
      <c r="AC882" s="62"/>
      <c r="AD882" s="62"/>
      <c r="AE882" s="62"/>
      <c r="AF882" s="62"/>
      <c r="AG882" s="62"/>
      <c r="AH882" s="62"/>
      <c r="AI882" s="62"/>
      <c r="AJ882" s="62"/>
      <c r="AK882" s="62"/>
      <c r="AL882" s="62"/>
      <c r="AM882" s="62"/>
      <c r="AN882" s="62"/>
      <c r="AO882" s="62"/>
      <c r="AP882" s="62"/>
      <c r="AQ882" s="62"/>
      <c r="AR882" s="62"/>
      <c r="AS882" s="62"/>
      <c r="AT882" s="62"/>
      <c r="AU882" s="62"/>
      <c r="AV882" s="62"/>
    </row>
    <row r="883" spans="1:48" ht="12.75" customHeight="1" x14ac:dyDescent="0.2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2"/>
      <c r="AJ883" s="62"/>
      <c r="AK883" s="62"/>
      <c r="AL883" s="62"/>
      <c r="AM883" s="62"/>
      <c r="AN883" s="62"/>
      <c r="AO883" s="62"/>
      <c r="AP883" s="62"/>
      <c r="AQ883" s="62"/>
      <c r="AR883" s="62"/>
      <c r="AS883" s="62"/>
      <c r="AT883" s="62"/>
      <c r="AU883" s="62"/>
      <c r="AV883" s="62"/>
    </row>
    <row r="884" spans="1:48" ht="12.75" customHeight="1" x14ac:dyDescent="0.2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  <c r="AA884" s="62"/>
      <c r="AB884" s="62"/>
      <c r="AC884" s="62"/>
      <c r="AD884" s="62"/>
      <c r="AE884" s="62"/>
      <c r="AF884" s="62"/>
      <c r="AG884" s="62"/>
      <c r="AH884" s="62"/>
      <c r="AI884" s="62"/>
      <c r="AJ884" s="62"/>
      <c r="AK884" s="62"/>
      <c r="AL884" s="62"/>
      <c r="AM884" s="62"/>
      <c r="AN884" s="62"/>
      <c r="AO884" s="62"/>
      <c r="AP884" s="62"/>
      <c r="AQ884" s="62"/>
      <c r="AR884" s="62"/>
      <c r="AS884" s="62"/>
      <c r="AT884" s="62"/>
      <c r="AU884" s="62"/>
      <c r="AV884" s="62"/>
    </row>
    <row r="885" spans="1:48" ht="12.75" customHeight="1" x14ac:dyDescent="0.2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2"/>
      <c r="AJ885" s="62"/>
      <c r="AK885" s="62"/>
      <c r="AL885" s="62"/>
      <c r="AM885" s="62"/>
      <c r="AN885" s="62"/>
      <c r="AO885" s="62"/>
      <c r="AP885" s="62"/>
      <c r="AQ885" s="62"/>
      <c r="AR885" s="62"/>
      <c r="AS885" s="62"/>
      <c r="AT885" s="62"/>
      <c r="AU885" s="62"/>
      <c r="AV885" s="62"/>
    </row>
    <row r="886" spans="1:48" ht="12.75" customHeight="1" x14ac:dyDescent="0.2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  <c r="AA886" s="62"/>
      <c r="AB886" s="62"/>
      <c r="AC886" s="62"/>
      <c r="AD886" s="62"/>
      <c r="AE886" s="62"/>
      <c r="AF886" s="62"/>
      <c r="AG886" s="62"/>
      <c r="AH886" s="62"/>
      <c r="AI886" s="62"/>
      <c r="AJ886" s="62"/>
      <c r="AK886" s="62"/>
      <c r="AL886" s="62"/>
      <c r="AM886" s="62"/>
      <c r="AN886" s="62"/>
      <c r="AO886" s="62"/>
      <c r="AP886" s="62"/>
      <c r="AQ886" s="62"/>
      <c r="AR886" s="62"/>
      <c r="AS886" s="62"/>
      <c r="AT886" s="62"/>
      <c r="AU886" s="62"/>
      <c r="AV886" s="62"/>
    </row>
    <row r="887" spans="1:48" ht="12.75" customHeight="1" x14ac:dyDescent="0.2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2"/>
      <c r="AJ887" s="62"/>
      <c r="AK887" s="62"/>
      <c r="AL887" s="62"/>
      <c r="AM887" s="62"/>
      <c r="AN887" s="62"/>
      <c r="AO887" s="62"/>
      <c r="AP887" s="62"/>
      <c r="AQ887" s="62"/>
      <c r="AR887" s="62"/>
      <c r="AS887" s="62"/>
      <c r="AT887" s="62"/>
      <c r="AU887" s="62"/>
      <c r="AV887" s="62"/>
    </row>
    <row r="888" spans="1:48" ht="12.75" customHeight="1" x14ac:dyDescent="0.2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  <c r="AA888" s="62"/>
      <c r="AB888" s="62"/>
      <c r="AC888" s="62"/>
      <c r="AD888" s="62"/>
      <c r="AE888" s="62"/>
      <c r="AF888" s="62"/>
      <c r="AG888" s="62"/>
      <c r="AH888" s="62"/>
      <c r="AI888" s="62"/>
      <c r="AJ888" s="62"/>
      <c r="AK888" s="62"/>
      <c r="AL888" s="62"/>
      <c r="AM888" s="62"/>
      <c r="AN888" s="62"/>
      <c r="AO888" s="62"/>
      <c r="AP888" s="62"/>
      <c r="AQ888" s="62"/>
      <c r="AR888" s="62"/>
      <c r="AS888" s="62"/>
      <c r="AT888" s="62"/>
      <c r="AU888" s="62"/>
      <c r="AV888" s="62"/>
    </row>
    <row r="889" spans="1:48" ht="12.75" customHeight="1" x14ac:dyDescent="0.2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2"/>
      <c r="AJ889" s="62"/>
      <c r="AK889" s="62"/>
      <c r="AL889" s="62"/>
      <c r="AM889" s="62"/>
      <c r="AN889" s="62"/>
      <c r="AO889" s="62"/>
      <c r="AP889" s="62"/>
      <c r="AQ889" s="62"/>
      <c r="AR889" s="62"/>
      <c r="AS889" s="62"/>
      <c r="AT889" s="62"/>
      <c r="AU889" s="62"/>
      <c r="AV889" s="62"/>
    </row>
    <row r="890" spans="1:48" ht="12.75" customHeight="1" x14ac:dyDescent="0.2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  <c r="AA890" s="62"/>
      <c r="AB890" s="62"/>
      <c r="AC890" s="62"/>
      <c r="AD890" s="62"/>
      <c r="AE890" s="62"/>
      <c r="AF890" s="62"/>
      <c r="AG890" s="62"/>
      <c r="AH890" s="62"/>
      <c r="AI890" s="62"/>
      <c r="AJ890" s="62"/>
      <c r="AK890" s="62"/>
      <c r="AL890" s="62"/>
      <c r="AM890" s="62"/>
      <c r="AN890" s="62"/>
      <c r="AO890" s="62"/>
      <c r="AP890" s="62"/>
      <c r="AQ890" s="62"/>
      <c r="AR890" s="62"/>
      <c r="AS890" s="62"/>
      <c r="AT890" s="62"/>
      <c r="AU890" s="62"/>
      <c r="AV890" s="62"/>
    </row>
    <row r="891" spans="1:48" ht="12.75" customHeight="1" x14ac:dyDescent="0.2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2"/>
      <c r="AJ891" s="62"/>
      <c r="AK891" s="62"/>
      <c r="AL891" s="62"/>
      <c r="AM891" s="62"/>
      <c r="AN891" s="62"/>
      <c r="AO891" s="62"/>
      <c r="AP891" s="62"/>
      <c r="AQ891" s="62"/>
      <c r="AR891" s="62"/>
      <c r="AS891" s="62"/>
      <c r="AT891" s="62"/>
      <c r="AU891" s="62"/>
      <c r="AV891" s="62"/>
    </row>
    <row r="892" spans="1:48" ht="12.75" customHeight="1" x14ac:dyDescent="0.2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  <c r="AA892" s="62"/>
      <c r="AB892" s="62"/>
      <c r="AC892" s="62"/>
      <c r="AD892" s="62"/>
      <c r="AE892" s="62"/>
      <c r="AF892" s="62"/>
      <c r="AG892" s="62"/>
      <c r="AH892" s="62"/>
      <c r="AI892" s="62"/>
      <c r="AJ892" s="62"/>
      <c r="AK892" s="62"/>
      <c r="AL892" s="62"/>
      <c r="AM892" s="62"/>
      <c r="AN892" s="62"/>
      <c r="AO892" s="62"/>
      <c r="AP892" s="62"/>
      <c r="AQ892" s="62"/>
      <c r="AR892" s="62"/>
      <c r="AS892" s="62"/>
      <c r="AT892" s="62"/>
      <c r="AU892" s="62"/>
      <c r="AV892" s="62"/>
    </row>
    <row r="893" spans="1:48" ht="12.75" customHeight="1" x14ac:dyDescent="0.2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2"/>
      <c r="AJ893" s="62"/>
      <c r="AK893" s="62"/>
      <c r="AL893" s="62"/>
      <c r="AM893" s="62"/>
      <c r="AN893" s="62"/>
      <c r="AO893" s="62"/>
      <c r="AP893" s="62"/>
      <c r="AQ893" s="62"/>
      <c r="AR893" s="62"/>
      <c r="AS893" s="62"/>
      <c r="AT893" s="62"/>
      <c r="AU893" s="62"/>
      <c r="AV893" s="62"/>
    </row>
    <row r="894" spans="1:48" ht="12.75" customHeight="1" x14ac:dyDescent="0.2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  <c r="AB894" s="62"/>
      <c r="AC894" s="62"/>
      <c r="AD894" s="62"/>
      <c r="AE894" s="62"/>
      <c r="AF894" s="62"/>
      <c r="AG894" s="62"/>
      <c r="AH894" s="62"/>
      <c r="AI894" s="62"/>
      <c r="AJ894" s="62"/>
      <c r="AK894" s="62"/>
      <c r="AL894" s="62"/>
      <c r="AM894" s="62"/>
      <c r="AN894" s="62"/>
      <c r="AO894" s="62"/>
      <c r="AP894" s="62"/>
      <c r="AQ894" s="62"/>
      <c r="AR894" s="62"/>
      <c r="AS894" s="62"/>
      <c r="AT894" s="62"/>
      <c r="AU894" s="62"/>
      <c r="AV894" s="62"/>
    </row>
    <row r="895" spans="1:48" ht="12.75" customHeight="1" x14ac:dyDescent="0.2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2"/>
      <c r="AJ895" s="62"/>
      <c r="AK895" s="62"/>
      <c r="AL895" s="62"/>
      <c r="AM895" s="62"/>
      <c r="AN895" s="62"/>
      <c r="AO895" s="62"/>
      <c r="AP895" s="62"/>
      <c r="AQ895" s="62"/>
      <c r="AR895" s="62"/>
      <c r="AS895" s="62"/>
      <c r="AT895" s="62"/>
      <c r="AU895" s="62"/>
      <c r="AV895" s="62"/>
    </row>
    <row r="896" spans="1:48" ht="12.75" customHeight="1" x14ac:dyDescent="0.2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  <c r="AA896" s="62"/>
      <c r="AB896" s="62"/>
      <c r="AC896" s="62"/>
      <c r="AD896" s="62"/>
      <c r="AE896" s="62"/>
      <c r="AF896" s="62"/>
      <c r="AG896" s="62"/>
      <c r="AH896" s="62"/>
      <c r="AI896" s="62"/>
      <c r="AJ896" s="62"/>
      <c r="AK896" s="62"/>
      <c r="AL896" s="62"/>
      <c r="AM896" s="62"/>
      <c r="AN896" s="62"/>
      <c r="AO896" s="62"/>
      <c r="AP896" s="62"/>
      <c r="AQ896" s="62"/>
      <c r="AR896" s="62"/>
      <c r="AS896" s="62"/>
      <c r="AT896" s="62"/>
      <c r="AU896" s="62"/>
      <c r="AV896" s="62"/>
    </row>
    <row r="897" spans="1:48" ht="12.75" customHeight="1" x14ac:dyDescent="0.2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2"/>
      <c r="AJ897" s="62"/>
      <c r="AK897" s="62"/>
      <c r="AL897" s="62"/>
      <c r="AM897" s="62"/>
      <c r="AN897" s="62"/>
      <c r="AO897" s="62"/>
      <c r="AP897" s="62"/>
      <c r="AQ897" s="62"/>
      <c r="AR897" s="62"/>
      <c r="AS897" s="62"/>
      <c r="AT897" s="62"/>
      <c r="AU897" s="62"/>
      <c r="AV897" s="62"/>
    </row>
    <row r="898" spans="1:48" ht="12.75" customHeight="1" x14ac:dyDescent="0.2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  <c r="AA898" s="62"/>
      <c r="AB898" s="62"/>
      <c r="AC898" s="62"/>
      <c r="AD898" s="62"/>
      <c r="AE898" s="62"/>
      <c r="AF898" s="62"/>
      <c r="AG898" s="62"/>
      <c r="AH898" s="62"/>
      <c r="AI898" s="62"/>
      <c r="AJ898" s="62"/>
      <c r="AK898" s="62"/>
      <c r="AL898" s="62"/>
      <c r="AM898" s="62"/>
      <c r="AN898" s="62"/>
      <c r="AO898" s="62"/>
      <c r="AP898" s="62"/>
      <c r="AQ898" s="62"/>
      <c r="AR898" s="62"/>
      <c r="AS898" s="62"/>
      <c r="AT898" s="62"/>
      <c r="AU898" s="62"/>
      <c r="AV898" s="62"/>
    </row>
    <row r="899" spans="1:48" ht="12.75" customHeight="1" x14ac:dyDescent="0.2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2"/>
      <c r="AJ899" s="62"/>
      <c r="AK899" s="62"/>
      <c r="AL899" s="62"/>
      <c r="AM899" s="62"/>
      <c r="AN899" s="62"/>
      <c r="AO899" s="62"/>
      <c r="AP899" s="62"/>
      <c r="AQ899" s="62"/>
      <c r="AR899" s="62"/>
      <c r="AS899" s="62"/>
      <c r="AT899" s="62"/>
      <c r="AU899" s="62"/>
      <c r="AV899" s="62"/>
    </row>
    <row r="900" spans="1:48" ht="12.75" customHeight="1" x14ac:dyDescent="0.2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  <c r="AA900" s="62"/>
      <c r="AB900" s="62"/>
      <c r="AC900" s="62"/>
      <c r="AD900" s="62"/>
      <c r="AE900" s="62"/>
      <c r="AF900" s="62"/>
      <c r="AG900" s="62"/>
      <c r="AH900" s="62"/>
      <c r="AI900" s="62"/>
      <c r="AJ900" s="62"/>
      <c r="AK900" s="62"/>
      <c r="AL900" s="62"/>
      <c r="AM900" s="62"/>
      <c r="AN900" s="62"/>
      <c r="AO900" s="62"/>
      <c r="AP900" s="62"/>
      <c r="AQ900" s="62"/>
      <c r="AR900" s="62"/>
      <c r="AS900" s="62"/>
      <c r="AT900" s="62"/>
      <c r="AU900" s="62"/>
      <c r="AV900" s="62"/>
    </row>
    <row r="901" spans="1:48" ht="12.75" customHeight="1" x14ac:dyDescent="0.2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2"/>
      <c r="AJ901" s="62"/>
      <c r="AK901" s="62"/>
      <c r="AL901" s="62"/>
      <c r="AM901" s="62"/>
      <c r="AN901" s="62"/>
      <c r="AO901" s="62"/>
      <c r="AP901" s="62"/>
      <c r="AQ901" s="62"/>
      <c r="AR901" s="62"/>
      <c r="AS901" s="62"/>
      <c r="AT901" s="62"/>
      <c r="AU901" s="62"/>
      <c r="AV901" s="62"/>
    </row>
    <row r="902" spans="1:48" ht="12.75" customHeight="1" x14ac:dyDescent="0.2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  <c r="AA902" s="62"/>
      <c r="AB902" s="62"/>
      <c r="AC902" s="62"/>
      <c r="AD902" s="62"/>
      <c r="AE902" s="62"/>
      <c r="AF902" s="62"/>
      <c r="AG902" s="62"/>
      <c r="AH902" s="62"/>
      <c r="AI902" s="62"/>
      <c r="AJ902" s="62"/>
      <c r="AK902" s="62"/>
      <c r="AL902" s="62"/>
      <c r="AM902" s="62"/>
      <c r="AN902" s="62"/>
      <c r="AO902" s="62"/>
      <c r="AP902" s="62"/>
      <c r="AQ902" s="62"/>
      <c r="AR902" s="62"/>
      <c r="AS902" s="62"/>
      <c r="AT902" s="62"/>
      <c r="AU902" s="62"/>
      <c r="AV902" s="62"/>
    </row>
    <row r="903" spans="1:48" ht="12.75" customHeight="1" x14ac:dyDescent="0.2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2"/>
      <c r="AJ903" s="62"/>
      <c r="AK903" s="62"/>
      <c r="AL903" s="62"/>
      <c r="AM903" s="62"/>
      <c r="AN903" s="62"/>
      <c r="AO903" s="62"/>
      <c r="AP903" s="62"/>
      <c r="AQ903" s="62"/>
      <c r="AR903" s="62"/>
      <c r="AS903" s="62"/>
      <c r="AT903" s="62"/>
      <c r="AU903" s="62"/>
      <c r="AV903" s="62"/>
    </row>
    <row r="904" spans="1:48" ht="12.75" customHeight="1" x14ac:dyDescent="0.2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  <c r="AA904" s="62"/>
      <c r="AB904" s="62"/>
      <c r="AC904" s="62"/>
      <c r="AD904" s="62"/>
      <c r="AE904" s="62"/>
      <c r="AF904" s="62"/>
      <c r="AG904" s="62"/>
      <c r="AH904" s="62"/>
      <c r="AI904" s="62"/>
      <c r="AJ904" s="62"/>
      <c r="AK904" s="62"/>
      <c r="AL904" s="62"/>
      <c r="AM904" s="62"/>
      <c r="AN904" s="62"/>
      <c r="AO904" s="62"/>
      <c r="AP904" s="62"/>
      <c r="AQ904" s="62"/>
      <c r="AR904" s="62"/>
      <c r="AS904" s="62"/>
      <c r="AT904" s="62"/>
      <c r="AU904" s="62"/>
      <c r="AV904" s="62"/>
    </row>
    <row r="905" spans="1:48" ht="12.75" customHeight="1" x14ac:dyDescent="0.2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2"/>
      <c r="AJ905" s="62"/>
      <c r="AK905" s="62"/>
      <c r="AL905" s="62"/>
      <c r="AM905" s="62"/>
      <c r="AN905" s="62"/>
      <c r="AO905" s="62"/>
      <c r="AP905" s="62"/>
      <c r="AQ905" s="62"/>
      <c r="AR905" s="62"/>
      <c r="AS905" s="62"/>
      <c r="AT905" s="62"/>
      <c r="AU905" s="62"/>
      <c r="AV905" s="62"/>
    </row>
    <row r="906" spans="1:48" ht="12.75" customHeight="1" x14ac:dyDescent="0.2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  <c r="AA906" s="62"/>
      <c r="AB906" s="62"/>
      <c r="AC906" s="62"/>
      <c r="AD906" s="62"/>
      <c r="AE906" s="62"/>
      <c r="AF906" s="62"/>
      <c r="AG906" s="62"/>
      <c r="AH906" s="62"/>
      <c r="AI906" s="62"/>
      <c r="AJ906" s="62"/>
      <c r="AK906" s="62"/>
      <c r="AL906" s="62"/>
      <c r="AM906" s="62"/>
      <c r="AN906" s="62"/>
      <c r="AO906" s="62"/>
      <c r="AP906" s="62"/>
      <c r="AQ906" s="62"/>
      <c r="AR906" s="62"/>
      <c r="AS906" s="62"/>
      <c r="AT906" s="62"/>
      <c r="AU906" s="62"/>
      <c r="AV906" s="62"/>
    </row>
    <row r="907" spans="1:48" ht="12.75" customHeight="1" x14ac:dyDescent="0.2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2"/>
      <c r="AJ907" s="62"/>
      <c r="AK907" s="62"/>
      <c r="AL907" s="62"/>
      <c r="AM907" s="62"/>
      <c r="AN907" s="62"/>
      <c r="AO907" s="62"/>
      <c r="AP907" s="62"/>
      <c r="AQ907" s="62"/>
      <c r="AR907" s="62"/>
      <c r="AS907" s="62"/>
      <c r="AT907" s="62"/>
      <c r="AU907" s="62"/>
      <c r="AV907" s="62"/>
    </row>
    <row r="908" spans="1:48" ht="12.75" customHeight="1" x14ac:dyDescent="0.2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  <c r="AA908" s="62"/>
      <c r="AB908" s="62"/>
      <c r="AC908" s="62"/>
      <c r="AD908" s="62"/>
      <c r="AE908" s="62"/>
      <c r="AF908" s="62"/>
      <c r="AG908" s="62"/>
      <c r="AH908" s="62"/>
      <c r="AI908" s="62"/>
      <c r="AJ908" s="62"/>
      <c r="AK908" s="62"/>
      <c r="AL908" s="62"/>
      <c r="AM908" s="62"/>
      <c r="AN908" s="62"/>
      <c r="AO908" s="62"/>
      <c r="AP908" s="62"/>
      <c r="AQ908" s="62"/>
      <c r="AR908" s="62"/>
      <c r="AS908" s="62"/>
      <c r="AT908" s="62"/>
      <c r="AU908" s="62"/>
      <c r="AV908" s="62"/>
    </row>
    <row r="909" spans="1:48" ht="12.75" customHeight="1" x14ac:dyDescent="0.2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2"/>
      <c r="AJ909" s="62"/>
      <c r="AK909" s="62"/>
      <c r="AL909" s="62"/>
      <c r="AM909" s="62"/>
      <c r="AN909" s="62"/>
      <c r="AO909" s="62"/>
      <c r="AP909" s="62"/>
      <c r="AQ909" s="62"/>
      <c r="AR909" s="62"/>
      <c r="AS909" s="62"/>
      <c r="AT909" s="62"/>
      <c r="AU909" s="62"/>
      <c r="AV909" s="62"/>
    </row>
    <row r="910" spans="1:48" ht="12.75" customHeight="1" x14ac:dyDescent="0.2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  <c r="AA910" s="62"/>
      <c r="AB910" s="62"/>
      <c r="AC910" s="62"/>
      <c r="AD910" s="62"/>
      <c r="AE910" s="62"/>
      <c r="AF910" s="62"/>
      <c r="AG910" s="62"/>
      <c r="AH910" s="62"/>
      <c r="AI910" s="62"/>
      <c r="AJ910" s="62"/>
      <c r="AK910" s="62"/>
      <c r="AL910" s="62"/>
      <c r="AM910" s="62"/>
      <c r="AN910" s="62"/>
      <c r="AO910" s="62"/>
      <c r="AP910" s="62"/>
      <c r="AQ910" s="62"/>
      <c r="AR910" s="62"/>
      <c r="AS910" s="62"/>
      <c r="AT910" s="62"/>
      <c r="AU910" s="62"/>
      <c r="AV910" s="62"/>
    </row>
    <row r="911" spans="1:48" ht="12.75" customHeight="1" x14ac:dyDescent="0.2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2"/>
      <c r="AJ911" s="62"/>
      <c r="AK911" s="62"/>
      <c r="AL911" s="62"/>
      <c r="AM911" s="62"/>
      <c r="AN911" s="62"/>
      <c r="AO911" s="62"/>
      <c r="AP911" s="62"/>
      <c r="AQ911" s="62"/>
      <c r="AR911" s="62"/>
      <c r="AS911" s="62"/>
      <c r="AT911" s="62"/>
      <c r="AU911" s="62"/>
      <c r="AV911" s="62"/>
    </row>
    <row r="912" spans="1:48" ht="12.75" customHeight="1" x14ac:dyDescent="0.2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  <c r="AA912" s="62"/>
      <c r="AB912" s="62"/>
      <c r="AC912" s="62"/>
      <c r="AD912" s="62"/>
      <c r="AE912" s="62"/>
      <c r="AF912" s="62"/>
      <c r="AG912" s="62"/>
      <c r="AH912" s="62"/>
      <c r="AI912" s="62"/>
      <c r="AJ912" s="62"/>
      <c r="AK912" s="62"/>
      <c r="AL912" s="62"/>
      <c r="AM912" s="62"/>
      <c r="AN912" s="62"/>
      <c r="AO912" s="62"/>
      <c r="AP912" s="62"/>
      <c r="AQ912" s="62"/>
      <c r="AR912" s="62"/>
      <c r="AS912" s="62"/>
      <c r="AT912" s="62"/>
      <c r="AU912" s="62"/>
      <c r="AV912" s="62"/>
    </row>
    <row r="913" spans="1:48" ht="12.75" customHeight="1" x14ac:dyDescent="0.2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2"/>
      <c r="AJ913" s="62"/>
      <c r="AK913" s="62"/>
      <c r="AL913" s="62"/>
      <c r="AM913" s="62"/>
      <c r="AN913" s="62"/>
      <c r="AO913" s="62"/>
      <c r="AP913" s="62"/>
      <c r="AQ913" s="62"/>
      <c r="AR913" s="62"/>
      <c r="AS913" s="62"/>
      <c r="AT913" s="62"/>
      <c r="AU913" s="62"/>
      <c r="AV913" s="62"/>
    </row>
    <row r="914" spans="1:48" ht="12.75" customHeight="1" x14ac:dyDescent="0.2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  <c r="AA914" s="62"/>
      <c r="AB914" s="62"/>
      <c r="AC914" s="62"/>
      <c r="AD914" s="62"/>
      <c r="AE914" s="62"/>
      <c r="AF914" s="62"/>
      <c r="AG914" s="62"/>
      <c r="AH914" s="62"/>
      <c r="AI914" s="62"/>
      <c r="AJ914" s="62"/>
      <c r="AK914" s="62"/>
      <c r="AL914" s="62"/>
      <c r="AM914" s="62"/>
      <c r="AN914" s="62"/>
      <c r="AO914" s="62"/>
      <c r="AP914" s="62"/>
      <c r="AQ914" s="62"/>
      <c r="AR914" s="62"/>
      <c r="AS914" s="62"/>
      <c r="AT914" s="62"/>
      <c r="AU914" s="62"/>
      <c r="AV914" s="62"/>
    </row>
    <row r="915" spans="1:48" ht="12.75" customHeight="1" x14ac:dyDescent="0.2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2"/>
      <c r="AJ915" s="62"/>
      <c r="AK915" s="62"/>
      <c r="AL915" s="62"/>
      <c r="AM915" s="62"/>
      <c r="AN915" s="62"/>
      <c r="AO915" s="62"/>
      <c r="AP915" s="62"/>
      <c r="AQ915" s="62"/>
      <c r="AR915" s="62"/>
      <c r="AS915" s="62"/>
      <c r="AT915" s="62"/>
      <c r="AU915" s="62"/>
      <c r="AV915" s="62"/>
    </row>
    <row r="916" spans="1:48" ht="12.75" customHeight="1" x14ac:dyDescent="0.2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  <c r="AB916" s="62"/>
      <c r="AC916" s="62"/>
      <c r="AD916" s="62"/>
      <c r="AE916" s="62"/>
      <c r="AF916" s="62"/>
      <c r="AG916" s="62"/>
      <c r="AH916" s="62"/>
      <c r="AI916" s="62"/>
      <c r="AJ916" s="62"/>
      <c r="AK916" s="62"/>
      <c r="AL916" s="62"/>
      <c r="AM916" s="62"/>
      <c r="AN916" s="62"/>
      <c r="AO916" s="62"/>
      <c r="AP916" s="62"/>
      <c r="AQ916" s="62"/>
      <c r="AR916" s="62"/>
      <c r="AS916" s="62"/>
      <c r="AT916" s="62"/>
      <c r="AU916" s="62"/>
      <c r="AV916" s="62"/>
    </row>
    <row r="917" spans="1:48" ht="12.75" customHeight="1" x14ac:dyDescent="0.2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2"/>
      <c r="AJ917" s="62"/>
      <c r="AK917" s="62"/>
      <c r="AL917" s="62"/>
      <c r="AM917" s="62"/>
      <c r="AN917" s="62"/>
      <c r="AO917" s="62"/>
      <c r="AP917" s="62"/>
      <c r="AQ917" s="62"/>
      <c r="AR917" s="62"/>
      <c r="AS917" s="62"/>
      <c r="AT917" s="62"/>
      <c r="AU917" s="62"/>
      <c r="AV917" s="62"/>
    </row>
    <row r="918" spans="1:48" ht="12.75" customHeight="1" x14ac:dyDescent="0.2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  <c r="AA918" s="62"/>
      <c r="AB918" s="62"/>
      <c r="AC918" s="62"/>
      <c r="AD918" s="62"/>
      <c r="AE918" s="62"/>
      <c r="AF918" s="62"/>
      <c r="AG918" s="62"/>
      <c r="AH918" s="62"/>
      <c r="AI918" s="62"/>
      <c r="AJ918" s="62"/>
      <c r="AK918" s="62"/>
      <c r="AL918" s="62"/>
      <c r="AM918" s="62"/>
      <c r="AN918" s="62"/>
      <c r="AO918" s="62"/>
      <c r="AP918" s="62"/>
      <c r="AQ918" s="62"/>
      <c r="AR918" s="62"/>
      <c r="AS918" s="62"/>
      <c r="AT918" s="62"/>
      <c r="AU918" s="62"/>
      <c r="AV918" s="62"/>
    </row>
    <row r="919" spans="1:48" ht="12.75" customHeight="1" x14ac:dyDescent="0.2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2"/>
      <c r="AJ919" s="62"/>
      <c r="AK919" s="62"/>
      <c r="AL919" s="62"/>
      <c r="AM919" s="62"/>
      <c r="AN919" s="62"/>
      <c r="AO919" s="62"/>
      <c r="AP919" s="62"/>
      <c r="AQ919" s="62"/>
      <c r="AR919" s="62"/>
      <c r="AS919" s="62"/>
      <c r="AT919" s="62"/>
      <c r="AU919" s="62"/>
      <c r="AV919" s="62"/>
    </row>
    <row r="920" spans="1:48" ht="12.75" customHeight="1" x14ac:dyDescent="0.2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  <c r="AA920" s="62"/>
      <c r="AB920" s="62"/>
      <c r="AC920" s="62"/>
      <c r="AD920" s="62"/>
      <c r="AE920" s="62"/>
      <c r="AF920" s="62"/>
      <c r="AG920" s="62"/>
      <c r="AH920" s="62"/>
      <c r="AI920" s="62"/>
      <c r="AJ920" s="62"/>
      <c r="AK920" s="62"/>
      <c r="AL920" s="62"/>
      <c r="AM920" s="62"/>
      <c r="AN920" s="62"/>
      <c r="AO920" s="62"/>
      <c r="AP920" s="62"/>
      <c r="AQ920" s="62"/>
      <c r="AR920" s="62"/>
      <c r="AS920" s="62"/>
      <c r="AT920" s="62"/>
      <c r="AU920" s="62"/>
      <c r="AV920" s="62"/>
    </row>
    <row r="921" spans="1:48" ht="12.75" customHeight="1" x14ac:dyDescent="0.2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2"/>
      <c r="AJ921" s="62"/>
      <c r="AK921" s="62"/>
      <c r="AL921" s="62"/>
      <c r="AM921" s="62"/>
      <c r="AN921" s="62"/>
      <c r="AO921" s="62"/>
      <c r="AP921" s="62"/>
      <c r="AQ921" s="62"/>
      <c r="AR921" s="62"/>
      <c r="AS921" s="62"/>
      <c r="AT921" s="62"/>
      <c r="AU921" s="62"/>
      <c r="AV921" s="62"/>
    </row>
    <row r="922" spans="1:48" ht="12.75" customHeight="1" x14ac:dyDescent="0.2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  <c r="AA922" s="62"/>
      <c r="AB922" s="62"/>
      <c r="AC922" s="62"/>
      <c r="AD922" s="62"/>
      <c r="AE922" s="62"/>
      <c r="AF922" s="62"/>
      <c r="AG922" s="62"/>
      <c r="AH922" s="62"/>
      <c r="AI922" s="62"/>
      <c r="AJ922" s="62"/>
      <c r="AK922" s="62"/>
      <c r="AL922" s="62"/>
      <c r="AM922" s="62"/>
      <c r="AN922" s="62"/>
      <c r="AO922" s="62"/>
      <c r="AP922" s="62"/>
      <c r="AQ922" s="62"/>
      <c r="AR922" s="62"/>
      <c r="AS922" s="62"/>
      <c r="AT922" s="62"/>
      <c r="AU922" s="62"/>
      <c r="AV922" s="62"/>
    </row>
    <row r="923" spans="1:48" ht="12.75" customHeight="1" x14ac:dyDescent="0.2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2"/>
      <c r="AJ923" s="62"/>
      <c r="AK923" s="62"/>
      <c r="AL923" s="62"/>
      <c r="AM923" s="62"/>
      <c r="AN923" s="62"/>
      <c r="AO923" s="62"/>
      <c r="AP923" s="62"/>
      <c r="AQ923" s="62"/>
      <c r="AR923" s="62"/>
      <c r="AS923" s="62"/>
      <c r="AT923" s="62"/>
      <c r="AU923" s="62"/>
      <c r="AV923" s="62"/>
    </row>
    <row r="924" spans="1:48" ht="12.75" customHeight="1" x14ac:dyDescent="0.2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  <c r="AA924" s="62"/>
      <c r="AB924" s="62"/>
      <c r="AC924" s="62"/>
      <c r="AD924" s="62"/>
      <c r="AE924" s="62"/>
      <c r="AF924" s="62"/>
      <c r="AG924" s="62"/>
      <c r="AH924" s="62"/>
      <c r="AI924" s="62"/>
      <c r="AJ924" s="62"/>
      <c r="AK924" s="62"/>
      <c r="AL924" s="62"/>
      <c r="AM924" s="62"/>
      <c r="AN924" s="62"/>
      <c r="AO924" s="62"/>
      <c r="AP924" s="62"/>
      <c r="AQ924" s="62"/>
      <c r="AR924" s="62"/>
      <c r="AS924" s="62"/>
      <c r="AT924" s="62"/>
      <c r="AU924" s="62"/>
      <c r="AV924" s="62"/>
    </row>
    <row r="925" spans="1:48" ht="12.75" customHeight="1" x14ac:dyDescent="0.2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2"/>
      <c r="AJ925" s="62"/>
      <c r="AK925" s="62"/>
      <c r="AL925" s="62"/>
      <c r="AM925" s="62"/>
      <c r="AN925" s="62"/>
      <c r="AO925" s="62"/>
      <c r="AP925" s="62"/>
      <c r="AQ925" s="62"/>
      <c r="AR925" s="62"/>
      <c r="AS925" s="62"/>
      <c r="AT925" s="62"/>
      <c r="AU925" s="62"/>
      <c r="AV925" s="62"/>
    </row>
    <row r="926" spans="1:48" ht="12.75" customHeight="1" x14ac:dyDescent="0.2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  <c r="AA926" s="62"/>
      <c r="AB926" s="62"/>
      <c r="AC926" s="62"/>
      <c r="AD926" s="62"/>
      <c r="AE926" s="62"/>
      <c r="AF926" s="62"/>
      <c r="AG926" s="62"/>
      <c r="AH926" s="62"/>
      <c r="AI926" s="62"/>
      <c r="AJ926" s="62"/>
      <c r="AK926" s="62"/>
      <c r="AL926" s="62"/>
      <c r="AM926" s="62"/>
      <c r="AN926" s="62"/>
      <c r="AO926" s="62"/>
      <c r="AP926" s="62"/>
      <c r="AQ926" s="62"/>
      <c r="AR926" s="62"/>
      <c r="AS926" s="62"/>
      <c r="AT926" s="62"/>
      <c r="AU926" s="62"/>
      <c r="AV926" s="62"/>
    </row>
    <row r="927" spans="1:48" ht="12.75" customHeight="1" x14ac:dyDescent="0.2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2"/>
      <c r="AJ927" s="62"/>
      <c r="AK927" s="62"/>
      <c r="AL927" s="62"/>
      <c r="AM927" s="62"/>
      <c r="AN927" s="62"/>
      <c r="AO927" s="62"/>
      <c r="AP927" s="62"/>
      <c r="AQ927" s="62"/>
      <c r="AR927" s="62"/>
      <c r="AS927" s="62"/>
      <c r="AT927" s="62"/>
      <c r="AU927" s="62"/>
      <c r="AV927" s="62"/>
    </row>
    <row r="928" spans="1:48" ht="12.75" customHeight="1" x14ac:dyDescent="0.2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  <c r="AA928" s="62"/>
      <c r="AB928" s="62"/>
      <c r="AC928" s="62"/>
      <c r="AD928" s="62"/>
      <c r="AE928" s="62"/>
      <c r="AF928" s="62"/>
      <c r="AG928" s="62"/>
      <c r="AH928" s="62"/>
      <c r="AI928" s="62"/>
      <c r="AJ928" s="62"/>
      <c r="AK928" s="62"/>
      <c r="AL928" s="62"/>
      <c r="AM928" s="62"/>
      <c r="AN928" s="62"/>
      <c r="AO928" s="62"/>
      <c r="AP928" s="62"/>
      <c r="AQ928" s="62"/>
      <c r="AR928" s="62"/>
      <c r="AS928" s="62"/>
      <c r="AT928" s="62"/>
      <c r="AU928" s="62"/>
      <c r="AV928" s="62"/>
    </row>
    <row r="929" spans="1:48" ht="12.75" customHeight="1" x14ac:dyDescent="0.2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2"/>
      <c r="AJ929" s="62"/>
      <c r="AK929" s="62"/>
      <c r="AL929" s="62"/>
      <c r="AM929" s="62"/>
      <c r="AN929" s="62"/>
      <c r="AO929" s="62"/>
      <c r="AP929" s="62"/>
      <c r="AQ929" s="62"/>
      <c r="AR929" s="62"/>
      <c r="AS929" s="62"/>
      <c r="AT929" s="62"/>
      <c r="AU929" s="62"/>
      <c r="AV929" s="62"/>
    </row>
    <row r="930" spans="1:48" ht="12.75" customHeight="1" x14ac:dyDescent="0.2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  <c r="AA930" s="62"/>
      <c r="AB930" s="62"/>
      <c r="AC930" s="62"/>
      <c r="AD930" s="62"/>
      <c r="AE930" s="62"/>
      <c r="AF930" s="62"/>
      <c r="AG930" s="62"/>
      <c r="AH930" s="62"/>
      <c r="AI930" s="62"/>
      <c r="AJ930" s="62"/>
      <c r="AK930" s="62"/>
      <c r="AL930" s="62"/>
      <c r="AM930" s="62"/>
      <c r="AN930" s="62"/>
      <c r="AO930" s="62"/>
      <c r="AP930" s="62"/>
      <c r="AQ930" s="62"/>
      <c r="AR930" s="62"/>
      <c r="AS930" s="62"/>
      <c r="AT930" s="62"/>
      <c r="AU930" s="62"/>
      <c r="AV930" s="62"/>
    </row>
    <row r="931" spans="1:48" ht="12.75" customHeight="1" x14ac:dyDescent="0.2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2"/>
      <c r="AJ931" s="62"/>
      <c r="AK931" s="62"/>
      <c r="AL931" s="62"/>
      <c r="AM931" s="62"/>
      <c r="AN931" s="62"/>
      <c r="AO931" s="62"/>
      <c r="AP931" s="62"/>
      <c r="AQ931" s="62"/>
      <c r="AR931" s="62"/>
      <c r="AS931" s="62"/>
      <c r="AT931" s="62"/>
      <c r="AU931" s="62"/>
      <c r="AV931" s="62"/>
    </row>
    <row r="932" spans="1:48" ht="12.75" customHeight="1" x14ac:dyDescent="0.2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  <c r="AA932" s="62"/>
      <c r="AB932" s="62"/>
      <c r="AC932" s="62"/>
      <c r="AD932" s="62"/>
      <c r="AE932" s="62"/>
      <c r="AF932" s="62"/>
      <c r="AG932" s="62"/>
      <c r="AH932" s="62"/>
      <c r="AI932" s="62"/>
      <c r="AJ932" s="62"/>
      <c r="AK932" s="62"/>
      <c r="AL932" s="62"/>
      <c r="AM932" s="62"/>
      <c r="AN932" s="62"/>
      <c r="AO932" s="62"/>
      <c r="AP932" s="62"/>
      <c r="AQ932" s="62"/>
      <c r="AR932" s="62"/>
      <c r="AS932" s="62"/>
      <c r="AT932" s="62"/>
      <c r="AU932" s="62"/>
      <c r="AV932" s="62"/>
    </row>
    <row r="933" spans="1:48" ht="12.75" customHeight="1" x14ac:dyDescent="0.2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2"/>
      <c r="AJ933" s="62"/>
      <c r="AK933" s="62"/>
      <c r="AL933" s="62"/>
      <c r="AM933" s="62"/>
      <c r="AN933" s="62"/>
      <c r="AO933" s="62"/>
      <c r="AP933" s="62"/>
      <c r="AQ933" s="62"/>
      <c r="AR933" s="62"/>
      <c r="AS933" s="62"/>
      <c r="AT933" s="62"/>
      <c r="AU933" s="62"/>
      <c r="AV933" s="62"/>
    </row>
    <row r="934" spans="1:48" ht="12.75" customHeight="1" x14ac:dyDescent="0.2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  <c r="AA934" s="62"/>
      <c r="AB934" s="62"/>
      <c r="AC934" s="62"/>
      <c r="AD934" s="62"/>
      <c r="AE934" s="62"/>
      <c r="AF934" s="62"/>
      <c r="AG934" s="62"/>
      <c r="AH934" s="62"/>
      <c r="AI934" s="62"/>
      <c r="AJ934" s="62"/>
      <c r="AK934" s="62"/>
      <c r="AL934" s="62"/>
      <c r="AM934" s="62"/>
      <c r="AN934" s="62"/>
      <c r="AO934" s="62"/>
      <c r="AP934" s="62"/>
      <c r="AQ934" s="62"/>
      <c r="AR934" s="62"/>
      <c r="AS934" s="62"/>
      <c r="AT934" s="62"/>
      <c r="AU934" s="62"/>
      <c r="AV934" s="62"/>
    </row>
    <row r="935" spans="1:48" ht="12.75" customHeight="1" x14ac:dyDescent="0.2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2"/>
      <c r="AJ935" s="62"/>
      <c r="AK935" s="62"/>
      <c r="AL935" s="62"/>
      <c r="AM935" s="62"/>
      <c r="AN935" s="62"/>
      <c r="AO935" s="62"/>
      <c r="AP935" s="62"/>
      <c r="AQ935" s="62"/>
      <c r="AR935" s="62"/>
      <c r="AS935" s="62"/>
      <c r="AT935" s="62"/>
      <c r="AU935" s="62"/>
      <c r="AV935" s="62"/>
    </row>
    <row r="936" spans="1:48" ht="12.75" customHeight="1" x14ac:dyDescent="0.2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  <c r="AA936" s="62"/>
      <c r="AB936" s="62"/>
      <c r="AC936" s="62"/>
      <c r="AD936" s="62"/>
      <c r="AE936" s="62"/>
      <c r="AF936" s="62"/>
      <c r="AG936" s="62"/>
      <c r="AH936" s="62"/>
      <c r="AI936" s="62"/>
      <c r="AJ936" s="62"/>
      <c r="AK936" s="62"/>
      <c r="AL936" s="62"/>
      <c r="AM936" s="62"/>
      <c r="AN936" s="62"/>
      <c r="AO936" s="62"/>
      <c r="AP936" s="62"/>
      <c r="AQ936" s="62"/>
      <c r="AR936" s="62"/>
      <c r="AS936" s="62"/>
      <c r="AT936" s="62"/>
      <c r="AU936" s="62"/>
      <c r="AV936" s="62"/>
    </row>
    <row r="937" spans="1:48" ht="12.75" customHeight="1" x14ac:dyDescent="0.2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2"/>
      <c r="AJ937" s="62"/>
      <c r="AK937" s="62"/>
      <c r="AL937" s="62"/>
      <c r="AM937" s="62"/>
      <c r="AN937" s="62"/>
      <c r="AO937" s="62"/>
      <c r="AP937" s="62"/>
      <c r="AQ937" s="62"/>
      <c r="AR937" s="62"/>
      <c r="AS937" s="62"/>
      <c r="AT937" s="62"/>
      <c r="AU937" s="62"/>
      <c r="AV937" s="62"/>
    </row>
    <row r="938" spans="1:48" ht="12.75" customHeight="1" x14ac:dyDescent="0.2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  <c r="AB938" s="62"/>
      <c r="AC938" s="62"/>
      <c r="AD938" s="62"/>
      <c r="AE938" s="62"/>
      <c r="AF938" s="62"/>
      <c r="AG938" s="62"/>
      <c r="AH938" s="62"/>
      <c r="AI938" s="62"/>
      <c r="AJ938" s="62"/>
      <c r="AK938" s="62"/>
      <c r="AL938" s="62"/>
      <c r="AM938" s="62"/>
      <c r="AN938" s="62"/>
      <c r="AO938" s="62"/>
      <c r="AP938" s="62"/>
      <c r="AQ938" s="62"/>
      <c r="AR938" s="62"/>
      <c r="AS938" s="62"/>
      <c r="AT938" s="62"/>
      <c r="AU938" s="62"/>
      <c r="AV938" s="62"/>
    </row>
    <row r="939" spans="1:48" ht="12.75" customHeight="1" x14ac:dyDescent="0.2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2"/>
      <c r="AJ939" s="62"/>
      <c r="AK939" s="62"/>
      <c r="AL939" s="62"/>
      <c r="AM939" s="62"/>
      <c r="AN939" s="62"/>
      <c r="AO939" s="62"/>
      <c r="AP939" s="62"/>
      <c r="AQ939" s="62"/>
      <c r="AR939" s="62"/>
      <c r="AS939" s="62"/>
      <c r="AT939" s="62"/>
      <c r="AU939" s="62"/>
      <c r="AV939" s="62"/>
    </row>
    <row r="940" spans="1:48" ht="12.75" customHeight="1" x14ac:dyDescent="0.2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  <c r="AA940" s="62"/>
      <c r="AB940" s="62"/>
      <c r="AC940" s="62"/>
      <c r="AD940" s="62"/>
      <c r="AE940" s="62"/>
      <c r="AF940" s="62"/>
      <c r="AG940" s="62"/>
      <c r="AH940" s="62"/>
      <c r="AI940" s="62"/>
      <c r="AJ940" s="62"/>
      <c r="AK940" s="62"/>
      <c r="AL940" s="62"/>
      <c r="AM940" s="62"/>
      <c r="AN940" s="62"/>
      <c r="AO940" s="62"/>
      <c r="AP940" s="62"/>
      <c r="AQ940" s="62"/>
      <c r="AR940" s="62"/>
      <c r="AS940" s="62"/>
      <c r="AT940" s="62"/>
      <c r="AU940" s="62"/>
      <c r="AV940" s="62"/>
    </row>
    <row r="941" spans="1:48" ht="12.75" customHeight="1" x14ac:dyDescent="0.2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2"/>
      <c r="AJ941" s="62"/>
      <c r="AK941" s="62"/>
      <c r="AL941" s="62"/>
      <c r="AM941" s="62"/>
      <c r="AN941" s="62"/>
      <c r="AO941" s="62"/>
      <c r="AP941" s="62"/>
      <c r="AQ941" s="62"/>
      <c r="AR941" s="62"/>
      <c r="AS941" s="62"/>
      <c r="AT941" s="62"/>
      <c r="AU941" s="62"/>
      <c r="AV941" s="62"/>
    </row>
    <row r="942" spans="1:48" ht="12.75" customHeight="1" x14ac:dyDescent="0.2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  <c r="AA942" s="62"/>
      <c r="AB942" s="62"/>
      <c r="AC942" s="62"/>
      <c r="AD942" s="62"/>
      <c r="AE942" s="62"/>
      <c r="AF942" s="62"/>
      <c r="AG942" s="62"/>
      <c r="AH942" s="62"/>
      <c r="AI942" s="62"/>
      <c r="AJ942" s="62"/>
      <c r="AK942" s="62"/>
      <c r="AL942" s="62"/>
      <c r="AM942" s="62"/>
      <c r="AN942" s="62"/>
      <c r="AO942" s="62"/>
      <c r="AP942" s="62"/>
      <c r="AQ942" s="62"/>
      <c r="AR942" s="62"/>
      <c r="AS942" s="62"/>
      <c r="AT942" s="62"/>
      <c r="AU942" s="62"/>
      <c r="AV942" s="62"/>
    </row>
    <row r="943" spans="1:48" ht="12.75" customHeight="1" x14ac:dyDescent="0.2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2"/>
      <c r="AJ943" s="62"/>
      <c r="AK943" s="62"/>
      <c r="AL943" s="62"/>
      <c r="AM943" s="62"/>
      <c r="AN943" s="62"/>
      <c r="AO943" s="62"/>
      <c r="AP943" s="62"/>
      <c r="AQ943" s="62"/>
      <c r="AR943" s="62"/>
      <c r="AS943" s="62"/>
      <c r="AT943" s="62"/>
      <c r="AU943" s="62"/>
      <c r="AV943" s="62"/>
    </row>
    <row r="944" spans="1:48" ht="12.75" customHeight="1" x14ac:dyDescent="0.2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  <c r="AA944" s="62"/>
      <c r="AB944" s="62"/>
      <c r="AC944" s="62"/>
      <c r="AD944" s="62"/>
      <c r="AE944" s="62"/>
      <c r="AF944" s="62"/>
      <c r="AG944" s="62"/>
      <c r="AH944" s="62"/>
      <c r="AI944" s="62"/>
      <c r="AJ944" s="62"/>
      <c r="AK944" s="62"/>
      <c r="AL944" s="62"/>
      <c r="AM944" s="62"/>
      <c r="AN944" s="62"/>
      <c r="AO944" s="62"/>
      <c r="AP944" s="62"/>
      <c r="AQ944" s="62"/>
      <c r="AR944" s="62"/>
      <c r="AS944" s="62"/>
      <c r="AT944" s="62"/>
      <c r="AU944" s="62"/>
      <c r="AV944" s="62"/>
    </row>
    <row r="945" spans="1:48" ht="12.75" customHeight="1" x14ac:dyDescent="0.2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2"/>
      <c r="AJ945" s="62"/>
      <c r="AK945" s="62"/>
      <c r="AL945" s="62"/>
      <c r="AM945" s="62"/>
      <c r="AN945" s="62"/>
      <c r="AO945" s="62"/>
      <c r="AP945" s="62"/>
      <c r="AQ945" s="62"/>
      <c r="AR945" s="62"/>
      <c r="AS945" s="62"/>
      <c r="AT945" s="62"/>
      <c r="AU945" s="62"/>
      <c r="AV945" s="62"/>
    </row>
    <row r="946" spans="1:48" ht="12.75" customHeight="1" x14ac:dyDescent="0.2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  <c r="AA946" s="62"/>
      <c r="AB946" s="62"/>
      <c r="AC946" s="62"/>
      <c r="AD946" s="62"/>
      <c r="AE946" s="62"/>
      <c r="AF946" s="62"/>
      <c r="AG946" s="62"/>
      <c r="AH946" s="62"/>
      <c r="AI946" s="62"/>
      <c r="AJ946" s="62"/>
      <c r="AK946" s="62"/>
      <c r="AL946" s="62"/>
      <c r="AM946" s="62"/>
      <c r="AN946" s="62"/>
      <c r="AO946" s="62"/>
      <c r="AP946" s="62"/>
      <c r="AQ946" s="62"/>
      <c r="AR946" s="62"/>
      <c r="AS946" s="62"/>
      <c r="AT946" s="62"/>
      <c r="AU946" s="62"/>
      <c r="AV946" s="62"/>
    </row>
    <row r="947" spans="1:48" ht="12.75" customHeight="1" x14ac:dyDescent="0.2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2"/>
      <c r="AJ947" s="62"/>
      <c r="AK947" s="62"/>
      <c r="AL947" s="62"/>
      <c r="AM947" s="62"/>
      <c r="AN947" s="62"/>
      <c r="AO947" s="62"/>
      <c r="AP947" s="62"/>
      <c r="AQ947" s="62"/>
      <c r="AR947" s="62"/>
      <c r="AS947" s="62"/>
      <c r="AT947" s="62"/>
      <c r="AU947" s="62"/>
      <c r="AV947" s="62"/>
    </row>
    <row r="948" spans="1:48" ht="12.75" customHeight="1" x14ac:dyDescent="0.2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  <c r="AA948" s="62"/>
      <c r="AB948" s="62"/>
      <c r="AC948" s="62"/>
      <c r="AD948" s="62"/>
      <c r="AE948" s="62"/>
      <c r="AF948" s="62"/>
      <c r="AG948" s="62"/>
      <c r="AH948" s="62"/>
      <c r="AI948" s="62"/>
      <c r="AJ948" s="62"/>
      <c r="AK948" s="62"/>
      <c r="AL948" s="62"/>
      <c r="AM948" s="62"/>
      <c r="AN948" s="62"/>
      <c r="AO948" s="62"/>
      <c r="AP948" s="62"/>
      <c r="AQ948" s="62"/>
      <c r="AR948" s="62"/>
      <c r="AS948" s="62"/>
      <c r="AT948" s="62"/>
      <c r="AU948" s="62"/>
      <c r="AV948" s="62"/>
    </row>
    <row r="949" spans="1:48" ht="12.75" customHeight="1" x14ac:dyDescent="0.2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2"/>
      <c r="AJ949" s="62"/>
      <c r="AK949" s="62"/>
      <c r="AL949" s="62"/>
      <c r="AM949" s="62"/>
      <c r="AN949" s="62"/>
      <c r="AO949" s="62"/>
      <c r="AP949" s="62"/>
      <c r="AQ949" s="62"/>
      <c r="AR949" s="62"/>
      <c r="AS949" s="62"/>
      <c r="AT949" s="62"/>
      <c r="AU949" s="62"/>
      <c r="AV949" s="62"/>
    </row>
    <row r="950" spans="1:48" ht="12.75" customHeight="1" x14ac:dyDescent="0.2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  <c r="AA950" s="62"/>
      <c r="AB950" s="62"/>
      <c r="AC950" s="62"/>
      <c r="AD950" s="62"/>
      <c r="AE950" s="62"/>
      <c r="AF950" s="62"/>
      <c r="AG950" s="62"/>
      <c r="AH950" s="62"/>
      <c r="AI950" s="62"/>
      <c r="AJ950" s="62"/>
      <c r="AK950" s="62"/>
      <c r="AL950" s="62"/>
      <c r="AM950" s="62"/>
      <c r="AN950" s="62"/>
      <c r="AO950" s="62"/>
      <c r="AP950" s="62"/>
      <c r="AQ950" s="62"/>
      <c r="AR950" s="62"/>
      <c r="AS950" s="62"/>
      <c r="AT950" s="62"/>
      <c r="AU950" s="62"/>
      <c r="AV950" s="62"/>
    </row>
    <row r="951" spans="1:48" ht="12.75" customHeight="1" x14ac:dyDescent="0.2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2"/>
      <c r="AJ951" s="62"/>
      <c r="AK951" s="62"/>
      <c r="AL951" s="62"/>
      <c r="AM951" s="62"/>
      <c r="AN951" s="62"/>
      <c r="AO951" s="62"/>
      <c r="AP951" s="62"/>
      <c r="AQ951" s="62"/>
      <c r="AR951" s="62"/>
      <c r="AS951" s="62"/>
      <c r="AT951" s="62"/>
      <c r="AU951" s="62"/>
      <c r="AV951" s="62"/>
    </row>
    <row r="952" spans="1:48" ht="12.75" customHeight="1" x14ac:dyDescent="0.2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  <c r="AA952" s="62"/>
      <c r="AB952" s="62"/>
      <c r="AC952" s="62"/>
      <c r="AD952" s="62"/>
      <c r="AE952" s="62"/>
      <c r="AF952" s="62"/>
      <c r="AG952" s="62"/>
      <c r="AH952" s="62"/>
      <c r="AI952" s="62"/>
      <c r="AJ952" s="62"/>
      <c r="AK952" s="62"/>
      <c r="AL952" s="62"/>
      <c r="AM952" s="62"/>
      <c r="AN952" s="62"/>
      <c r="AO952" s="62"/>
      <c r="AP952" s="62"/>
      <c r="AQ952" s="62"/>
      <c r="AR952" s="62"/>
      <c r="AS952" s="62"/>
      <c r="AT952" s="62"/>
      <c r="AU952" s="62"/>
      <c r="AV952" s="62"/>
    </row>
    <row r="953" spans="1:48" ht="12.75" customHeight="1" x14ac:dyDescent="0.2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2"/>
      <c r="AJ953" s="62"/>
      <c r="AK953" s="62"/>
      <c r="AL953" s="62"/>
      <c r="AM953" s="62"/>
      <c r="AN953" s="62"/>
      <c r="AO953" s="62"/>
      <c r="AP953" s="62"/>
      <c r="AQ953" s="62"/>
      <c r="AR953" s="62"/>
      <c r="AS953" s="62"/>
      <c r="AT953" s="62"/>
      <c r="AU953" s="62"/>
      <c r="AV953" s="62"/>
    </row>
    <row r="954" spans="1:48" ht="12.75" customHeight="1" x14ac:dyDescent="0.2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  <c r="AA954" s="62"/>
      <c r="AB954" s="62"/>
      <c r="AC954" s="62"/>
      <c r="AD954" s="62"/>
      <c r="AE954" s="62"/>
      <c r="AF954" s="62"/>
      <c r="AG954" s="62"/>
      <c r="AH954" s="62"/>
      <c r="AI954" s="62"/>
      <c r="AJ954" s="62"/>
      <c r="AK954" s="62"/>
      <c r="AL954" s="62"/>
      <c r="AM954" s="62"/>
      <c r="AN954" s="62"/>
      <c r="AO954" s="62"/>
      <c r="AP954" s="62"/>
      <c r="AQ954" s="62"/>
      <c r="AR954" s="62"/>
      <c r="AS954" s="62"/>
      <c r="AT954" s="62"/>
      <c r="AU954" s="62"/>
      <c r="AV954" s="62"/>
    </row>
    <row r="955" spans="1:48" ht="12.75" customHeight="1" x14ac:dyDescent="0.2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2"/>
      <c r="AJ955" s="62"/>
      <c r="AK955" s="62"/>
      <c r="AL955" s="62"/>
      <c r="AM955" s="62"/>
      <c r="AN955" s="62"/>
      <c r="AO955" s="62"/>
      <c r="AP955" s="62"/>
      <c r="AQ955" s="62"/>
      <c r="AR955" s="62"/>
      <c r="AS955" s="62"/>
      <c r="AT955" s="62"/>
      <c r="AU955" s="62"/>
      <c r="AV955" s="62"/>
    </row>
    <row r="956" spans="1:48" ht="12.75" customHeight="1" x14ac:dyDescent="0.2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  <c r="AA956" s="62"/>
      <c r="AB956" s="62"/>
      <c r="AC956" s="62"/>
      <c r="AD956" s="62"/>
      <c r="AE956" s="62"/>
      <c r="AF956" s="62"/>
      <c r="AG956" s="62"/>
      <c r="AH956" s="62"/>
      <c r="AI956" s="62"/>
      <c r="AJ956" s="62"/>
      <c r="AK956" s="62"/>
      <c r="AL956" s="62"/>
      <c r="AM956" s="62"/>
      <c r="AN956" s="62"/>
      <c r="AO956" s="62"/>
      <c r="AP956" s="62"/>
      <c r="AQ956" s="62"/>
      <c r="AR956" s="62"/>
      <c r="AS956" s="62"/>
      <c r="AT956" s="62"/>
      <c r="AU956" s="62"/>
      <c r="AV956" s="62"/>
    </row>
    <row r="957" spans="1:48" ht="12.75" customHeight="1" x14ac:dyDescent="0.2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2"/>
      <c r="AJ957" s="62"/>
      <c r="AK957" s="62"/>
      <c r="AL957" s="62"/>
      <c r="AM957" s="62"/>
      <c r="AN957" s="62"/>
      <c r="AO957" s="62"/>
      <c r="AP957" s="62"/>
      <c r="AQ957" s="62"/>
      <c r="AR957" s="62"/>
      <c r="AS957" s="62"/>
      <c r="AT957" s="62"/>
      <c r="AU957" s="62"/>
      <c r="AV957" s="62"/>
    </row>
    <row r="958" spans="1:48" ht="12.75" customHeight="1" x14ac:dyDescent="0.2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  <c r="AA958" s="62"/>
      <c r="AB958" s="62"/>
      <c r="AC958" s="62"/>
      <c r="AD958" s="62"/>
      <c r="AE958" s="62"/>
      <c r="AF958" s="62"/>
      <c r="AG958" s="62"/>
      <c r="AH958" s="62"/>
      <c r="AI958" s="62"/>
      <c r="AJ958" s="62"/>
      <c r="AK958" s="62"/>
      <c r="AL958" s="62"/>
      <c r="AM958" s="62"/>
      <c r="AN958" s="62"/>
      <c r="AO958" s="62"/>
      <c r="AP958" s="62"/>
      <c r="AQ958" s="62"/>
      <c r="AR958" s="62"/>
      <c r="AS958" s="62"/>
      <c r="AT958" s="62"/>
      <c r="AU958" s="62"/>
      <c r="AV958" s="62"/>
    </row>
    <row r="959" spans="1:48" ht="12.75" customHeight="1" x14ac:dyDescent="0.2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2"/>
      <c r="AJ959" s="62"/>
      <c r="AK959" s="62"/>
      <c r="AL959" s="62"/>
      <c r="AM959" s="62"/>
      <c r="AN959" s="62"/>
      <c r="AO959" s="62"/>
      <c r="AP959" s="62"/>
      <c r="AQ959" s="62"/>
      <c r="AR959" s="62"/>
      <c r="AS959" s="62"/>
      <c r="AT959" s="62"/>
      <c r="AU959" s="62"/>
      <c r="AV959" s="62"/>
    </row>
    <row r="960" spans="1:48" ht="12.75" customHeight="1" x14ac:dyDescent="0.2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  <c r="AB960" s="62"/>
      <c r="AC960" s="62"/>
      <c r="AD960" s="62"/>
      <c r="AE960" s="62"/>
      <c r="AF960" s="62"/>
      <c r="AG960" s="62"/>
      <c r="AH960" s="62"/>
      <c r="AI960" s="62"/>
      <c r="AJ960" s="62"/>
      <c r="AK960" s="62"/>
      <c r="AL960" s="62"/>
      <c r="AM960" s="62"/>
      <c r="AN960" s="62"/>
      <c r="AO960" s="62"/>
      <c r="AP960" s="62"/>
      <c r="AQ960" s="62"/>
      <c r="AR960" s="62"/>
      <c r="AS960" s="62"/>
      <c r="AT960" s="62"/>
      <c r="AU960" s="62"/>
      <c r="AV960" s="62"/>
    </row>
    <row r="961" spans="1:48" ht="12.75" customHeight="1" x14ac:dyDescent="0.2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2"/>
      <c r="AJ961" s="62"/>
      <c r="AK961" s="62"/>
      <c r="AL961" s="62"/>
      <c r="AM961" s="62"/>
      <c r="AN961" s="62"/>
      <c r="AO961" s="62"/>
      <c r="AP961" s="62"/>
      <c r="AQ961" s="62"/>
      <c r="AR961" s="62"/>
      <c r="AS961" s="62"/>
      <c r="AT961" s="62"/>
      <c r="AU961" s="62"/>
      <c r="AV961" s="62"/>
    </row>
    <row r="962" spans="1:48" ht="12.75" customHeight="1" x14ac:dyDescent="0.2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  <c r="AA962" s="62"/>
      <c r="AB962" s="62"/>
      <c r="AC962" s="62"/>
      <c r="AD962" s="62"/>
      <c r="AE962" s="62"/>
      <c r="AF962" s="62"/>
      <c r="AG962" s="62"/>
      <c r="AH962" s="62"/>
      <c r="AI962" s="62"/>
      <c r="AJ962" s="62"/>
      <c r="AK962" s="62"/>
      <c r="AL962" s="62"/>
      <c r="AM962" s="62"/>
      <c r="AN962" s="62"/>
      <c r="AO962" s="62"/>
      <c r="AP962" s="62"/>
      <c r="AQ962" s="62"/>
      <c r="AR962" s="62"/>
      <c r="AS962" s="62"/>
      <c r="AT962" s="62"/>
      <c r="AU962" s="62"/>
      <c r="AV962" s="62"/>
    </row>
    <row r="963" spans="1:48" ht="12.75" customHeight="1" x14ac:dyDescent="0.2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2"/>
      <c r="AJ963" s="62"/>
      <c r="AK963" s="62"/>
      <c r="AL963" s="62"/>
      <c r="AM963" s="62"/>
      <c r="AN963" s="62"/>
      <c r="AO963" s="62"/>
      <c r="AP963" s="62"/>
      <c r="AQ963" s="62"/>
      <c r="AR963" s="62"/>
      <c r="AS963" s="62"/>
      <c r="AT963" s="62"/>
      <c r="AU963" s="62"/>
      <c r="AV963" s="62"/>
    </row>
    <row r="964" spans="1:48" ht="12.75" customHeight="1" x14ac:dyDescent="0.2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  <c r="AA964" s="62"/>
      <c r="AB964" s="62"/>
      <c r="AC964" s="62"/>
      <c r="AD964" s="62"/>
      <c r="AE964" s="62"/>
      <c r="AF964" s="62"/>
      <c r="AG964" s="62"/>
      <c r="AH964" s="62"/>
      <c r="AI964" s="62"/>
      <c r="AJ964" s="62"/>
      <c r="AK964" s="62"/>
      <c r="AL964" s="62"/>
      <c r="AM964" s="62"/>
      <c r="AN964" s="62"/>
      <c r="AO964" s="62"/>
      <c r="AP964" s="62"/>
      <c r="AQ964" s="62"/>
      <c r="AR964" s="62"/>
      <c r="AS964" s="62"/>
      <c r="AT964" s="62"/>
      <c r="AU964" s="62"/>
      <c r="AV964" s="62"/>
    </row>
    <row r="965" spans="1:48" ht="12.75" customHeight="1" x14ac:dyDescent="0.2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2"/>
      <c r="AJ965" s="62"/>
      <c r="AK965" s="62"/>
      <c r="AL965" s="62"/>
      <c r="AM965" s="62"/>
      <c r="AN965" s="62"/>
      <c r="AO965" s="62"/>
      <c r="AP965" s="62"/>
      <c r="AQ965" s="62"/>
      <c r="AR965" s="62"/>
      <c r="AS965" s="62"/>
      <c r="AT965" s="62"/>
      <c r="AU965" s="62"/>
      <c r="AV965" s="62"/>
    </row>
    <row r="966" spans="1:48" ht="12.75" customHeight="1" x14ac:dyDescent="0.2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  <c r="AA966" s="62"/>
      <c r="AB966" s="62"/>
      <c r="AC966" s="62"/>
      <c r="AD966" s="62"/>
      <c r="AE966" s="62"/>
      <c r="AF966" s="62"/>
      <c r="AG966" s="62"/>
      <c r="AH966" s="62"/>
      <c r="AI966" s="62"/>
      <c r="AJ966" s="62"/>
      <c r="AK966" s="62"/>
      <c r="AL966" s="62"/>
      <c r="AM966" s="62"/>
      <c r="AN966" s="62"/>
      <c r="AO966" s="62"/>
      <c r="AP966" s="62"/>
      <c r="AQ966" s="62"/>
      <c r="AR966" s="62"/>
      <c r="AS966" s="62"/>
      <c r="AT966" s="62"/>
      <c r="AU966" s="62"/>
      <c r="AV966" s="62"/>
    </row>
    <row r="967" spans="1:48" ht="12.75" customHeight="1" x14ac:dyDescent="0.2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2"/>
      <c r="AJ967" s="62"/>
      <c r="AK967" s="62"/>
      <c r="AL967" s="62"/>
      <c r="AM967" s="62"/>
      <c r="AN967" s="62"/>
      <c r="AO967" s="62"/>
      <c r="AP967" s="62"/>
      <c r="AQ967" s="62"/>
      <c r="AR967" s="62"/>
      <c r="AS967" s="62"/>
      <c r="AT967" s="62"/>
      <c r="AU967" s="62"/>
      <c r="AV967" s="62"/>
    </row>
    <row r="968" spans="1:48" ht="12.75" customHeight="1" x14ac:dyDescent="0.2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  <c r="AA968" s="62"/>
      <c r="AB968" s="62"/>
      <c r="AC968" s="62"/>
      <c r="AD968" s="62"/>
      <c r="AE968" s="62"/>
      <c r="AF968" s="62"/>
      <c r="AG968" s="62"/>
      <c r="AH968" s="62"/>
      <c r="AI968" s="62"/>
      <c r="AJ968" s="62"/>
      <c r="AK968" s="62"/>
      <c r="AL968" s="62"/>
      <c r="AM968" s="62"/>
      <c r="AN968" s="62"/>
      <c r="AO968" s="62"/>
      <c r="AP968" s="62"/>
      <c r="AQ968" s="62"/>
      <c r="AR968" s="62"/>
      <c r="AS968" s="62"/>
      <c r="AT968" s="62"/>
      <c r="AU968" s="62"/>
      <c r="AV968" s="62"/>
    </row>
    <row r="969" spans="1:48" ht="12.75" customHeight="1" x14ac:dyDescent="0.2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2"/>
      <c r="AJ969" s="62"/>
      <c r="AK969" s="62"/>
      <c r="AL969" s="62"/>
      <c r="AM969" s="62"/>
      <c r="AN969" s="62"/>
      <c r="AO969" s="62"/>
      <c r="AP969" s="62"/>
      <c r="AQ969" s="62"/>
      <c r="AR969" s="62"/>
      <c r="AS969" s="62"/>
      <c r="AT969" s="62"/>
      <c r="AU969" s="62"/>
      <c r="AV969" s="62"/>
    </row>
    <row r="970" spans="1:48" ht="12.75" customHeight="1" x14ac:dyDescent="0.2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  <c r="AA970" s="62"/>
      <c r="AB970" s="62"/>
      <c r="AC970" s="62"/>
      <c r="AD970" s="62"/>
      <c r="AE970" s="62"/>
      <c r="AF970" s="62"/>
      <c r="AG970" s="62"/>
      <c r="AH970" s="62"/>
      <c r="AI970" s="62"/>
      <c r="AJ970" s="62"/>
      <c r="AK970" s="62"/>
      <c r="AL970" s="62"/>
      <c r="AM970" s="62"/>
      <c r="AN970" s="62"/>
      <c r="AO970" s="62"/>
      <c r="AP970" s="62"/>
      <c r="AQ970" s="62"/>
      <c r="AR970" s="62"/>
      <c r="AS970" s="62"/>
      <c r="AT970" s="62"/>
      <c r="AU970" s="62"/>
      <c r="AV970" s="62"/>
    </row>
    <row r="971" spans="1:48" ht="12.75" customHeight="1" x14ac:dyDescent="0.2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2"/>
      <c r="AJ971" s="62"/>
      <c r="AK971" s="62"/>
      <c r="AL971" s="62"/>
      <c r="AM971" s="62"/>
      <c r="AN971" s="62"/>
      <c r="AO971" s="62"/>
      <c r="AP971" s="62"/>
      <c r="AQ971" s="62"/>
      <c r="AR971" s="62"/>
      <c r="AS971" s="62"/>
      <c r="AT971" s="62"/>
      <c r="AU971" s="62"/>
      <c r="AV971" s="62"/>
    </row>
    <row r="972" spans="1:48" ht="12.75" customHeight="1" x14ac:dyDescent="0.2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  <c r="AA972" s="62"/>
      <c r="AB972" s="62"/>
      <c r="AC972" s="62"/>
      <c r="AD972" s="62"/>
      <c r="AE972" s="62"/>
      <c r="AF972" s="62"/>
      <c r="AG972" s="62"/>
      <c r="AH972" s="62"/>
      <c r="AI972" s="62"/>
      <c r="AJ972" s="62"/>
      <c r="AK972" s="62"/>
      <c r="AL972" s="62"/>
      <c r="AM972" s="62"/>
      <c r="AN972" s="62"/>
      <c r="AO972" s="62"/>
      <c r="AP972" s="62"/>
      <c r="AQ972" s="62"/>
      <c r="AR972" s="62"/>
      <c r="AS972" s="62"/>
      <c r="AT972" s="62"/>
      <c r="AU972" s="62"/>
      <c r="AV972" s="62"/>
    </row>
    <row r="973" spans="1:48" ht="12.75" customHeight="1" x14ac:dyDescent="0.2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2"/>
      <c r="AJ973" s="62"/>
      <c r="AK973" s="62"/>
      <c r="AL973" s="62"/>
      <c r="AM973" s="62"/>
      <c r="AN973" s="62"/>
      <c r="AO973" s="62"/>
      <c r="AP973" s="62"/>
      <c r="AQ973" s="62"/>
      <c r="AR973" s="62"/>
      <c r="AS973" s="62"/>
      <c r="AT973" s="62"/>
      <c r="AU973" s="62"/>
      <c r="AV973" s="62"/>
    </row>
    <row r="974" spans="1:48" ht="12.75" customHeight="1" x14ac:dyDescent="0.2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  <c r="AA974" s="62"/>
      <c r="AB974" s="62"/>
      <c r="AC974" s="62"/>
      <c r="AD974" s="62"/>
      <c r="AE974" s="62"/>
      <c r="AF974" s="62"/>
      <c r="AG974" s="62"/>
      <c r="AH974" s="62"/>
      <c r="AI974" s="62"/>
      <c r="AJ974" s="62"/>
      <c r="AK974" s="62"/>
      <c r="AL974" s="62"/>
      <c r="AM974" s="62"/>
      <c r="AN974" s="62"/>
      <c r="AO974" s="62"/>
      <c r="AP974" s="62"/>
      <c r="AQ974" s="62"/>
      <c r="AR974" s="62"/>
      <c r="AS974" s="62"/>
      <c r="AT974" s="62"/>
      <c r="AU974" s="62"/>
      <c r="AV974" s="62"/>
    </row>
    <row r="975" spans="1:48" ht="12.75" customHeight="1" x14ac:dyDescent="0.2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2"/>
      <c r="AJ975" s="62"/>
      <c r="AK975" s="62"/>
      <c r="AL975" s="62"/>
      <c r="AM975" s="62"/>
      <c r="AN975" s="62"/>
      <c r="AO975" s="62"/>
      <c r="AP975" s="62"/>
      <c r="AQ975" s="62"/>
      <c r="AR975" s="62"/>
      <c r="AS975" s="62"/>
      <c r="AT975" s="62"/>
      <c r="AU975" s="62"/>
      <c r="AV975" s="62"/>
    </row>
    <row r="976" spans="1:48" ht="12.75" customHeight="1" x14ac:dyDescent="0.2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  <c r="AA976" s="62"/>
      <c r="AB976" s="62"/>
      <c r="AC976" s="62"/>
      <c r="AD976" s="62"/>
      <c r="AE976" s="62"/>
      <c r="AF976" s="62"/>
      <c r="AG976" s="62"/>
      <c r="AH976" s="62"/>
      <c r="AI976" s="62"/>
      <c r="AJ976" s="62"/>
      <c r="AK976" s="62"/>
      <c r="AL976" s="62"/>
      <c r="AM976" s="62"/>
      <c r="AN976" s="62"/>
      <c r="AO976" s="62"/>
      <c r="AP976" s="62"/>
      <c r="AQ976" s="62"/>
      <c r="AR976" s="62"/>
      <c r="AS976" s="62"/>
      <c r="AT976" s="62"/>
      <c r="AU976" s="62"/>
      <c r="AV976" s="62"/>
    </row>
    <row r="977" spans="1:48" ht="12.75" customHeight="1" x14ac:dyDescent="0.2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  <c r="AA977" s="62"/>
      <c r="AB977" s="62"/>
      <c r="AC977" s="62"/>
      <c r="AD977" s="62"/>
      <c r="AE977" s="62"/>
      <c r="AF977" s="62"/>
      <c r="AG977" s="62"/>
      <c r="AH977" s="62"/>
      <c r="AI977" s="62"/>
      <c r="AJ977" s="62"/>
      <c r="AK977" s="62"/>
      <c r="AL977" s="62"/>
      <c r="AM977" s="62"/>
      <c r="AN977" s="62"/>
      <c r="AO977" s="62"/>
      <c r="AP977" s="62"/>
      <c r="AQ977" s="62"/>
      <c r="AR977" s="62"/>
      <c r="AS977" s="62"/>
      <c r="AT977" s="62"/>
      <c r="AU977" s="62"/>
      <c r="AV977" s="62"/>
    </row>
    <row r="978" spans="1:48" ht="12.75" customHeight="1" x14ac:dyDescent="0.2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  <c r="AA978" s="62"/>
      <c r="AB978" s="62"/>
      <c r="AC978" s="62"/>
      <c r="AD978" s="62"/>
      <c r="AE978" s="62"/>
      <c r="AF978" s="62"/>
      <c r="AG978" s="62"/>
      <c r="AH978" s="62"/>
      <c r="AI978" s="62"/>
      <c r="AJ978" s="62"/>
      <c r="AK978" s="62"/>
      <c r="AL978" s="62"/>
      <c r="AM978" s="62"/>
      <c r="AN978" s="62"/>
      <c r="AO978" s="62"/>
      <c r="AP978" s="62"/>
      <c r="AQ978" s="62"/>
      <c r="AR978" s="62"/>
      <c r="AS978" s="62"/>
      <c r="AT978" s="62"/>
      <c r="AU978" s="62"/>
      <c r="AV978" s="62"/>
    </row>
    <row r="979" spans="1:48" ht="12.75" customHeight="1" x14ac:dyDescent="0.2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  <c r="AA979" s="62"/>
      <c r="AB979" s="62"/>
      <c r="AC979" s="62"/>
      <c r="AD979" s="62"/>
      <c r="AE979" s="62"/>
      <c r="AF979" s="62"/>
      <c r="AG979" s="62"/>
      <c r="AH979" s="62"/>
      <c r="AI979" s="62"/>
      <c r="AJ979" s="62"/>
      <c r="AK979" s="62"/>
      <c r="AL979" s="62"/>
      <c r="AM979" s="62"/>
      <c r="AN979" s="62"/>
      <c r="AO979" s="62"/>
      <c r="AP979" s="62"/>
      <c r="AQ979" s="62"/>
      <c r="AR979" s="62"/>
      <c r="AS979" s="62"/>
      <c r="AT979" s="62"/>
      <c r="AU979" s="62"/>
      <c r="AV979" s="62"/>
    </row>
    <row r="980" spans="1:48" ht="12.75" customHeight="1" x14ac:dyDescent="0.2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  <c r="AA980" s="62"/>
      <c r="AB980" s="62"/>
      <c r="AC980" s="62"/>
      <c r="AD980" s="62"/>
      <c r="AE980" s="62"/>
      <c r="AF980" s="62"/>
      <c r="AG980" s="62"/>
      <c r="AH980" s="62"/>
      <c r="AI980" s="62"/>
      <c r="AJ980" s="62"/>
      <c r="AK980" s="62"/>
      <c r="AL980" s="62"/>
      <c r="AM980" s="62"/>
      <c r="AN980" s="62"/>
      <c r="AO980" s="62"/>
      <c r="AP980" s="62"/>
      <c r="AQ980" s="62"/>
      <c r="AR980" s="62"/>
      <c r="AS980" s="62"/>
      <c r="AT980" s="62"/>
      <c r="AU980" s="62"/>
      <c r="AV980" s="62"/>
    </row>
    <row r="981" spans="1:48" ht="12.75" customHeight="1" x14ac:dyDescent="0.2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  <c r="AA981" s="62"/>
      <c r="AB981" s="62"/>
      <c r="AC981" s="62"/>
      <c r="AD981" s="62"/>
      <c r="AE981" s="62"/>
      <c r="AF981" s="62"/>
      <c r="AG981" s="62"/>
      <c r="AH981" s="62"/>
      <c r="AI981" s="62"/>
      <c r="AJ981" s="62"/>
      <c r="AK981" s="62"/>
      <c r="AL981" s="62"/>
      <c r="AM981" s="62"/>
      <c r="AN981" s="62"/>
      <c r="AO981" s="62"/>
      <c r="AP981" s="62"/>
      <c r="AQ981" s="62"/>
      <c r="AR981" s="62"/>
      <c r="AS981" s="62"/>
      <c r="AT981" s="62"/>
      <c r="AU981" s="62"/>
      <c r="AV981" s="62"/>
    </row>
    <row r="982" spans="1:48" ht="12.75" customHeight="1" x14ac:dyDescent="0.2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  <c r="AB982" s="62"/>
      <c r="AC982" s="62"/>
      <c r="AD982" s="62"/>
      <c r="AE982" s="62"/>
      <c r="AF982" s="62"/>
      <c r="AG982" s="62"/>
      <c r="AH982" s="62"/>
      <c r="AI982" s="62"/>
      <c r="AJ982" s="62"/>
      <c r="AK982" s="62"/>
      <c r="AL982" s="62"/>
      <c r="AM982" s="62"/>
      <c r="AN982" s="62"/>
      <c r="AO982" s="62"/>
      <c r="AP982" s="62"/>
      <c r="AQ982" s="62"/>
      <c r="AR982" s="62"/>
      <c r="AS982" s="62"/>
      <c r="AT982" s="62"/>
      <c r="AU982" s="62"/>
      <c r="AV982" s="62"/>
    </row>
    <row r="983" spans="1:48" ht="12.75" customHeight="1" x14ac:dyDescent="0.2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  <c r="AA983" s="62"/>
      <c r="AB983" s="62"/>
      <c r="AC983" s="62"/>
      <c r="AD983" s="62"/>
      <c r="AE983" s="62"/>
      <c r="AF983" s="62"/>
      <c r="AG983" s="62"/>
      <c r="AH983" s="62"/>
      <c r="AI983" s="62"/>
      <c r="AJ983" s="62"/>
      <c r="AK983" s="62"/>
      <c r="AL983" s="62"/>
      <c r="AM983" s="62"/>
      <c r="AN983" s="62"/>
      <c r="AO983" s="62"/>
      <c r="AP983" s="62"/>
      <c r="AQ983" s="62"/>
      <c r="AR983" s="62"/>
      <c r="AS983" s="62"/>
      <c r="AT983" s="62"/>
      <c r="AU983" s="62"/>
      <c r="AV983" s="62"/>
    </row>
    <row r="984" spans="1:48" ht="12.75" customHeight="1" x14ac:dyDescent="0.2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  <c r="AB984" s="62"/>
      <c r="AC984" s="62"/>
      <c r="AD984" s="62"/>
      <c r="AE984" s="62"/>
      <c r="AF984" s="62"/>
      <c r="AG984" s="62"/>
      <c r="AH984" s="62"/>
      <c r="AI984" s="62"/>
      <c r="AJ984" s="62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2"/>
      <c r="AV984" s="62"/>
    </row>
    <row r="985" spans="1:48" ht="12.75" customHeight="1" x14ac:dyDescent="0.2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  <c r="AA985" s="62"/>
      <c r="AB985" s="62"/>
      <c r="AC985" s="62"/>
      <c r="AD985" s="62"/>
      <c r="AE985" s="62"/>
      <c r="AF985" s="62"/>
      <c r="AG985" s="62"/>
      <c r="AH985" s="62"/>
      <c r="AI985" s="62"/>
      <c r="AJ985" s="62"/>
      <c r="AK985" s="62"/>
      <c r="AL985" s="62"/>
      <c r="AM985" s="62"/>
      <c r="AN985" s="62"/>
      <c r="AO985" s="62"/>
      <c r="AP985" s="62"/>
      <c r="AQ985" s="62"/>
      <c r="AR985" s="62"/>
      <c r="AS985" s="62"/>
      <c r="AT985" s="62"/>
      <c r="AU985" s="62"/>
      <c r="AV985" s="62"/>
    </row>
    <row r="986" spans="1:48" ht="12.75" customHeight="1" x14ac:dyDescent="0.2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  <c r="AA986" s="62"/>
      <c r="AB986" s="62"/>
      <c r="AC986" s="62"/>
      <c r="AD986" s="62"/>
      <c r="AE986" s="62"/>
      <c r="AF986" s="62"/>
      <c r="AG986" s="62"/>
      <c r="AH986" s="62"/>
      <c r="AI986" s="62"/>
      <c r="AJ986" s="62"/>
      <c r="AK986" s="62"/>
      <c r="AL986" s="62"/>
      <c r="AM986" s="62"/>
      <c r="AN986" s="62"/>
      <c r="AO986" s="62"/>
      <c r="AP986" s="62"/>
      <c r="AQ986" s="62"/>
      <c r="AR986" s="62"/>
      <c r="AS986" s="62"/>
      <c r="AT986" s="62"/>
      <c r="AU986" s="62"/>
      <c r="AV986" s="62"/>
    </row>
    <row r="987" spans="1:48" ht="12.75" customHeight="1" x14ac:dyDescent="0.2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  <c r="AA987" s="62"/>
      <c r="AB987" s="62"/>
      <c r="AC987" s="62"/>
      <c r="AD987" s="62"/>
      <c r="AE987" s="62"/>
      <c r="AF987" s="62"/>
      <c r="AG987" s="62"/>
      <c r="AH987" s="62"/>
      <c r="AI987" s="62"/>
      <c r="AJ987" s="62"/>
      <c r="AK987" s="62"/>
      <c r="AL987" s="62"/>
      <c r="AM987" s="62"/>
      <c r="AN987" s="62"/>
      <c r="AO987" s="62"/>
      <c r="AP987" s="62"/>
      <c r="AQ987" s="62"/>
      <c r="AR987" s="62"/>
      <c r="AS987" s="62"/>
      <c r="AT987" s="62"/>
      <c r="AU987" s="62"/>
      <c r="AV987" s="62"/>
    </row>
    <row r="988" spans="1:48" ht="12.75" customHeight="1" x14ac:dyDescent="0.2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  <c r="AA988" s="62"/>
      <c r="AB988" s="62"/>
      <c r="AC988" s="62"/>
      <c r="AD988" s="62"/>
      <c r="AE988" s="62"/>
      <c r="AF988" s="62"/>
      <c r="AG988" s="62"/>
      <c r="AH988" s="62"/>
      <c r="AI988" s="62"/>
      <c r="AJ988" s="62"/>
      <c r="AK988" s="62"/>
      <c r="AL988" s="62"/>
      <c r="AM988" s="62"/>
      <c r="AN988" s="62"/>
      <c r="AO988" s="62"/>
      <c r="AP988" s="62"/>
      <c r="AQ988" s="62"/>
      <c r="AR988" s="62"/>
      <c r="AS988" s="62"/>
      <c r="AT988" s="62"/>
      <c r="AU988" s="62"/>
      <c r="AV988" s="62"/>
    </row>
    <row r="989" spans="1:48" ht="12.75" customHeight="1" x14ac:dyDescent="0.2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  <c r="AA989" s="62"/>
      <c r="AB989" s="62"/>
      <c r="AC989" s="62"/>
      <c r="AD989" s="62"/>
      <c r="AE989" s="62"/>
      <c r="AF989" s="62"/>
      <c r="AG989" s="62"/>
      <c r="AH989" s="62"/>
      <c r="AI989" s="62"/>
      <c r="AJ989" s="62"/>
      <c r="AK989" s="62"/>
      <c r="AL989" s="62"/>
      <c r="AM989" s="62"/>
      <c r="AN989" s="62"/>
      <c r="AO989" s="62"/>
      <c r="AP989" s="62"/>
      <c r="AQ989" s="62"/>
      <c r="AR989" s="62"/>
      <c r="AS989" s="62"/>
      <c r="AT989" s="62"/>
      <c r="AU989" s="62"/>
      <c r="AV989" s="62"/>
    </row>
    <row r="990" spans="1:48" ht="12.75" customHeight="1" x14ac:dyDescent="0.2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  <c r="AA990" s="62"/>
      <c r="AB990" s="62"/>
      <c r="AC990" s="62"/>
      <c r="AD990" s="62"/>
      <c r="AE990" s="62"/>
      <c r="AF990" s="62"/>
      <c r="AG990" s="62"/>
      <c r="AH990" s="62"/>
      <c r="AI990" s="62"/>
      <c r="AJ990" s="62"/>
      <c r="AK990" s="62"/>
      <c r="AL990" s="62"/>
      <c r="AM990" s="62"/>
      <c r="AN990" s="62"/>
      <c r="AO990" s="62"/>
      <c r="AP990" s="62"/>
      <c r="AQ990" s="62"/>
      <c r="AR990" s="62"/>
      <c r="AS990" s="62"/>
      <c r="AT990" s="62"/>
      <c r="AU990" s="62"/>
      <c r="AV990" s="62"/>
    </row>
    <row r="991" spans="1:48" ht="12.75" customHeight="1" x14ac:dyDescent="0.2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  <c r="AA991" s="62"/>
      <c r="AB991" s="62"/>
      <c r="AC991" s="62"/>
      <c r="AD991" s="62"/>
      <c r="AE991" s="62"/>
      <c r="AF991" s="62"/>
      <c r="AG991" s="62"/>
      <c r="AH991" s="62"/>
      <c r="AI991" s="62"/>
      <c r="AJ991" s="62"/>
      <c r="AK991" s="62"/>
      <c r="AL991" s="62"/>
      <c r="AM991" s="62"/>
      <c r="AN991" s="62"/>
      <c r="AO991" s="62"/>
      <c r="AP991" s="62"/>
      <c r="AQ991" s="62"/>
      <c r="AR991" s="62"/>
      <c r="AS991" s="62"/>
      <c r="AT991" s="62"/>
      <c r="AU991" s="62"/>
      <c r="AV991" s="62"/>
    </row>
    <row r="992" spans="1:48" ht="12.75" customHeight="1" x14ac:dyDescent="0.2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  <c r="AA992" s="62"/>
      <c r="AB992" s="62"/>
      <c r="AC992" s="62"/>
      <c r="AD992" s="62"/>
      <c r="AE992" s="62"/>
      <c r="AF992" s="62"/>
      <c r="AG992" s="62"/>
      <c r="AH992" s="62"/>
      <c r="AI992" s="62"/>
      <c r="AJ992" s="62"/>
      <c r="AK992" s="62"/>
      <c r="AL992" s="62"/>
      <c r="AM992" s="62"/>
      <c r="AN992" s="62"/>
      <c r="AO992" s="62"/>
      <c r="AP992" s="62"/>
      <c r="AQ992" s="62"/>
      <c r="AR992" s="62"/>
      <c r="AS992" s="62"/>
      <c r="AT992" s="62"/>
      <c r="AU992" s="62"/>
      <c r="AV992" s="62"/>
    </row>
    <row r="993" spans="1:48" ht="12.75" customHeight="1" x14ac:dyDescent="0.2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  <c r="AB993" s="62"/>
      <c r="AC993" s="62"/>
      <c r="AD993" s="62"/>
      <c r="AE993" s="62"/>
      <c r="AF993" s="62"/>
      <c r="AG993" s="62"/>
      <c r="AH993" s="62"/>
      <c r="AI993" s="62"/>
      <c r="AJ993" s="62"/>
      <c r="AK993" s="62"/>
      <c r="AL993" s="62"/>
      <c r="AM993" s="62"/>
      <c r="AN993" s="62"/>
      <c r="AO993" s="62"/>
      <c r="AP993" s="62"/>
      <c r="AQ993" s="62"/>
      <c r="AR993" s="62"/>
      <c r="AS993" s="62"/>
      <c r="AT993" s="62"/>
      <c r="AU993" s="62"/>
      <c r="AV993" s="62"/>
    </row>
    <row r="994" spans="1:48" ht="12.75" customHeight="1" x14ac:dyDescent="0.2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  <c r="AA994" s="62"/>
      <c r="AB994" s="62"/>
      <c r="AC994" s="62"/>
      <c r="AD994" s="62"/>
      <c r="AE994" s="62"/>
      <c r="AF994" s="62"/>
      <c r="AG994" s="62"/>
      <c r="AH994" s="62"/>
      <c r="AI994" s="62"/>
      <c r="AJ994" s="62"/>
      <c r="AK994" s="62"/>
      <c r="AL994" s="62"/>
      <c r="AM994" s="62"/>
      <c r="AN994" s="62"/>
      <c r="AO994" s="62"/>
      <c r="AP994" s="62"/>
      <c r="AQ994" s="62"/>
      <c r="AR994" s="62"/>
      <c r="AS994" s="62"/>
      <c r="AT994" s="62"/>
      <c r="AU994" s="62"/>
      <c r="AV994" s="62"/>
    </row>
    <row r="995" spans="1:48" ht="12.75" customHeight="1" x14ac:dyDescent="0.2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  <c r="AA995" s="62"/>
      <c r="AB995" s="62"/>
      <c r="AC995" s="62"/>
      <c r="AD995" s="62"/>
      <c r="AE995" s="62"/>
      <c r="AF995" s="62"/>
      <c r="AG995" s="62"/>
      <c r="AH995" s="62"/>
      <c r="AI995" s="62"/>
      <c r="AJ995" s="62"/>
      <c r="AK995" s="62"/>
      <c r="AL995" s="62"/>
      <c r="AM995" s="62"/>
      <c r="AN995" s="62"/>
      <c r="AO995" s="62"/>
      <c r="AP995" s="62"/>
      <c r="AQ995" s="62"/>
      <c r="AR995" s="62"/>
      <c r="AS995" s="62"/>
      <c r="AT995" s="62"/>
      <c r="AU995" s="62"/>
      <c r="AV995" s="62"/>
    </row>
    <row r="996" spans="1:48" ht="12.75" customHeight="1" x14ac:dyDescent="0.2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  <c r="AA996" s="62"/>
      <c r="AB996" s="62"/>
      <c r="AC996" s="62"/>
      <c r="AD996" s="62"/>
      <c r="AE996" s="62"/>
      <c r="AF996" s="62"/>
      <c r="AG996" s="62"/>
      <c r="AH996" s="62"/>
      <c r="AI996" s="62"/>
      <c r="AJ996" s="62"/>
      <c r="AK996" s="62"/>
      <c r="AL996" s="62"/>
      <c r="AM996" s="62"/>
      <c r="AN996" s="62"/>
      <c r="AO996" s="62"/>
      <c r="AP996" s="62"/>
      <c r="AQ996" s="62"/>
      <c r="AR996" s="62"/>
      <c r="AS996" s="62"/>
      <c r="AT996" s="62"/>
      <c r="AU996" s="62"/>
      <c r="AV996" s="62"/>
    </row>
    <row r="997" spans="1:48" ht="12.75" customHeight="1" x14ac:dyDescent="0.2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  <c r="AA997" s="62"/>
      <c r="AB997" s="62"/>
      <c r="AC997" s="62"/>
      <c r="AD997" s="62"/>
      <c r="AE997" s="62"/>
      <c r="AF997" s="62"/>
      <c r="AG997" s="62"/>
      <c r="AH997" s="62"/>
      <c r="AI997" s="62"/>
      <c r="AJ997" s="62"/>
      <c r="AK997" s="62"/>
      <c r="AL997" s="62"/>
      <c r="AM997" s="62"/>
      <c r="AN997" s="62"/>
      <c r="AO997" s="62"/>
      <c r="AP997" s="62"/>
      <c r="AQ997" s="62"/>
      <c r="AR997" s="62"/>
      <c r="AS997" s="62"/>
      <c r="AT997" s="62"/>
      <c r="AU997" s="62"/>
      <c r="AV997" s="62"/>
    </row>
    <row r="998" spans="1:48" ht="12.75" customHeight="1" x14ac:dyDescent="0.2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  <c r="AA998" s="62"/>
      <c r="AB998" s="62"/>
      <c r="AC998" s="62"/>
      <c r="AD998" s="62"/>
      <c r="AE998" s="62"/>
      <c r="AF998" s="62"/>
      <c r="AG998" s="62"/>
      <c r="AH998" s="62"/>
      <c r="AI998" s="62"/>
      <c r="AJ998" s="62"/>
      <c r="AK998" s="62"/>
      <c r="AL998" s="62"/>
      <c r="AM998" s="62"/>
      <c r="AN998" s="62"/>
      <c r="AO998" s="62"/>
      <c r="AP998" s="62"/>
      <c r="AQ998" s="62"/>
      <c r="AR998" s="62"/>
      <c r="AS998" s="62"/>
      <c r="AT998" s="62"/>
      <c r="AU998" s="62"/>
      <c r="AV998" s="62"/>
    </row>
    <row r="999" spans="1:48" ht="12.75" customHeight="1" x14ac:dyDescent="0.2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  <c r="AA999" s="62"/>
      <c r="AB999" s="62"/>
      <c r="AC999" s="62"/>
      <c r="AD999" s="62"/>
      <c r="AE999" s="62"/>
      <c r="AF999" s="62"/>
      <c r="AG999" s="62"/>
      <c r="AH999" s="62"/>
      <c r="AI999" s="62"/>
      <c r="AJ999" s="62"/>
      <c r="AK999" s="62"/>
      <c r="AL999" s="62"/>
      <c r="AM999" s="62"/>
      <c r="AN999" s="62"/>
      <c r="AO999" s="62"/>
      <c r="AP999" s="62"/>
      <c r="AQ999" s="62"/>
      <c r="AR999" s="62"/>
      <c r="AS999" s="62"/>
      <c r="AT999" s="62"/>
      <c r="AU999" s="62"/>
      <c r="AV999" s="62"/>
    </row>
    <row r="1000" spans="1:48" ht="12.75" customHeight="1" x14ac:dyDescent="0.2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  <c r="AA1000" s="62"/>
      <c r="AB1000" s="62"/>
      <c r="AC1000" s="62"/>
      <c r="AD1000" s="62"/>
      <c r="AE1000" s="62"/>
      <c r="AF1000" s="62"/>
      <c r="AG1000" s="62"/>
      <c r="AH1000" s="62"/>
      <c r="AI1000" s="62"/>
      <c r="AJ1000" s="62"/>
      <c r="AK1000" s="62"/>
      <c r="AL1000" s="62"/>
      <c r="AM1000" s="62"/>
      <c r="AN1000" s="62"/>
      <c r="AO1000" s="62"/>
      <c r="AP1000" s="62"/>
      <c r="AQ1000" s="62"/>
      <c r="AR1000" s="62"/>
      <c r="AS1000" s="62"/>
      <c r="AT1000" s="62"/>
      <c r="AU1000" s="62"/>
      <c r="AV1000" s="62"/>
    </row>
    <row r="1001" spans="1:48" ht="12.75" customHeight="1" x14ac:dyDescent="0.2">
      <c r="A1001" s="62"/>
      <c r="B1001" s="62"/>
      <c r="C1001" s="62"/>
      <c r="D1001" s="62"/>
      <c r="E1001" s="62"/>
      <c r="F1001" s="62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  <c r="Q1001" s="62"/>
      <c r="R1001" s="62"/>
      <c r="S1001" s="62"/>
      <c r="T1001" s="62"/>
      <c r="U1001" s="62"/>
      <c r="V1001" s="62"/>
      <c r="W1001" s="62"/>
      <c r="X1001" s="62"/>
      <c r="Y1001" s="62"/>
      <c r="Z1001" s="62"/>
      <c r="AA1001" s="62"/>
      <c r="AB1001" s="62"/>
      <c r="AC1001" s="62"/>
      <c r="AD1001" s="62"/>
      <c r="AE1001" s="62"/>
      <c r="AF1001" s="62"/>
      <c r="AG1001" s="62"/>
      <c r="AH1001" s="62"/>
      <c r="AI1001" s="62"/>
      <c r="AJ1001" s="62"/>
      <c r="AK1001" s="62"/>
      <c r="AL1001" s="62"/>
      <c r="AM1001" s="62"/>
      <c r="AN1001" s="62"/>
      <c r="AO1001" s="62"/>
      <c r="AP1001" s="62"/>
      <c r="AQ1001" s="62"/>
      <c r="AR1001" s="62"/>
      <c r="AS1001" s="62"/>
      <c r="AT1001" s="62"/>
      <c r="AU1001" s="62"/>
      <c r="AV1001" s="62"/>
    </row>
    <row r="1002" spans="1:48" ht="12.75" customHeight="1" x14ac:dyDescent="0.2">
      <c r="A1002" s="62"/>
      <c r="B1002" s="62"/>
      <c r="C1002" s="62"/>
      <c r="D1002" s="62"/>
      <c r="E1002" s="62"/>
      <c r="F1002" s="62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  <c r="Q1002" s="62"/>
      <c r="R1002" s="62"/>
      <c r="S1002" s="62"/>
      <c r="T1002" s="62"/>
      <c r="U1002" s="62"/>
      <c r="V1002" s="62"/>
      <c r="W1002" s="62"/>
      <c r="X1002" s="62"/>
      <c r="Y1002" s="62"/>
      <c r="Z1002" s="62"/>
      <c r="AA1002" s="62"/>
      <c r="AB1002" s="62"/>
      <c r="AC1002" s="62"/>
      <c r="AD1002" s="62"/>
      <c r="AE1002" s="62"/>
      <c r="AF1002" s="62"/>
      <c r="AG1002" s="62"/>
      <c r="AH1002" s="62"/>
      <c r="AI1002" s="62"/>
      <c r="AJ1002" s="62"/>
      <c r="AK1002" s="62"/>
      <c r="AL1002" s="62"/>
      <c r="AM1002" s="62"/>
      <c r="AN1002" s="62"/>
      <c r="AO1002" s="62"/>
      <c r="AP1002" s="62"/>
      <c r="AQ1002" s="62"/>
      <c r="AR1002" s="62"/>
      <c r="AS1002" s="62"/>
      <c r="AT1002" s="62"/>
      <c r="AU1002" s="62"/>
      <c r="AV1002" s="62"/>
    </row>
    <row r="1003" spans="1:48" ht="12.75" customHeight="1" x14ac:dyDescent="0.2">
      <c r="A1003" s="62"/>
      <c r="B1003" s="62"/>
      <c r="C1003" s="62"/>
      <c r="D1003" s="62"/>
      <c r="E1003" s="62"/>
      <c r="F1003" s="62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  <c r="Q1003" s="62"/>
      <c r="R1003" s="62"/>
      <c r="S1003" s="62"/>
      <c r="T1003" s="62"/>
      <c r="U1003" s="62"/>
      <c r="V1003" s="62"/>
      <c r="W1003" s="62"/>
      <c r="X1003" s="62"/>
      <c r="Y1003" s="62"/>
      <c r="Z1003" s="62"/>
      <c r="AA1003" s="62"/>
      <c r="AB1003" s="62"/>
      <c r="AC1003" s="62"/>
      <c r="AD1003" s="62"/>
      <c r="AE1003" s="62"/>
      <c r="AF1003" s="62"/>
      <c r="AG1003" s="62"/>
      <c r="AH1003" s="62"/>
      <c r="AI1003" s="62"/>
      <c r="AJ1003" s="62"/>
      <c r="AK1003" s="62"/>
      <c r="AL1003" s="62"/>
      <c r="AM1003" s="62"/>
      <c r="AN1003" s="62"/>
      <c r="AO1003" s="62"/>
      <c r="AP1003" s="62"/>
      <c r="AQ1003" s="62"/>
      <c r="AR1003" s="62"/>
      <c r="AS1003" s="62"/>
      <c r="AT1003" s="62"/>
      <c r="AU1003" s="62"/>
      <c r="AV1003" s="62"/>
    </row>
    <row r="1004" spans="1:48" ht="12.75" customHeight="1" x14ac:dyDescent="0.2">
      <c r="A1004" s="62"/>
      <c r="B1004" s="62"/>
      <c r="C1004" s="62"/>
      <c r="D1004" s="62"/>
      <c r="E1004" s="62"/>
      <c r="F1004" s="62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T1004" s="62"/>
      <c r="U1004" s="62"/>
      <c r="V1004" s="62"/>
      <c r="W1004" s="62"/>
      <c r="X1004" s="62"/>
      <c r="Y1004" s="62"/>
      <c r="Z1004" s="62"/>
      <c r="AA1004" s="62"/>
      <c r="AB1004" s="62"/>
      <c r="AC1004" s="62"/>
      <c r="AD1004" s="62"/>
      <c r="AE1004" s="62"/>
      <c r="AF1004" s="62"/>
      <c r="AG1004" s="62"/>
      <c r="AH1004" s="62"/>
      <c r="AI1004" s="62"/>
      <c r="AJ1004" s="62"/>
      <c r="AK1004" s="62"/>
      <c r="AL1004" s="62"/>
      <c r="AM1004" s="62"/>
      <c r="AN1004" s="62"/>
      <c r="AO1004" s="62"/>
      <c r="AP1004" s="62"/>
      <c r="AQ1004" s="62"/>
      <c r="AR1004" s="62"/>
      <c r="AS1004" s="62"/>
      <c r="AT1004" s="62"/>
      <c r="AU1004" s="62"/>
      <c r="AV1004" s="62"/>
    </row>
    <row r="1005" spans="1:48" ht="12.75" customHeight="1" x14ac:dyDescent="0.2">
      <c r="A1005" s="62"/>
      <c r="B1005" s="62"/>
      <c r="C1005" s="62"/>
      <c r="D1005" s="62"/>
      <c r="E1005" s="62"/>
      <c r="F1005" s="62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  <c r="Q1005" s="62"/>
      <c r="R1005" s="62"/>
      <c r="S1005" s="62"/>
      <c r="T1005" s="62"/>
      <c r="U1005" s="62"/>
      <c r="V1005" s="62"/>
      <c r="W1005" s="62"/>
      <c r="X1005" s="62"/>
      <c r="Y1005" s="62"/>
      <c r="Z1005" s="62"/>
      <c r="AA1005" s="62"/>
      <c r="AB1005" s="62"/>
      <c r="AC1005" s="62"/>
      <c r="AD1005" s="62"/>
      <c r="AE1005" s="62"/>
      <c r="AF1005" s="62"/>
      <c r="AG1005" s="62"/>
      <c r="AH1005" s="62"/>
      <c r="AI1005" s="62"/>
      <c r="AJ1005" s="62"/>
      <c r="AK1005" s="62"/>
      <c r="AL1005" s="62"/>
      <c r="AM1005" s="62"/>
      <c r="AN1005" s="62"/>
      <c r="AO1005" s="62"/>
      <c r="AP1005" s="62"/>
      <c r="AQ1005" s="62"/>
      <c r="AR1005" s="62"/>
      <c r="AS1005" s="62"/>
      <c r="AT1005" s="62"/>
      <c r="AU1005" s="62"/>
      <c r="AV1005" s="62"/>
    </row>
    <row r="1006" spans="1:48" ht="12.75" customHeight="1" x14ac:dyDescent="0.2">
      <c r="A1006" s="62"/>
      <c r="B1006" s="62"/>
      <c r="C1006" s="62"/>
      <c r="D1006" s="62"/>
      <c r="E1006" s="62"/>
      <c r="F1006" s="62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  <c r="Q1006" s="62"/>
      <c r="R1006" s="62"/>
      <c r="S1006" s="62"/>
      <c r="T1006" s="62"/>
      <c r="U1006" s="62"/>
      <c r="V1006" s="62"/>
      <c r="W1006" s="62"/>
      <c r="X1006" s="62"/>
      <c r="Y1006" s="62"/>
      <c r="Z1006" s="62"/>
      <c r="AA1006" s="62"/>
      <c r="AB1006" s="62"/>
      <c r="AC1006" s="62"/>
      <c r="AD1006" s="62"/>
      <c r="AE1006" s="62"/>
      <c r="AF1006" s="62"/>
      <c r="AG1006" s="62"/>
      <c r="AH1006" s="62"/>
      <c r="AI1006" s="62"/>
      <c r="AJ1006" s="62"/>
      <c r="AK1006" s="62"/>
      <c r="AL1006" s="62"/>
      <c r="AM1006" s="62"/>
      <c r="AN1006" s="62"/>
      <c r="AO1006" s="62"/>
      <c r="AP1006" s="62"/>
      <c r="AQ1006" s="62"/>
      <c r="AR1006" s="62"/>
      <c r="AS1006" s="62"/>
      <c r="AT1006" s="62"/>
      <c r="AU1006" s="62"/>
      <c r="AV1006" s="62"/>
    </row>
    <row r="1007" spans="1:48" ht="12.75" customHeight="1" x14ac:dyDescent="0.2">
      <c r="A1007" s="62"/>
      <c r="B1007" s="62"/>
      <c r="C1007" s="62"/>
      <c r="D1007" s="62"/>
      <c r="E1007" s="62"/>
      <c r="F1007" s="62"/>
      <c r="G1007" s="62"/>
      <c r="H1007" s="62"/>
      <c r="I1007" s="62"/>
      <c r="J1007" s="62"/>
      <c r="K1007" s="62"/>
      <c r="L1007" s="62"/>
      <c r="M1007" s="62"/>
      <c r="N1007" s="62"/>
      <c r="O1007" s="62"/>
      <c r="P1007" s="62"/>
      <c r="Q1007" s="62"/>
      <c r="R1007" s="62"/>
      <c r="S1007" s="62"/>
      <c r="T1007" s="62"/>
      <c r="U1007" s="62"/>
      <c r="V1007" s="62"/>
      <c r="W1007" s="62"/>
      <c r="X1007" s="62"/>
      <c r="Y1007" s="62"/>
      <c r="Z1007" s="62"/>
      <c r="AA1007" s="62"/>
      <c r="AB1007" s="62"/>
      <c r="AC1007" s="62"/>
      <c r="AD1007" s="62"/>
      <c r="AE1007" s="62"/>
      <c r="AF1007" s="62"/>
      <c r="AG1007" s="62"/>
      <c r="AH1007" s="62"/>
      <c r="AI1007" s="62"/>
      <c r="AJ1007" s="62"/>
      <c r="AK1007" s="62"/>
      <c r="AL1007" s="62"/>
      <c r="AM1007" s="62"/>
      <c r="AN1007" s="62"/>
      <c r="AO1007" s="62"/>
      <c r="AP1007" s="62"/>
      <c r="AQ1007" s="62"/>
      <c r="AR1007" s="62"/>
      <c r="AS1007" s="62"/>
      <c r="AT1007" s="62"/>
      <c r="AU1007" s="62"/>
      <c r="AV1007" s="62"/>
    </row>
    <row r="1008" spans="1:48" ht="12.75" customHeight="1" x14ac:dyDescent="0.2">
      <c r="A1008" s="62"/>
      <c r="B1008" s="62"/>
      <c r="C1008" s="62"/>
      <c r="D1008" s="62"/>
      <c r="E1008" s="62"/>
      <c r="F1008" s="62"/>
      <c r="G1008" s="62"/>
      <c r="H1008" s="62"/>
      <c r="I1008" s="62"/>
      <c r="J1008" s="62"/>
      <c r="K1008" s="62"/>
      <c r="L1008" s="62"/>
      <c r="M1008" s="62"/>
      <c r="N1008" s="62"/>
      <c r="O1008" s="62"/>
      <c r="P1008" s="62"/>
      <c r="Q1008" s="62"/>
      <c r="R1008" s="62"/>
      <c r="S1008" s="62"/>
      <c r="T1008" s="62"/>
      <c r="U1008" s="62"/>
      <c r="V1008" s="62"/>
      <c r="W1008" s="62"/>
      <c r="X1008" s="62"/>
      <c r="Y1008" s="62"/>
      <c r="Z1008" s="62"/>
      <c r="AA1008" s="62"/>
      <c r="AB1008" s="62"/>
      <c r="AC1008" s="62"/>
      <c r="AD1008" s="62"/>
      <c r="AE1008" s="62"/>
      <c r="AF1008" s="62"/>
      <c r="AG1008" s="62"/>
      <c r="AH1008" s="62"/>
      <c r="AI1008" s="62"/>
      <c r="AJ1008" s="62"/>
      <c r="AK1008" s="62"/>
      <c r="AL1008" s="62"/>
      <c r="AM1008" s="62"/>
      <c r="AN1008" s="62"/>
      <c r="AO1008" s="62"/>
      <c r="AP1008" s="62"/>
      <c r="AQ1008" s="62"/>
      <c r="AR1008" s="62"/>
      <c r="AS1008" s="62"/>
      <c r="AT1008" s="62"/>
      <c r="AU1008" s="62"/>
      <c r="AV1008" s="62"/>
    </row>
    <row r="1009" spans="1:48" ht="12.75" customHeight="1" x14ac:dyDescent="0.2">
      <c r="A1009" s="62"/>
      <c r="B1009" s="62"/>
      <c r="C1009" s="62"/>
      <c r="D1009" s="62"/>
      <c r="E1009" s="62"/>
      <c r="F1009" s="62"/>
      <c r="G1009" s="62"/>
      <c r="H1009" s="62"/>
      <c r="I1009" s="62"/>
      <c r="J1009" s="62"/>
      <c r="K1009" s="62"/>
      <c r="L1009" s="62"/>
      <c r="M1009" s="62"/>
      <c r="N1009" s="62"/>
      <c r="O1009" s="62"/>
      <c r="P1009" s="62"/>
      <c r="Q1009" s="62"/>
      <c r="R1009" s="62"/>
      <c r="S1009" s="62"/>
      <c r="T1009" s="62"/>
      <c r="U1009" s="62"/>
      <c r="V1009" s="62"/>
      <c r="W1009" s="62"/>
      <c r="X1009" s="62"/>
      <c r="Y1009" s="62"/>
      <c r="Z1009" s="62"/>
      <c r="AA1009" s="62"/>
      <c r="AB1009" s="62"/>
      <c r="AC1009" s="62"/>
      <c r="AD1009" s="62"/>
      <c r="AE1009" s="62"/>
      <c r="AF1009" s="62"/>
      <c r="AG1009" s="62"/>
      <c r="AH1009" s="62"/>
      <c r="AI1009" s="62"/>
      <c r="AJ1009" s="62"/>
      <c r="AK1009" s="62"/>
      <c r="AL1009" s="62"/>
      <c r="AM1009" s="62"/>
      <c r="AN1009" s="62"/>
      <c r="AO1009" s="62"/>
      <c r="AP1009" s="62"/>
      <c r="AQ1009" s="62"/>
      <c r="AR1009" s="62"/>
      <c r="AS1009" s="62"/>
      <c r="AT1009" s="62"/>
      <c r="AU1009" s="62"/>
      <c r="AV1009" s="62"/>
    </row>
    <row r="1010" spans="1:48" ht="12.75" customHeight="1" x14ac:dyDescent="0.2">
      <c r="A1010" s="62"/>
      <c r="B1010" s="62"/>
      <c r="C1010" s="62"/>
      <c r="D1010" s="62"/>
      <c r="E1010" s="62"/>
      <c r="F1010" s="62"/>
      <c r="G1010" s="62"/>
      <c r="H1010" s="62"/>
      <c r="I1010" s="62"/>
      <c r="J1010" s="62"/>
      <c r="K1010" s="62"/>
      <c r="L1010" s="62"/>
      <c r="M1010" s="62"/>
      <c r="N1010" s="62"/>
      <c r="O1010" s="62"/>
      <c r="P1010" s="62"/>
      <c r="Q1010" s="62"/>
      <c r="R1010" s="62"/>
      <c r="S1010" s="62"/>
      <c r="T1010" s="62"/>
      <c r="U1010" s="62"/>
      <c r="V1010" s="62"/>
      <c r="W1010" s="62"/>
      <c r="X1010" s="62"/>
      <c r="Y1010" s="62"/>
      <c r="Z1010" s="62"/>
      <c r="AA1010" s="62"/>
      <c r="AB1010" s="62"/>
      <c r="AC1010" s="62"/>
      <c r="AD1010" s="62"/>
      <c r="AE1010" s="62"/>
      <c r="AF1010" s="62"/>
      <c r="AG1010" s="62"/>
      <c r="AH1010" s="62"/>
      <c r="AI1010" s="62"/>
      <c r="AJ1010" s="62"/>
      <c r="AK1010" s="62"/>
      <c r="AL1010" s="62"/>
      <c r="AM1010" s="62"/>
      <c r="AN1010" s="62"/>
      <c r="AO1010" s="62"/>
      <c r="AP1010" s="62"/>
      <c r="AQ1010" s="62"/>
      <c r="AR1010" s="62"/>
      <c r="AS1010" s="62"/>
      <c r="AT1010" s="62"/>
      <c r="AU1010" s="62"/>
      <c r="AV1010" s="62"/>
    </row>
    <row r="1011" spans="1:48" ht="12.75" customHeight="1" x14ac:dyDescent="0.2">
      <c r="A1011" s="62"/>
      <c r="B1011" s="62"/>
      <c r="C1011" s="62"/>
      <c r="D1011" s="62"/>
      <c r="E1011" s="62"/>
      <c r="F1011" s="62"/>
      <c r="G1011" s="62"/>
      <c r="H1011" s="62"/>
      <c r="I1011" s="62"/>
      <c r="J1011" s="62"/>
      <c r="K1011" s="62"/>
      <c r="L1011" s="62"/>
      <c r="M1011" s="62"/>
      <c r="N1011" s="62"/>
      <c r="O1011" s="62"/>
      <c r="P1011" s="62"/>
      <c r="Q1011" s="62"/>
      <c r="R1011" s="62"/>
      <c r="S1011" s="62"/>
      <c r="T1011" s="62"/>
      <c r="U1011" s="62"/>
      <c r="V1011" s="62"/>
      <c r="W1011" s="62"/>
      <c r="X1011" s="62"/>
      <c r="Y1011" s="62"/>
      <c r="Z1011" s="62"/>
      <c r="AA1011" s="62"/>
      <c r="AB1011" s="62"/>
      <c r="AC1011" s="62"/>
      <c r="AD1011" s="62"/>
      <c r="AE1011" s="62"/>
      <c r="AF1011" s="62"/>
      <c r="AG1011" s="62"/>
      <c r="AH1011" s="62"/>
      <c r="AI1011" s="62"/>
      <c r="AJ1011" s="62"/>
      <c r="AK1011" s="62"/>
      <c r="AL1011" s="62"/>
      <c r="AM1011" s="62"/>
      <c r="AN1011" s="62"/>
      <c r="AO1011" s="62"/>
      <c r="AP1011" s="62"/>
      <c r="AQ1011" s="62"/>
      <c r="AR1011" s="62"/>
      <c r="AS1011" s="62"/>
      <c r="AT1011" s="62"/>
      <c r="AU1011" s="62"/>
      <c r="AV1011" s="62"/>
    </row>
    <row r="1012" spans="1:48" ht="12.75" customHeight="1" x14ac:dyDescent="0.2">
      <c r="A1012" s="62"/>
      <c r="B1012" s="62"/>
      <c r="C1012" s="62"/>
      <c r="D1012" s="62"/>
      <c r="E1012" s="62"/>
      <c r="F1012" s="62"/>
      <c r="G1012" s="62"/>
      <c r="H1012" s="62"/>
      <c r="I1012" s="62"/>
      <c r="J1012" s="62"/>
      <c r="K1012" s="62"/>
      <c r="L1012" s="62"/>
      <c r="M1012" s="62"/>
      <c r="N1012" s="62"/>
      <c r="O1012" s="62"/>
      <c r="P1012" s="62"/>
      <c r="Q1012" s="62"/>
      <c r="R1012" s="62"/>
      <c r="S1012" s="62"/>
      <c r="T1012" s="62"/>
      <c r="U1012" s="62"/>
      <c r="V1012" s="62"/>
      <c r="W1012" s="62"/>
      <c r="X1012" s="62"/>
      <c r="Y1012" s="62"/>
      <c r="Z1012" s="62"/>
      <c r="AA1012" s="62"/>
      <c r="AB1012" s="62"/>
      <c r="AC1012" s="62"/>
      <c r="AD1012" s="62"/>
      <c r="AE1012" s="62"/>
      <c r="AF1012" s="62"/>
      <c r="AG1012" s="62"/>
      <c r="AH1012" s="62"/>
      <c r="AI1012" s="62"/>
      <c r="AJ1012" s="62"/>
      <c r="AK1012" s="62"/>
      <c r="AL1012" s="62"/>
      <c r="AM1012" s="62"/>
      <c r="AN1012" s="62"/>
      <c r="AO1012" s="62"/>
      <c r="AP1012" s="62"/>
      <c r="AQ1012" s="62"/>
      <c r="AR1012" s="62"/>
      <c r="AS1012" s="62"/>
      <c r="AT1012" s="62"/>
      <c r="AU1012" s="62"/>
      <c r="AV1012" s="62"/>
    </row>
    <row r="1013" spans="1:48" ht="12.75" customHeight="1" x14ac:dyDescent="0.2">
      <c r="A1013" s="62"/>
      <c r="B1013" s="62"/>
      <c r="C1013" s="62"/>
      <c r="D1013" s="62"/>
      <c r="E1013" s="62"/>
      <c r="F1013" s="62"/>
      <c r="G1013" s="62"/>
      <c r="H1013" s="62"/>
      <c r="I1013" s="62"/>
      <c r="J1013" s="62"/>
      <c r="K1013" s="62"/>
      <c r="L1013" s="62"/>
      <c r="M1013" s="62"/>
      <c r="N1013" s="62"/>
      <c r="O1013" s="62"/>
      <c r="P1013" s="62"/>
      <c r="Q1013" s="62"/>
      <c r="R1013" s="62"/>
      <c r="S1013" s="62"/>
      <c r="T1013" s="62"/>
      <c r="U1013" s="62"/>
      <c r="V1013" s="62"/>
      <c r="W1013" s="62"/>
      <c r="X1013" s="62"/>
      <c r="Y1013" s="62"/>
      <c r="Z1013" s="62"/>
      <c r="AA1013" s="62"/>
      <c r="AB1013" s="62"/>
      <c r="AC1013" s="62"/>
      <c r="AD1013" s="62"/>
      <c r="AE1013" s="62"/>
      <c r="AF1013" s="62"/>
      <c r="AG1013" s="62"/>
      <c r="AH1013" s="62"/>
      <c r="AI1013" s="62"/>
      <c r="AJ1013" s="62"/>
      <c r="AK1013" s="62"/>
      <c r="AL1013" s="62"/>
      <c r="AM1013" s="62"/>
      <c r="AN1013" s="62"/>
      <c r="AO1013" s="62"/>
      <c r="AP1013" s="62"/>
      <c r="AQ1013" s="62"/>
      <c r="AR1013" s="62"/>
      <c r="AS1013" s="62"/>
      <c r="AT1013" s="62"/>
      <c r="AU1013" s="62"/>
      <c r="AV1013" s="62"/>
    </row>
    <row r="1014" spans="1:48" ht="12.75" customHeight="1" x14ac:dyDescent="0.2">
      <c r="A1014" s="62"/>
      <c r="B1014" s="62"/>
      <c r="C1014" s="62"/>
      <c r="D1014" s="62"/>
      <c r="E1014" s="62"/>
      <c r="F1014" s="62"/>
      <c r="G1014" s="62"/>
      <c r="H1014" s="62"/>
      <c r="I1014" s="62"/>
      <c r="J1014" s="62"/>
      <c r="K1014" s="62"/>
      <c r="L1014" s="62"/>
      <c r="M1014" s="62"/>
      <c r="N1014" s="62"/>
      <c r="O1014" s="62"/>
      <c r="P1014" s="62"/>
      <c r="Q1014" s="62"/>
      <c r="R1014" s="62"/>
      <c r="S1014" s="62"/>
      <c r="T1014" s="62"/>
      <c r="U1014" s="62"/>
      <c r="V1014" s="62"/>
      <c r="W1014" s="62"/>
      <c r="X1014" s="62"/>
      <c r="Y1014" s="62"/>
      <c r="Z1014" s="62"/>
      <c r="AA1014" s="62"/>
      <c r="AB1014" s="62"/>
      <c r="AC1014" s="62"/>
      <c r="AD1014" s="62"/>
      <c r="AE1014" s="62"/>
      <c r="AF1014" s="62"/>
      <c r="AG1014" s="62"/>
      <c r="AH1014" s="62"/>
      <c r="AI1014" s="62"/>
      <c r="AJ1014" s="62"/>
      <c r="AK1014" s="62"/>
      <c r="AL1014" s="62"/>
      <c r="AM1014" s="62"/>
      <c r="AN1014" s="62"/>
      <c r="AO1014" s="62"/>
      <c r="AP1014" s="62"/>
      <c r="AQ1014" s="62"/>
      <c r="AR1014" s="62"/>
      <c r="AS1014" s="62"/>
      <c r="AT1014" s="62"/>
      <c r="AU1014" s="62"/>
      <c r="AV1014" s="62"/>
    </row>
    <row r="1015" spans="1:48" ht="12.75" customHeight="1" x14ac:dyDescent="0.2">
      <c r="A1015" s="62"/>
      <c r="B1015" s="62"/>
      <c r="C1015" s="62"/>
      <c r="D1015" s="62"/>
      <c r="E1015" s="62"/>
      <c r="F1015" s="62"/>
      <c r="G1015" s="62"/>
      <c r="H1015" s="62"/>
      <c r="I1015" s="62"/>
      <c r="J1015" s="62"/>
      <c r="K1015" s="62"/>
      <c r="L1015" s="62"/>
      <c r="M1015" s="62"/>
      <c r="N1015" s="62"/>
      <c r="O1015" s="62"/>
      <c r="P1015" s="62"/>
      <c r="Q1015" s="62"/>
      <c r="R1015" s="62"/>
      <c r="S1015" s="62"/>
      <c r="T1015" s="62"/>
      <c r="U1015" s="62"/>
      <c r="V1015" s="62"/>
      <c r="W1015" s="62"/>
      <c r="X1015" s="62"/>
      <c r="Y1015" s="62"/>
      <c r="Z1015" s="62"/>
      <c r="AA1015" s="62"/>
      <c r="AB1015" s="62"/>
      <c r="AC1015" s="62"/>
      <c r="AD1015" s="62"/>
      <c r="AE1015" s="62"/>
      <c r="AF1015" s="62"/>
      <c r="AG1015" s="62"/>
      <c r="AH1015" s="62"/>
      <c r="AI1015" s="62"/>
      <c r="AJ1015" s="62"/>
      <c r="AK1015" s="62"/>
      <c r="AL1015" s="62"/>
      <c r="AM1015" s="62"/>
      <c r="AN1015" s="62"/>
      <c r="AO1015" s="62"/>
      <c r="AP1015" s="62"/>
      <c r="AQ1015" s="62"/>
      <c r="AR1015" s="62"/>
      <c r="AS1015" s="62"/>
      <c r="AT1015" s="62"/>
      <c r="AU1015" s="62"/>
      <c r="AV1015" s="62"/>
    </row>
    <row r="1016" spans="1:48" ht="12.75" customHeight="1" x14ac:dyDescent="0.2">
      <c r="A1016" s="62"/>
      <c r="B1016" s="62"/>
      <c r="C1016" s="62"/>
      <c r="D1016" s="62"/>
      <c r="E1016" s="62"/>
      <c r="F1016" s="62"/>
      <c r="G1016" s="62"/>
      <c r="H1016" s="62"/>
      <c r="I1016" s="62"/>
      <c r="J1016" s="62"/>
      <c r="K1016" s="62"/>
      <c r="L1016" s="62"/>
      <c r="M1016" s="62"/>
      <c r="N1016" s="62"/>
      <c r="O1016" s="62"/>
      <c r="P1016" s="62"/>
      <c r="Q1016" s="62"/>
      <c r="R1016" s="62"/>
      <c r="S1016" s="62"/>
      <c r="T1016" s="62"/>
      <c r="U1016" s="62"/>
      <c r="V1016" s="62"/>
      <c r="W1016" s="62"/>
      <c r="X1016" s="62"/>
      <c r="Y1016" s="62"/>
      <c r="Z1016" s="62"/>
      <c r="AA1016" s="62"/>
      <c r="AB1016" s="62"/>
      <c r="AC1016" s="62"/>
      <c r="AD1016" s="62"/>
      <c r="AE1016" s="62"/>
      <c r="AF1016" s="62"/>
      <c r="AG1016" s="62"/>
      <c r="AH1016" s="62"/>
      <c r="AI1016" s="62"/>
      <c r="AJ1016" s="62"/>
      <c r="AK1016" s="62"/>
      <c r="AL1016" s="62"/>
      <c r="AM1016" s="62"/>
      <c r="AN1016" s="62"/>
      <c r="AO1016" s="62"/>
      <c r="AP1016" s="62"/>
      <c r="AQ1016" s="62"/>
      <c r="AR1016" s="62"/>
      <c r="AS1016" s="62"/>
      <c r="AT1016" s="62"/>
      <c r="AU1016" s="62"/>
      <c r="AV1016" s="62"/>
    </row>
    <row r="1017" spans="1:48" ht="12.75" customHeight="1" x14ac:dyDescent="0.2">
      <c r="A1017" s="62"/>
      <c r="B1017" s="62"/>
      <c r="C1017" s="62"/>
      <c r="D1017" s="62"/>
      <c r="E1017" s="62"/>
      <c r="F1017" s="62"/>
      <c r="G1017" s="62"/>
      <c r="H1017" s="62"/>
      <c r="I1017" s="62"/>
      <c r="J1017" s="62"/>
      <c r="K1017" s="62"/>
      <c r="L1017" s="62"/>
      <c r="M1017" s="62"/>
      <c r="N1017" s="62"/>
      <c r="O1017" s="62"/>
      <c r="P1017" s="62"/>
      <c r="Q1017" s="62"/>
      <c r="R1017" s="62"/>
      <c r="S1017" s="62"/>
      <c r="T1017" s="62"/>
      <c r="U1017" s="62"/>
      <c r="V1017" s="62"/>
      <c r="W1017" s="62"/>
      <c r="X1017" s="62"/>
      <c r="Y1017" s="62"/>
      <c r="Z1017" s="62"/>
      <c r="AA1017" s="62"/>
      <c r="AB1017" s="62"/>
      <c r="AC1017" s="62"/>
      <c r="AD1017" s="62"/>
      <c r="AE1017" s="62"/>
      <c r="AF1017" s="62"/>
      <c r="AG1017" s="62"/>
      <c r="AH1017" s="62"/>
      <c r="AI1017" s="62"/>
      <c r="AJ1017" s="62"/>
      <c r="AK1017" s="62"/>
      <c r="AL1017" s="62"/>
      <c r="AM1017" s="62"/>
      <c r="AN1017" s="62"/>
      <c r="AO1017" s="62"/>
      <c r="AP1017" s="62"/>
      <c r="AQ1017" s="62"/>
      <c r="AR1017" s="62"/>
      <c r="AS1017" s="62"/>
      <c r="AT1017" s="62"/>
      <c r="AU1017" s="62"/>
      <c r="AV1017" s="62"/>
    </row>
    <row r="1018" spans="1:48" ht="12.75" customHeight="1" x14ac:dyDescent="0.2">
      <c r="A1018" s="62"/>
      <c r="B1018" s="62"/>
      <c r="C1018" s="62"/>
      <c r="D1018" s="62"/>
      <c r="E1018" s="62"/>
      <c r="F1018" s="62"/>
      <c r="G1018" s="62"/>
      <c r="H1018" s="62"/>
      <c r="I1018" s="62"/>
      <c r="J1018" s="62"/>
      <c r="K1018" s="62"/>
      <c r="L1018" s="62"/>
      <c r="M1018" s="62"/>
      <c r="N1018" s="62"/>
      <c r="O1018" s="62"/>
      <c r="P1018" s="62"/>
      <c r="Q1018" s="62"/>
      <c r="R1018" s="62"/>
      <c r="S1018" s="62"/>
      <c r="T1018" s="62"/>
      <c r="U1018" s="62"/>
      <c r="V1018" s="62"/>
      <c r="W1018" s="62"/>
      <c r="X1018" s="62"/>
      <c r="Y1018" s="62"/>
      <c r="Z1018" s="62"/>
      <c r="AA1018" s="62"/>
      <c r="AB1018" s="62"/>
      <c r="AC1018" s="62"/>
      <c r="AD1018" s="62"/>
      <c r="AE1018" s="62"/>
      <c r="AF1018" s="62"/>
      <c r="AG1018" s="62"/>
      <c r="AH1018" s="62"/>
      <c r="AI1018" s="62"/>
      <c r="AJ1018" s="62"/>
      <c r="AK1018" s="62"/>
      <c r="AL1018" s="62"/>
      <c r="AM1018" s="62"/>
      <c r="AN1018" s="62"/>
      <c r="AO1018" s="62"/>
      <c r="AP1018" s="62"/>
      <c r="AQ1018" s="62"/>
      <c r="AR1018" s="62"/>
      <c r="AS1018" s="62"/>
      <c r="AT1018" s="62"/>
      <c r="AU1018" s="62"/>
      <c r="AV1018" s="62"/>
    </row>
    <row r="1019" spans="1:48" ht="12.75" customHeight="1" x14ac:dyDescent="0.2">
      <c r="A1019" s="62"/>
      <c r="B1019" s="62"/>
      <c r="C1019" s="62"/>
      <c r="D1019" s="62"/>
      <c r="E1019" s="62"/>
      <c r="F1019" s="62"/>
      <c r="G1019" s="62"/>
      <c r="H1019" s="62"/>
      <c r="I1019" s="62"/>
      <c r="J1019" s="62"/>
      <c r="K1019" s="62"/>
      <c r="L1019" s="62"/>
      <c r="M1019" s="62"/>
      <c r="N1019" s="62"/>
      <c r="O1019" s="62"/>
      <c r="P1019" s="62"/>
      <c r="Q1019" s="62"/>
      <c r="R1019" s="62"/>
      <c r="S1019" s="62"/>
      <c r="T1019" s="62"/>
      <c r="U1019" s="62"/>
      <c r="V1019" s="62"/>
      <c r="W1019" s="62"/>
      <c r="X1019" s="62"/>
      <c r="Y1019" s="62"/>
      <c r="Z1019" s="62"/>
      <c r="AA1019" s="62"/>
      <c r="AB1019" s="62"/>
      <c r="AC1019" s="62"/>
      <c r="AD1019" s="62"/>
      <c r="AE1019" s="62"/>
      <c r="AF1019" s="62"/>
      <c r="AG1019" s="62"/>
      <c r="AH1019" s="62"/>
      <c r="AI1019" s="62"/>
      <c r="AJ1019" s="62"/>
      <c r="AK1019" s="62"/>
      <c r="AL1019" s="62"/>
      <c r="AM1019" s="62"/>
      <c r="AN1019" s="62"/>
      <c r="AO1019" s="62"/>
      <c r="AP1019" s="62"/>
      <c r="AQ1019" s="62"/>
      <c r="AR1019" s="62"/>
      <c r="AS1019" s="62"/>
      <c r="AT1019" s="62"/>
      <c r="AU1019" s="62"/>
      <c r="AV1019" s="62"/>
    </row>
    <row r="1020" spans="1:48" ht="12.75" customHeight="1" x14ac:dyDescent="0.2">
      <c r="A1020" s="62"/>
      <c r="B1020" s="62"/>
      <c r="C1020" s="62"/>
      <c r="D1020" s="62"/>
      <c r="E1020" s="62"/>
      <c r="F1020" s="62"/>
      <c r="G1020" s="62"/>
      <c r="H1020" s="62"/>
      <c r="I1020" s="62"/>
      <c r="J1020" s="62"/>
      <c r="K1020" s="62"/>
      <c r="L1020" s="62"/>
      <c r="M1020" s="62"/>
      <c r="N1020" s="62"/>
      <c r="O1020" s="62"/>
      <c r="P1020" s="62"/>
      <c r="Q1020" s="62"/>
      <c r="R1020" s="62"/>
      <c r="S1020" s="62"/>
      <c r="T1020" s="62"/>
      <c r="U1020" s="62"/>
      <c r="V1020" s="62"/>
      <c r="W1020" s="62"/>
      <c r="X1020" s="62"/>
      <c r="Y1020" s="62"/>
      <c r="Z1020" s="62"/>
      <c r="AA1020" s="62"/>
      <c r="AB1020" s="62"/>
      <c r="AC1020" s="62"/>
      <c r="AD1020" s="62"/>
      <c r="AE1020" s="62"/>
      <c r="AF1020" s="62"/>
      <c r="AG1020" s="62"/>
      <c r="AH1020" s="62"/>
      <c r="AI1020" s="62"/>
      <c r="AJ1020" s="62"/>
      <c r="AK1020" s="62"/>
      <c r="AL1020" s="62"/>
      <c r="AM1020" s="62"/>
      <c r="AN1020" s="62"/>
      <c r="AO1020" s="62"/>
      <c r="AP1020" s="62"/>
      <c r="AQ1020" s="62"/>
      <c r="AR1020" s="62"/>
      <c r="AS1020" s="62"/>
      <c r="AT1020" s="62"/>
      <c r="AU1020" s="62"/>
      <c r="AV1020" s="62"/>
    </row>
    <row r="1021" spans="1:48" ht="12.75" customHeight="1" x14ac:dyDescent="0.2">
      <c r="A1021" s="62"/>
      <c r="B1021" s="62"/>
      <c r="C1021" s="62"/>
      <c r="D1021" s="62"/>
      <c r="E1021" s="62"/>
      <c r="F1021" s="62"/>
      <c r="G1021" s="62"/>
      <c r="H1021" s="62"/>
      <c r="I1021" s="62"/>
      <c r="J1021" s="62"/>
      <c r="K1021" s="62"/>
      <c r="L1021" s="62"/>
      <c r="M1021" s="62"/>
      <c r="N1021" s="62"/>
      <c r="O1021" s="62"/>
      <c r="P1021" s="62"/>
      <c r="Q1021" s="62"/>
      <c r="R1021" s="62"/>
      <c r="S1021" s="62"/>
      <c r="T1021" s="62"/>
      <c r="U1021" s="62"/>
      <c r="V1021" s="62"/>
      <c r="W1021" s="62"/>
      <c r="X1021" s="62"/>
      <c r="Y1021" s="62"/>
      <c r="Z1021" s="62"/>
      <c r="AA1021" s="62"/>
      <c r="AB1021" s="62"/>
      <c r="AC1021" s="62"/>
      <c r="AD1021" s="62"/>
      <c r="AE1021" s="62"/>
      <c r="AF1021" s="62"/>
      <c r="AG1021" s="62"/>
      <c r="AH1021" s="62"/>
      <c r="AI1021" s="62"/>
      <c r="AJ1021" s="62"/>
      <c r="AK1021" s="62"/>
      <c r="AL1021" s="62"/>
      <c r="AM1021" s="62"/>
      <c r="AN1021" s="62"/>
      <c r="AO1021" s="62"/>
      <c r="AP1021" s="62"/>
      <c r="AQ1021" s="62"/>
      <c r="AR1021" s="62"/>
      <c r="AS1021" s="62"/>
      <c r="AT1021" s="62"/>
      <c r="AU1021" s="62"/>
      <c r="AV1021" s="62"/>
    </row>
    <row r="1022" spans="1:48" ht="12.75" customHeight="1" x14ac:dyDescent="0.2">
      <c r="A1022" s="62"/>
      <c r="B1022" s="62"/>
      <c r="C1022" s="62"/>
      <c r="D1022" s="62"/>
      <c r="E1022" s="62"/>
      <c r="F1022" s="62"/>
      <c r="G1022" s="62"/>
      <c r="H1022" s="62"/>
      <c r="I1022" s="62"/>
      <c r="J1022" s="62"/>
      <c r="K1022" s="62"/>
      <c r="L1022" s="62"/>
      <c r="M1022" s="62"/>
      <c r="N1022" s="62"/>
      <c r="O1022" s="62"/>
      <c r="P1022" s="62"/>
      <c r="Q1022" s="62"/>
      <c r="R1022" s="62"/>
      <c r="S1022" s="62"/>
      <c r="T1022" s="62"/>
      <c r="U1022" s="62"/>
      <c r="V1022" s="62"/>
      <c r="W1022" s="62"/>
      <c r="X1022" s="62"/>
      <c r="Y1022" s="62"/>
      <c r="Z1022" s="62"/>
      <c r="AA1022" s="62"/>
      <c r="AB1022" s="62"/>
      <c r="AC1022" s="62"/>
      <c r="AD1022" s="62"/>
      <c r="AE1022" s="62"/>
      <c r="AF1022" s="62"/>
      <c r="AG1022" s="62"/>
      <c r="AH1022" s="62"/>
      <c r="AI1022" s="62"/>
      <c r="AJ1022" s="62"/>
      <c r="AK1022" s="62"/>
      <c r="AL1022" s="62"/>
      <c r="AM1022" s="62"/>
      <c r="AN1022" s="62"/>
      <c r="AO1022" s="62"/>
      <c r="AP1022" s="62"/>
      <c r="AQ1022" s="62"/>
      <c r="AR1022" s="62"/>
      <c r="AS1022" s="62"/>
      <c r="AT1022" s="62"/>
      <c r="AU1022" s="62"/>
      <c r="AV1022" s="62"/>
    </row>
    <row r="1023" spans="1:48" ht="12.75" customHeight="1" x14ac:dyDescent="0.2">
      <c r="A1023" s="62"/>
      <c r="B1023" s="62"/>
      <c r="C1023" s="62"/>
      <c r="D1023" s="62"/>
      <c r="E1023" s="62"/>
      <c r="F1023" s="62"/>
      <c r="G1023" s="62"/>
      <c r="H1023" s="62"/>
      <c r="I1023" s="62"/>
      <c r="J1023" s="62"/>
      <c r="K1023" s="62"/>
      <c r="L1023" s="62"/>
      <c r="M1023" s="62"/>
      <c r="N1023" s="62"/>
      <c r="O1023" s="62"/>
      <c r="P1023" s="62"/>
      <c r="Q1023" s="62"/>
      <c r="R1023" s="62"/>
      <c r="S1023" s="62"/>
      <c r="T1023" s="62"/>
      <c r="U1023" s="62"/>
      <c r="V1023" s="62"/>
      <c r="W1023" s="62"/>
      <c r="X1023" s="62"/>
      <c r="Y1023" s="62"/>
      <c r="Z1023" s="62"/>
      <c r="AA1023" s="62"/>
      <c r="AB1023" s="62"/>
      <c r="AC1023" s="62"/>
      <c r="AD1023" s="62"/>
      <c r="AE1023" s="62"/>
      <c r="AF1023" s="62"/>
      <c r="AG1023" s="62"/>
      <c r="AH1023" s="62"/>
      <c r="AI1023" s="62"/>
      <c r="AJ1023" s="62"/>
      <c r="AK1023" s="62"/>
      <c r="AL1023" s="62"/>
      <c r="AM1023" s="62"/>
      <c r="AN1023" s="62"/>
      <c r="AO1023" s="62"/>
      <c r="AP1023" s="62"/>
      <c r="AQ1023" s="62"/>
      <c r="AR1023" s="62"/>
      <c r="AS1023" s="62"/>
      <c r="AT1023" s="62"/>
      <c r="AU1023" s="62"/>
      <c r="AV1023" s="62"/>
    </row>
    <row r="1024" spans="1:48" ht="12.75" customHeight="1" x14ac:dyDescent="0.2">
      <c r="A1024" s="62"/>
      <c r="B1024" s="62"/>
      <c r="C1024" s="62"/>
      <c r="D1024" s="62"/>
      <c r="E1024" s="62"/>
      <c r="F1024" s="62"/>
      <c r="G1024" s="62"/>
      <c r="H1024" s="62"/>
      <c r="I1024" s="62"/>
      <c r="J1024" s="62"/>
      <c r="K1024" s="62"/>
      <c r="L1024" s="62"/>
      <c r="M1024" s="62"/>
      <c r="N1024" s="62"/>
      <c r="O1024" s="62"/>
      <c r="P1024" s="62"/>
      <c r="Q1024" s="62"/>
      <c r="R1024" s="62"/>
      <c r="S1024" s="62"/>
      <c r="T1024" s="62"/>
      <c r="U1024" s="62"/>
      <c r="V1024" s="62"/>
      <c r="W1024" s="62"/>
      <c r="X1024" s="62"/>
      <c r="Y1024" s="62"/>
      <c r="Z1024" s="62"/>
      <c r="AA1024" s="62"/>
      <c r="AB1024" s="62"/>
      <c r="AC1024" s="62"/>
      <c r="AD1024" s="62"/>
      <c r="AE1024" s="62"/>
      <c r="AF1024" s="62"/>
      <c r="AG1024" s="62"/>
      <c r="AH1024" s="62"/>
      <c r="AI1024" s="62"/>
      <c r="AJ1024" s="62"/>
      <c r="AK1024" s="62"/>
      <c r="AL1024" s="62"/>
      <c r="AM1024" s="62"/>
      <c r="AN1024" s="62"/>
      <c r="AO1024" s="62"/>
      <c r="AP1024" s="62"/>
      <c r="AQ1024" s="62"/>
      <c r="AR1024" s="62"/>
      <c r="AS1024" s="62"/>
      <c r="AT1024" s="62"/>
      <c r="AU1024" s="62"/>
      <c r="AV1024" s="62"/>
    </row>
    <row r="1025" spans="1:48" ht="12.75" customHeight="1" x14ac:dyDescent="0.2">
      <c r="A1025" s="62"/>
      <c r="B1025" s="62"/>
      <c r="C1025" s="62"/>
      <c r="D1025" s="62"/>
      <c r="E1025" s="62"/>
      <c r="F1025" s="62"/>
      <c r="G1025" s="62"/>
      <c r="H1025" s="62"/>
      <c r="I1025" s="62"/>
      <c r="J1025" s="62"/>
      <c r="K1025" s="62"/>
      <c r="L1025" s="62"/>
      <c r="M1025" s="62"/>
      <c r="N1025" s="62"/>
      <c r="O1025" s="62"/>
      <c r="P1025" s="62"/>
      <c r="Q1025" s="62"/>
      <c r="R1025" s="62"/>
      <c r="S1025" s="62"/>
      <c r="T1025" s="62"/>
      <c r="U1025" s="62"/>
      <c r="V1025" s="62"/>
      <c r="W1025" s="62"/>
      <c r="X1025" s="62"/>
      <c r="Y1025" s="62"/>
      <c r="Z1025" s="62"/>
      <c r="AA1025" s="62"/>
      <c r="AB1025" s="62"/>
      <c r="AC1025" s="62"/>
      <c r="AD1025" s="62"/>
      <c r="AE1025" s="62"/>
      <c r="AF1025" s="62"/>
      <c r="AG1025" s="62"/>
      <c r="AH1025" s="62"/>
      <c r="AI1025" s="62"/>
      <c r="AJ1025" s="62"/>
      <c r="AK1025" s="62"/>
      <c r="AL1025" s="62"/>
      <c r="AM1025" s="62"/>
      <c r="AN1025" s="62"/>
      <c r="AO1025" s="62"/>
      <c r="AP1025" s="62"/>
      <c r="AQ1025" s="62"/>
      <c r="AR1025" s="62"/>
      <c r="AS1025" s="62"/>
      <c r="AT1025" s="62"/>
      <c r="AU1025" s="62"/>
      <c r="AV1025" s="62"/>
    </row>
    <row r="1026" spans="1:48" ht="12.75" customHeight="1" x14ac:dyDescent="0.2">
      <c r="A1026" s="62"/>
      <c r="B1026" s="62"/>
      <c r="C1026" s="62"/>
      <c r="D1026" s="62"/>
      <c r="E1026" s="62"/>
      <c r="F1026" s="62"/>
      <c r="G1026" s="62"/>
      <c r="H1026" s="62"/>
      <c r="I1026" s="62"/>
      <c r="J1026" s="62"/>
      <c r="K1026" s="62"/>
      <c r="L1026" s="62"/>
      <c r="M1026" s="62"/>
      <c r="N1026" s="62"/>
      <c r="O1026" s="62"/>
      <c r="P1026" s="62"/>
      <c r="Q1026" s="62"/>
      <c r="R1026" s="62"/>
      <c r="S1026" s="62"/>
      <c r="T1026" s="62"/>
      <c r="U1026" s="62"/>
      <c r="V1026" s="62"/>
      <c r="W1026" s="62"/>
      <c r="X1026" s="62"/>
      <c r="Y1026" s="62"/>
      <c r="Z1026" s="62"/>
      <c r="AA1026" s="62"/>
      <c r="AB1026" s="62"/>
      <c r="AC1026" s="62"/>
      <c r="AD1026" s="62"/>
      <c r="AE1026" s="62"/>
      <c r="AF1026" s="62"/>
      <c r="AG1026" s="62"/>
      <c r="AH1026" s="62"/>
      <c r="AI1026" s="62"/>
      <c r="AJ1026" s="62"/>
      <c r="AK1026" s="62"/>
      <c r="AL1026" s="62"/>
      <c r="AM1026" s="62"/>
      <c r="AN1026" s="62"/>
      <c r="AO1026" s="62"/>
      <c r="AP1026" s="62"/>
      <c r="AQ1026" s="62"/>
      <c r="AR1026" s="62"/>
      <c r="AS1026" s="62"/>
      <c r="AT1026" s="62"/>
      <c r="AU1026" s="62"/>
      <c r="AV1026" s="62"/>
    </row>
    <row r="1027" spans="1:48" ht="12.75" customHeight="1" x14ac:dyDescent="0.2">
      <c r="A1027" s="62"/>
      <c r="B1027" s="62"/>
      <c r="C1027" s="62"/>
      <c r="D1027" s="62"/>
      <c r="E1027" s="62"/>
      <c r="F1027" s="62"/>
      <c r="G1027" s="62"/>
      <c r="H1027" s="62"/>
      <c r="I1027" s="62"/>
      <c r="J1027" s="62"/>
      <c r="K1027" s="62"/>
      <c r="L1027" s="62"/>
      <c r="M1027" s="62"/>
      <c r="N1027" s="62"/>
      <c r="O1027" s="62"/>
      <c r="P1027" s="62"/>
      <c r="Q1027" s="62"/>
      <c r="R1027" s="62"/>
      <c r="S1027" s="62"/>
      <c r="T1027" s="62"/>
      <c r="U1027" s="62"/>
      <c r="V1027" s="62"/>
      <c r="W1027" s="62"/>
      <c r="X1027" s="62"/>
      <c r="Y1027" s="62"/>
      <c r="Z1027" s="62"/>
      <c r="AA1027" s="62"/>
      <c r="AB1027" s="62"/>
      <c r="AC1027" s="62"/>
      <c r="AD1027" s="62"/>
      <c r="AE1027" s="62"/>
      <c r="AF1027" s="62"/>
      <c r="AG1027" s="62"/>
      <c r="AH1027" s="62"/>
      <c r="AI1027" s="62"/>
      <c r="AJ1027" s="62"/>
      <c r="AK1027" s="62"/>
      <c r="AL1027" s="62"/>
      <c r="AM1027" s="62"/>
      <c r="AN1027" s="62"/>
      <c r="AO1027" s="62"/>
      <c r="AP1027" s="62"/>
      <c r="AQ1027" s="62"/>
      <c r="AR1027" s="62"/>
      <c r="AS1027" s="62"/>
      <c r="AT1027" s="62"/>
      <c r="AU1027" s="62"/>
      <c r="AV1027" s="62"/>
    </row>
    <row r="1028" spans="1:48" ht="12.75" customHeight="1" x14ac:dyDescent="0.2">
      <c r="A1028" s="62"/>
      <c r="B1028" s="62"/>
      <c r="C1028" s="62"/>
      <c r="D1028" s="62"/>
      <c r="E1028" s="62"/>
      <c r="F1028" s="62"/>
      <c r="G1028" s="62"/>
      <c r="H1028" s="62"/>
      <c r="I1028" s="62"/>
      <c r="J1028" s="62"/>
      <c r="K1028" s="62"/>
      <c r="L1028" s="62"/>
      <c r="M1028" s="62"/>
      <c r="N1028" s="62"/>
      <c r="O1028" s="62"/>
      <c r="P1028" s="62"/>
      <c r="Q1028" s="62"/>
      <c r="R1028" s="62"/>
      <c r="S1028" s="62"/>
      <c r="T1028" s="62"/>
      <c r="U1028" s="62"/>
      <c r="V1028" s="62"/>
      <c r="W1028" s="62"/>
      <c r="X1028" s="62"/>
      <c r="Y1028" s="62"/>
      <c r="Z1028" s="62"/>
      <c r="AA1028" s="62"/>
      <c r="AB1028" s="62"/>
      <c r="AC1028" s="62"/>
      <c r="AD1028" s="62"/>
      <c r="AE1028" s="62"/>
      <c r="AF1028" s="62"/>
      <c r="AG1028" s="62"/>
      <c r="AH1028" s="62"/>
      <c r="AI1028" s="62"/>
      <c r="AJ1028" s="62"/>
      <c r="AK1028" s="62"/>
      <c r="AL1028" s="62"/>
      <c r="AM1028" s="62"/>
      <c r="AN1028" s="62"/>
      <c r="AO1028" s="62"/>
      <c r="AP1028" s="62"/>
      <c r="AQ1028" s="62"/>
      <c r="AR1028" s="62"/>
      <c r="AS1028" s="62"/>
      <c r="AT1028" s="62"/>
      <c r="AU1028" s="62"/>
      <c r="AV1028" s="62"/>
    </row>
    <row r="1029" spans="1:48" ht="12.75" customHeight="1" x14ac:dyDescent="0.2">
      <c r="A1029" s="62"/>
      <c r="B1029" s="62"/>
      <c r="C1029" s="62"/>
      <c r="D1029" s="62"/>
      <c r="E1029" s="62"/>
      <c r="F1029" s="62"/>
      <c r="G1029" s="62"/>
      <c r="H1029" s="62"/>
      <c r="I1029" s="62"/>
      <c r="J1029" s="62"/>
      <c r="K1029" s="62"/>
      <c r="L1029" s="62"/>
      <c r="M1029" s="62"/>
      <c r="N1029" s="62"/>
      <c r="O1029" s="62"/>
      <c r="P1029" s="62"/>
      <c r="Q1029" s="62"/>
      <c r="R1029" s="62"/>
      <c r="S1029" s="62"/>
      <c r="T1029" s="62"/>
      <c r="U1029" s="62"/>
      <c r="V1029" s="62"/>
      <c r="W1029" s="62"/>
      <c r="X1029" s="62"/>
      <c r="Y1029" s="62"/>
      <c r="Z1029" s="62"/>
      <c r="AA1029" s="62"/>
      <c r="AB1029" s="62"/>
      <c r="AC1029" s="62"/>
      <c r="AD1029" s="62"/>
      <c r="AE1029" s="62"/>
      <c r="AF1029" s="62"/>
      <c r="AG1029" s="62"/>
      <c r="AH1029" s="62"/>
      <c r="AI1029" s="62"/>
      <c r="AJ1029" s="62"/>
      <c r="AK1029" s="62"/>
      <c r="AL1029" s="62"/>
      <c r="AM1029" s="62"/>
      <c r="AN1029" s="62"/>
      <c r="AO1029" s="62"/>
      <c r="AP1029" s="62"/>
      <c r="AQ1029" s="62"/>
      <c r="AR1029" s="62"/>
      <c r="AS1029" s="62"/>
      <c r="AT1029" s="62"/>
      <c r="AU1029" s="62"/>
      <c r="AV1029" s="62"/>
    </row>
    <row r="1030" spans="1:48" ht="12.75" customHeight="1" x14ac:dyDescent="0.2">
      <c r="A1030" s="62"/>
      <c r="B1030" s="62"/>
      <c r="C1030" s="62"/>
      <c r="D1030" s="62"/>
      <c r="E1030" s="62"/>
      <c r="F1030" s="62"/>
      <c r="G1030" s="62"/>
      <c r="H1030" s="62"/>
      <c r="I1030" s="62"/>
      <c r="J1030" s="62"/>
      <c r="K1030" s="62"/>
      <c r="L1030" s="62"/>
      <c r="M1030" s="62"/>
      <c r="N1030" s="62"/>
      <c r="O1030" s="62"/>
      <c r="P1030" s="62"/>
      <c r="Q1030" s="62"/>
      <c r="R1030" s="62"/>
      <c r="S1030" s="62"/>
      <c r="T1030" s="62"/>
      <c r="U1030" s="62"/>
      <c r="V1030" s="62"/>
      <c r="W1030" s="62"/>
      <c r="X1030" s="62"/>
      <c r="Y1030" s="62"/>
      <c r="Z1030" s="62"/>
      <c r="AA1030" s="62"/>
      <c r="AB1030" s="62"/>
      <c r="AC1030" s="62"/>
      <c r="AD1030" s="62"/>
      <c r="AE1030" s="62"/>
      <c r="AF1030" s="62"/>
      <c r="AG1030" s="62"/>
      <c r="AH1030" s="62"/>
      <c r="AI1030" s="62"/>
      <c r="AJ1030" s="62"/>
      <c r="AK1030" s="62"/>
      <c r="AL1030" s="62"/>
      <c r="AM1030" s="62"/>
      <c r="AN1030" s="62"/>
      <c r="AO1030" s="62"/>
      <c r="AP1030" s="62"/>
      <c r="AQ1030" s="62"/>
      <c r="AR1030" s="62"/>
      <c r="AS1030" s="62"/>
      <c r="AT1030" s="62"/>
      <c r="AU1030" s="62"/>
      <c r="AV1030" s="62"/>
    </row>
    <row r="1031" spans="1:48" ht="12.75" customHeight="1" x14ac:dyDescent="0.2">
      <c r="A1031" s="62"/>
      <c r="B1031" s="62"/>
      <c r="C1031" s="62"/>
      <c r="D1031" s="62"/>
      <c r="E1031" s="62"/>
      <c r="F1031" s="62"/>
      <c r="G1031" s="62"/>
      <c r="H1031" s="62"/>
      <c r="I1031" s="62"/>
      <c r="J1031" s="62"/>
      <c r="K1031" s="62"/>
      <c r="L1031" s="62"/>
      <c r="M1031" s="62"/>
      <c r="N1031" s="62"/>
      <c r="O1031" s="62"/>
      <c r="P1031" s="62"/>
      <c r="Q1031" s="62"/>
      <c r="R1031" s="62"/>
      <c r="S1031" s="62"/>
      <c r="T1031" s="62"/>
      <c r="U1031" s="62"/>
      <c r="V1031" s="62"/>
      <c r="W1031" s="62"/>
      <c r="X1031" s="62"/>
      <c r="Y1031" s="62"/>
      <c r="Z1031" s="62"/>
      <c r="AA1031" s="62"/>
      <c r="AB1031" s="62"/>
      <c r="AC1031" s="62"/>
      <c r="AD1031" s="62"/>
      <c r="AE1031" s="62"/>
      <c r="AF1031" s="62"/>
      <c r="AG1031" s="62"/>
      <c r="AH1031" s="62"/>
      <c r="AI1031" s="62"/>
      <c r="AJ1031" s="62"/>
      <c r="AK1031" s="62"/>
      <c r="AL1031" s="62"/>
      <c r="AM1031" s="62"/>
      <c r="AN1031" s="62"/>
      <c r="AO1031" s="62"/>
      <c r="AP1031" s="62"/>
      <c r="AQ1031" s="62"/>
      <c r="AR1031" s="62"/>
      <c r="AS1031" s="62"/>
      <c r="AT1031" s="62"/>
      <c r="AU1031" s="62"/>
      <c r="AV1031" s="62"/>
    </row>
  </sheetData>
  <sheetProtection password="DFFD" sheet="1" objects="1" scenarios="1" formatCells="0"/>
  <mergeCells count="136">
    <mergeCell ref="B118:C118"/>
    <mergeCell ref="D118:G118"/>
    <mergeCell ref="H118:J118"/>
    <mergeCell ref="F23:H23"/>
    <mergeCell ref="J11:V11"/>
    <mergeCell ref="A8:V9"/>
    <mergeCell ref="A6:V7"/>
    <mergeCell ref="A4:V5"/>
    <mergeCell ref="A2:V3"/>
    <mergeCell ref="B111:C111"/>
    <mergeCell ref="B20:C20"/>
    <mergeCell ref="H107:J107"/>
    <mergeCell ref="D107:G107"/>
    <mergeCell ref="B107:C107"/>
    <mergeCell ref="B108:C108"/>
    <mergeCell ref="B109:C109"/>
    <mergeCell ref="B110:C110"/>
    <mergeCell ref="B106:J106"/>
    <mergeCell ref="F19:H19"/>
    <mergeCell ref="F20:H20"/>
    <mergeCell ref="F21:H21"/>
    <mergeCell ref="B18:C18"/>
    <mergeCell ref="B112:C112"/>
    <mergeCell ref="B113:C113"/>
    <mergeCell ref="AI102:AL102"/>
    <mergeCell ref="AI103:AL103"/>
    <mergeCell ref="B1:V1"/>
    <mergeCell ref="AN27:AP27"/>
    <mergeCell ref="AT27:AV27"/>
    <mergeCell ref="E13:H13"/>
    <mergeCell ref="F14:H14"/>
    <mergeCell ref="F15:H15"/>
    <mergeCell ref="F16:H16"/>
    <mergeCell ref="F17:H17"/>
    <mergeCell ref="A13:C13"/>
    <mergeCell ref="B14:C14"/>
    <mergeCell ref="B15:C15"/>
    <mergeCell ref="B16:C16"/>
    <mergeCell ref="B17:C17"/>
    <mergeCell ref="W26:W27"/>
    <mergeCell ref="V26:V27"/>
    <mergeCell ref="A26:A29"/>
    <mergeCell ref="J20:P20"/>
    <mergeCell ref="J21:P21"/>
    <mergeCell ref="J22:P22"/>
    <mergeCell ref="R18:U18"/>
    <mergeCell ref="R19:U19"/>
    <mergeCell ref="R22:U22"/>
    <mergeCell ref="B104:J104"/>
    <mergeCell ref="D110:G110"/>
    <mergeCell ref="D109:G109"/>
    <mergeCell ref="D108:G108"/>
    <mergeCell ref="H110:J110"/>
    <mergeCell ref="H109:J109"/>
    <mergeCell ref="H108:J108"/>
    <mergeCell ref="E105:J105"/>
    <mergeCell ref="B105:D105"/>
    <mergeCell ref="B115:C115"/>
    <mergeCell ref="D113:G113"/>
    <mergeCell ref="H114:J114"/>
    <mergeCell ref="D114:G114"/>
    <mergeCell ref="H113:J113"/>
    <mergeCell ref="D111:G111"/>
    <mergeCell ref="H111:J111"/>
    <mergeCell ref="D112:G112"/>
    <mergeCell ref="H112:J112"/>
    <mergeCell ref="D115:G115"/>
    <mergeCell ref="D116:G116"/>
    <mergeCell ref="D117:G117"/>
    <mergeCell ref="H115:J115"/>
    <mergeCell ref="H116:J116"/>
    <mergeCell ref="B116:C116"/>
    <mergeCell ref="B117:C117"/>
    <mergeCell ref="B119:C119"/>
    <mergeCell ref="Z9:AV9"/>
    <mergeCell ref="Z7:AV7"/>
    <mergeCell ref="AA26:AA29"/>
    <mergeCell ref="Z26:Z29"/>
    <mergeCell ref="X26:X29"/>
    <mergeCell ref="AN28:AN29"/>
    <mergeCell ref="AO28:AO29"/>
    <mergeCell ref="AQ28:AQ29"/>
    <mergeCell ref="AP28:AP29"/>
    <mergeCell ref="B26:B29"/>
    <mergeCell ref="R20:U20"/>
    <mergeCell ref="Q12:U12"/>
    <mergeCell ref="D119:G119"/>
    <mergeCell ref="H117:J117"/>
    <mergeCell ref="B114:C114"/>
    <mergeCell ref="H119:J119"/>
    <mergeCell ref="P26:U26"/>
    <mergeCell ref="Z5:AV5"/>
    <mergeCell ref="Z3:AV3"/>
    <mergeCell ref="A11:B11"/>
    <mergeCell ref="R14:U14"/>
    <mergeCell ref="J18:P18"/>
    <mergeCell ref="J17:P17"/>
    <mergeCell ref="R21:U21"/>
    <mergeCell ref="R15:U15"/>
    <mergeCell ref="R16:U16"/>
    <mergeCell ref="R17:U17"/>
    <mergeCell ref="R13:U13"/>
    <mergeCell ref="J12:P12"/>
    <mergeCell ref="J13:P13"/>
    <mergeCell ref="F18:H18"/>
    <mergeCell ref="B19:C19"/>
    <mergeCell ref="H26:H27"/>
    <mergeCell ref="O26:O27"/>
    <mergeCell ref="J14:P14"/>
    <mergeCell ref="J16:P16"/>
    <mergeCell ref="J15:P15"/>
    <mergeCell ref="F22:H22"/>
    <mergeCell ref="J19:P19"/>
    <mergeCell ref="C26:G26"/>
    <mergeCell ref="BB28:BB29"/>
    <mergeCell ref="I26:N26"/>
    <mergeCell ref="AB27:AG27"/>
    <mergeCell ref="AH27:AM27"/>
    <mergeCell ref="AQ27:AS27"/>
    <mergeCell ref="AR28:AR29"/>
    <mergeCell ref="AS28:AS29"/>
    <mergeCell ref="AW27:AX27"/>
    <mergeCell ref="AB26:AX26"/>
    <mergeCell ref="B23:C23"/>
    <mergeCell ref="B24:C24"/>
    <mergeCell ref="BC28:BC29"/>
    <mergeCell ref="BD28:BD29"/>
    <mergeCell ref="BE28:BE29"/>
    <mergeCell ref="AT28:AT29"/>
    <mergeCell ref="AU28:AU29"/>
    <mergeCell ref="AV28:AV29"/>
    <mergeCell ref="AW28:AW29"/>
    <mergeCell ref="AX28:AX29"/>
    <mergeCell ref="AY28:AY29"/>
    <mergeCell ref="AZ28:AZ29"/>
    <mergeCell ref="BA28:BA29"/>
  </mergeCells>
  <conditionalFormatting sqref="C61:G100 G30:G43 G45:G60">
    <cfRule type="cellIs" dxfId="22" priority="29" operator="lessThanOrEqual">
      <formula>0</formula>
    </cfRule>
  </conditionalFormatting>
  <conditionalFormatting sqref="I61:N100">
    <cfRule type="cellIs" dxfId="21" priority="28" operator="lessThanOrEqual">
      <formula>0</formula>
    </cfRule>
  </conditionalFormatting>
  <conditionalFormatting sqref="P61:U100">
    <cfRule type="cellIs" dxfId="20" priority="27" operator="lessThanOrEqual">
      <formula>0</formula>
    </cfRule>
  </conditionalFormatting>
  <conditionalFormatting sqref="X30:X100">
    <cfRule type="cellIs" dxfId="19" priority="23" operator="equal">
      <formula>"F (Fail)"</formula>
    </cfRule>
    <cfRule type="cellIs" dxfId="18" priority="24" operator="equal">
      <formula>"A (Plus)"</formula>
    </cfRule>
    <cfRule type="cellIs" dxfId="17" priority="25" operator="equal">
      <formula>"Error"</formula>
    </cfRule>
    <cfRule type="cellIs" dxfId="16" priority="26" operator="equal">
      <formula>"-"</formula>
    </cfRule>
    <cfRule type="cellIs" dxfId="15" priority="10" operator="equal">
      <formula>"Incomplete"</formula>
    </cfRule>
    <cfRule type="expression" dxfId="14" priority="1">
      <formula>$W30=0</formula>
    </cfRule>
  </conditionalFormatting>
  <conditionalFormatting sqref="W30:W100">
    <cfRule type="expression" dxfId="13" priority="21">
      <formula>OR(MOD($W30,5)=4,MOD($W30,5)=3,INT($W30)&lt;&gt;$W30)</formula>
    </cfRule>
    <cfRule type="cellIs" dxfId="12" priority="6" operator="equal">
      <formula>"Absent"</formula>
    </cfRule>
  </conditionalFormatting>
  <conditionalFormatting sqref="C56:F60 E30:F43 E45:F58">
    <cfRule type="cellIs" dxfId="11" priority="17" operator="lessThanOrEqual">
      <formula>0</formula>
    </cfRule>
  </conditionalFormatting>
  <conditionalFormatting sqref="I59:N60">
    <cfRule type="cellIs" dxfId="10" priority="16" operator="lessThanOrEqual">
      <formula>0</formula>
    </cfRule>
  </conditionalFormatting>
  <conditionalFormatting sqref="P56:U60">
    <cfRule type="cellIs" dxfId="9" priority="14" operator="lessThanOrEqual">
      <formula>0</formula>
    </cfRule>
  </conditionalFormatting>
  <conditionalFormatting sqref="C30:D43 C45:D58">
    <cfRule type="cellIs" dxfId="8" priority="13" operator="lessThanOrEqual">
      <formula>0</formula>
    </cfRule>
  </conditionalFormatting>
  <conditionalFormatting sqref="I30:N58">
    <cfRule type="cellIs" dxfId="7" priority="12" operator="lessThanOrEqual">
      <formula>0</formula>
    </cfRule>
  </conditionalFormatting>
  <conditionalFormatting sqref="P30:U58">
    <cfRule type="cellIs" dxfId="6" priority="11" operator="lessThanOrEqual">
      <formula>0</formula>
    </cfRule>
  </conditionalFormatting>
  <conditionalFormatting sqref="H29:H100">
    <cfRule type="cellIs" dxfId="5" priority="9" operator="equal">
      <formula>"Error"</formula>
    </cfRule>
  </conditionalFormatting>
  <conditionalFormatting sqref="O29:O100">
    <cfRule type="cellIs" dxfId="4" priority="8" operator="equal">
      <formula>"Error"</formula>
    </cfRule>
  </conditionalFormatting>
  <conditionalFormatting sqref="V29:V100">
    <cfRule type="cellIs" dxfId="3" priority="7" operator="equal">
      <formula>"Error"</formula>
    </cfRule>
  </conditionalFormatting>
  <conditionalFormatting sqref="G44">
    <cfRule type="cellIs" dxfId="2" priority="5" operator="lessThanOrEqual">
      <formula>0</formula>
    </cfRule>
  </conditionalFormatting>
  <conditionalFormatting sqref="E44:F44">
    <cfRule type="cellIs" dxfId="1" priority="4" operator="lessThanOrEqual">
      <formula>0</formula>
    </cfRule>
  </conditionalFormatting>
  <conditionalFormatting sqref="C44:D44">
    <cfRule type="cellIs" dxfId="0" priority="3" operator="lessThanOrEqual">
      <formula>0</formula>
    </cfRule>
  </conditionalFormatting>
  <printOptions horizontalCentered="1" verticalCentered="1"/>
  <pageMargins left="0.25" right="0.25" top="0.5" bottom="0.5" header="0" footer="0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5"/>
  <sheetViews>
    <sheetView workbookViewId="0">
      <selection activeCell="C14" sqref="C14"/>
    </sheetView>
  </sheetViews>
  <sheetFormatPr defaultRowHeight="12.75" x14ac:dyDescent="0.2"/>
  <cols>
    <col min="1" max="1" width="17.42578125" customWidth="1"/>
    <col min="2" max="2" width="10.140625" customWidth="1"/>
    <col min="3" max="3" width="10.28515625" customWidth="1"/>
    <col min="4" max="4" width="12" customWidth="1"/>
    <col min="5" max="5" width="12.85546875" customWidth="1"/>
    <col min="6" max="6" width="9.85546875" customWidth="1"/>
  </cols>
  <sheetData>
    <row r="1" spans="1:15" ht="18" x14ac:dyDescent="0.25">
      <c r="A1" s="205" t="s">
        <v>92</v>
      </c>
      <c r="B1" s="205"/>
      <c r="C1" s="205"/>
      <c r="D1" s="205"/>
      <c r="E1" s="205"/>
      <c r="F1" s="6"/>
      <c r="G1" s="6"/>
      <c r="H1" s="6"/>
      <c r="I1" s="6"/>
    </row>
    <row r="2" spans="1:15" s="1" customFormat="1" ht="18" x14ac:dyDescent="0.25">
      <c r="A2" s="27" t="s">
        <v>97</v>
      </c>
      <c r="B2" s="207" t="str">
        <f>GradeSheet!A8</f>
        <v>Summer 2026</v>
      </c>
      <c r="C2" s="207"/>
      <c r="D2" s="207"/>
      <c r="E2" s="207"/>
      <c r="F2" s="6"/>
      <c r="G2" s="6"/>
      <c r="H2" s="6"/>
      <c r="I2" s="6"/>
    </row>
    <row r="3" spans="1:15" ht="15" x14ac:dyDescent="0.2">
      <c r="A3" s="28" t="s">
        <v>9</v>
      </c>
      <c r="B3" s="206" t="str">
        <f>GradeSheet!B14</f>
        <v>CSE 103</v>
      </c>
      <c r="C3" s="206"/>
      <c r="D3" s="206"/>
      <c r="E3" s="206"/>
      <c r="F3" s="3"/>
      <c r="G3" s="3"/>
      <c r="H3" s="3"/>
      <c r="I3" s="3"/>
    </row>
    <row r="4" spans="1:15" ht="15" x14ac:dyDescent="0.2">
      <c r="A4" s="28" t="s">
        <v>13</v>
      </c>
      <c r="B4" s="206" t="str">
        <f>GradeSheet!B15</f>
        <v>Discrete Mathematics</v>
      </c>
      <c r="C4" s="206"/>
      <c r="D4" s="206"/>
      <c r="E4" s="206"/>
      <c r="F4" s="2"/>
      <c r="G4" s="3"/>
      <c r="H4" s="4"/>
      <c r="I4" s="3"/>
    </row>
    <row r="5" spans="1:15" s="1" customFormat="1" ht="15" x14ac:dyDescent="0.2">
      <c r="A5" s="28" t="s">
        <v>17</v>
      </c>
      <c r="B5" s="206" t="str">
        <f>GradeSheet!B16</f>
        <v>B.Sc. In CSE</v>
      </c>
      <c r="C5" s="206"/>
      <c r="D5" s="206"/>
      <c r="E5" s="206"/>
      <c r="F5" s="2"/>
      <c r="G5" s="3"/>
      <c r="H5" s="4"/>
      <c r="I5" s="3"/>
    </row>
    <row r="6" spans="1:15" s="1" customFormat="1" ht="15" x14ac:dyDescent="0.2">
      <c r="A6" s="28" t="s">
        <v>21</v>
      </c>
      <c r="B6" s="206" t="str">
        <f>GradeSheet!B17</f>
        <v>Md. Ashraful Islam (MAFI)</v>
      </c>
      <c r="C6" s="206"/>
      <c r="D6" s="206"/>
      <c r="E6" s="206"/>
      <c r="F6" s="2"/>
      <c r="G6" s="3"/>
      <c r="H6" s="4"/>
      <c r="I6" s="3"/>
    </row>
    <row r="7" spans="1:15" s="1" customFormat="1" ht="15" x14ac:dyDescent="0.2">
      <c r="A7" s="28" t="s">
        <v>25</v>
      </c>
      <c r="B7" s="206">
        <f>GradeSheet!B18</f>
        <v>57</v>
      </c>
      <c r="C7" s="206"/>
      <c r="D7" s="206"/>
      <c r="E7" s="206"/>
      <c r="F7" s="2"/>
      <c r="G7" s="3"/>
      <c r="H7" s="4"/>
      <c r="I7" s="3"/>
    </row>
    <row r="8" spans="1:15" s="1" customFormat="1" ht="15" x14ac:dyDescent="0.2">
      <c r="A8" s="28" t="s">
        <v>29</v>
      </c>
      <c r="B8" s="206">
        <f>GradeSheet!B19</f>
        <v>4</v>
      </c>
      <c r="C8" s="206"/>
      <c r="D8" s="206"/>
      <c r="E8" s="206"/>
      <c r="F8" s="2"/>
      <c r="G8" s="3"/>
      <c r="H8" s="4"/>
      <c r="I8" s="3"/>
    </row>
    <row r="9" spans="1:15" s="1" customFormat="1" ht="15" x14ac:dyDescent="0.2">
      <c r="A9" s="28" t="s">
        <v>33</v>
      </c>
      <c r="B9" s="206" t="s">
        <v>176</v>
      </c>
      <c r="C9" s="206"/>
      <c r="D9" s="206"/>
      <c r="E9" s="206"/>
      <c r="F9" s="2"/>
      <c r="G9" s="3"/>
      <c r="H9" s="4"/>
      <c r="I9" s="3"/>
    </row>
    <row r="10" spans="1:15" s="1" customFormat="1" x14ac:dyDescent="0.2">
      <c r="A10" s="2"/>
      <c r="B10" s="5"/>
      <c r="C10" s="5"/>
      <c r="D10" s="5"/>
      <c r="E10" s="5"/>
      <c r="F10" s="2"/>
      <c r="G10" s="3"/>
      <c r="H10" s="4"/>
      <c r="I10" s="3"/>
    </row>
    <row r="11" spans="1:15" s="1" customFormat="1" x14ac:dyDescent="0.2">
      <c r="A11" s="2"/>
      <c r="B11" s="5"/>
      <c r="C11" s="5"/>
      <c r="D11" s="5"/>
      <c r="E11" s="5"/>
      <c r="F11" s="2"/>
      <c r="G11" s="3"/>
      <c r="H11" s="4"/>
      <c r="I11" s="3"/>
    </row>
    <row r="12" spans="1:15" s="1" customFormat="1" x14ac:dyDescent="0.2">
      <c r="A12" s="2"/>
      <c r="B12" s="5"/>
      <c r="C12" s="5"/>
      <c r="D12" s="5"/>
      <c r="E12" s="5"/>
      <c r="F12" s="2"/>
      <c r="G12" s="3"/>
      <c r="H12" s="4"/>
      <c r="I12" s="3"/>
      <c r="J12" s="7"/>
      <c r="K12" s="7"/>
      <c r="L12" s="7"/>
      <c r="M12" s="7"/>
      <c r="N12" s="7"/>
      <c r="O12" s="7"/>
    </row>
    <row r="13" spans="1:15" x14ac:dyDescent="0.2">
      <c r="A13" s="204" t="s">
        <v>109</v>
      </c>
      <c r="B13" s="204"/>
      <c r="C13" s="16" t="s">
        <v>50</v>
      </c>
      <c r="D13" s="16" t="s">
        <v>51</v>
      </c>
      <c r="E13" s="16" t="s">
        <v>52</v>
      </c>
      <c r="F13" s="16" t="s">
        <v>53</v>
      </c>
      <c r="G13" s="16" t="s">
        <v>129</v>
      </c>
      <c r="H13" s="16" t="s">
        <v>130</v>
      </c>
      <c r="I13" s="3"/>
      <c r="J13" s="7"/>
      <c r="K13" s="7"/>
      <c r="L13" s="7"/>
      <c r="M13" s="7"/>
      <c r="N13" s="7"/>
      <c r="O13" s="7"/>
    </row>
    <row r="14" spans="1:15" x14ac:dyDescent="0.2">
      <c r="A14" s="204"/>
      <c r="B14" s="204"/>
      <c r="C14" s="17" t="str">
        <f>GradeSheet!AN103</f>
        <v>-</v>
      </c>
      <c r="D14" s="17" t="str">
        <f>GradeSheet!AO103</f>
        <v>-</v>
      </c>
      <c r="E14" s="17">
        <f>GradeSheet!AP103</f>
        <v>92.592592592592595</v>
      </c>
      <c r="F14" s="17" t="str">
        <f>GradeSheet!AQ103</f>
        <v>-</v>
      </c>
      <c r="G14" s="17" t="str">
        <f>GradeSheet!AR103</f>
        <v>-</v>
      </c>
      <c r="H14" s="17" t="str">
        <f>GradeSheet!AS103</f>
        <v>-</v>
      </c>
      <c r="I14" s="3"/>
      <c r="J14" s="7"/>
      <c r="K14" s="7"/>
      <c r="L14" s="7"/>
      <c r="M14" s="7"/>
      <c r="N14" s="7"/>
      <c r="O14" s="7"/>
    </row>
    <row r="15" spans="1:15" x14ac:dyDescent="0.2">
      <c r="A15" s="4"/>
      <c r="B15" s="3"/>
      <c r="C15" s="3"/>
      <c r="D15" s="3"/>
      <c r="E15" s="3"/>
      <c r="F15" s="3"/>
      <c r="G15" s="3"/>
      <c r="H15" s="3"/>
      <c r="I15" s="3"/>
      <c r="J15" s="7"/>
      <c r="K15" s="7"/>
      <c r="L15" s="7"/>
      <c r="M15" s="7"/>
      <c r="N15" s="7"/>
      <c r="O15" s="7"/>
    </row>
    <row r="16" spans="1:15" x14ac:dyDescent="0.2">
      <c r="A16" s="204" t="s">
        <v>93</v>
      </c>
      <c r="B16" s="204"/>
      <c r="C16" s="16" t="s">
        <v>56</v>
      </c>
      <c r="D16" s="16" t="s">
        <v>74</v>
      </c>
      <c r="E16" s="16" t="s">
        <v>57</v>
      </c>
      <c r="F16" s="16" t="s">
        <v>73</v>
      </c>
      <c r="G16" s="16" t="s">
        <v>84</v>
      </c>
      <c r="H16" s="16" t="s">
        <v>85</v>
      </c>
      <c r="O16" s="7"/>
    </row>
    <row r="17" spans="1:15" x14ac:dyDescent="0.2">
      <c r="A17" s="204"/>
      <c r="B17" s="204"/>
      <c r="C17" s="17" t="str">
        <f>GradeSheet!AT103</f>
        <v>-</v>
      </c>
      <c r="D17" s="17" t="str">
        <f>GradeSheet!AU103</f>
        <v>-</v>
      </c>
      <c r="E17" s="17" t="str">
        <f>GradeSheet!AV103</f>
        <v>-</v>
      </c>
      <c r="F17" s="17" t="str">
        <f>GradeSheet!AW103</f>
        <v>-</v>
      </c>
      <c r="G17" s="17" t="str">
        <f>GradeSheet!AX103</f>
        <v>-</v>
      </c>
      <c r="H17" s="17" t="str">
        <f>GradeSheet!AY103</f>
        <v>-</v>
      </c>
      <c r="O17" s="7"/>
    </row>
    <row r="18" spans="1:15" x14ac:dyDescent="0.2">
      <c r="A18" s="204"/>
      <c r="B18" s="204"/>
      <c r="C18" s="16" t="s">
        <v>86</v>
      </c>
      <c r="D18" s="16" t="s">
        <v>87</v>
      </c>
      <c r="E18" s="16" t="s">
        <v>88</v>
      </c>
      <c r="F18" s="16" t="s">
        <v>89</v>
      </c>
      <c r="G18" s="16" t="s">
        <v>90</v>
      </c>
      <c r="H18" s="16" t="s">
        <v>91</v>
      </c>
    </row>
    <row r="19" spans="1:15" x14ac:dyDescent="0.2">
      <c r="A19" s="204"/>
      <c r="B19" s="204"/>
      <c r="C19" s="17" t="str">
        <f>GradeSheet!AZ103</f>
        <v>-</v>
      </c>
      <c r="D19" s="17" t="str">
        <f>GradeSheet!BA103</f>
        <v>-</v>
      </c>
      <c r="E19" s="17" t="str">
        <f>GradeSheet!BB103</f>
        <v>-</v>
      </c>
      <c r="F19" s="17" t="str">
        <f>GradeSheet!BC103</f>
        <v>-</v>
      </c>
      <c r="G19" s="17" t="str">
        <f>GradeSheet!BD103</f>
        <v>-</v>
      </c>
      <c r="H19" s="17" t="str">
        <f>GradeSheet!BE103</f>
        <v>-</v>
      </c>
    </row>
    <row r="29" spans="1:15" ht="12.75" customHeight="1" x14ac:dyDescent="0.2"/>
    <row r="48" spans="8:9" x14ac:dyDescent="0.2">
      <c r="H48" s="5"/>
      <c r="I48" s="5"/>
    </row>
    <row r="49" spans="1:9" x14ac:dyDescent="0.2">
      <c r="H49" s="3"/>
      <c r="I49" s="3"/>
    </row>
    <row r="50" spans="1:9" x14ac:dyDescent="0.2">
      <c r="H50" s="3"/>
      <c r="I50" s="3"/>
    </row>
    <row r="51" spans="1:9" x14ac:dyDescent="0.2">
      <c r="H51" s="3"/>
      <c r="I51" s="3"/>
    </row>
    <row r="52" spans="1:9" x14ac:dyDescent="0.2">
      <c r="H52" s="3"/>
      <c r="I52" s="3"/>
    </row>
    <row r="53" spans="1:9" x14ac:dyDescent="0.2">
      <c r="H53" s="3"/>
      <c r="I53" s="3"/>
    </row>
    <row r="54" spans="1:9" x14ac:dyDescent="0.2">
      <c r="H54" s="5"/>
      <c r="I54" s="5"/>
    </row>
    <row r="55" spans="1:9" ht="14.25" customHeight="1" x14ac:dyDescent="0.2">
      <c r="A55" s="200" t="s">
        <v>99</v>
      </c>
      <c r="B55" s="201" t="s">
        <v>94</v>
      </c>
      <c r="C55" s="201"/>
      <c r="D55" s="201"/>
      <c r="E55" s="201"/>
      <c r="F55" s="201"/>
      <c r="G55" s="201"/>
      <c r="H55" s="3"/>
      <c r="I55" s="3"/>
    </row>
    <row r="56" spans="1:9" x14ac:dyDescent="0.2">
      <c r="A56" s="200"/>
      <c r="B56" s="202" t="s">
        <v>124</v>
      </c>
      <c r="C56" s="203"/>
      <c r="D56" s="203"/>
      <c r="E56" s="203"/>
      <c r="F56" s="203"/>
      <c r="G56" s="203"/>
      <c r="H56" s="3"/>
      <c r="I56" s="3"/>
    </row>
    <row r="57" spans="1:9" x14ac:dyDescent="0.2">
      <c r="A57" s="200"/>
      <c r="B57" s="203"/>
      <c r="C57" s="203"/>
      <c r="D57" s="203"/>
      <c r="E57" s="203"/>
      <c r="F57" s="203"/>
      <c r="G57" s="203"/>
      <c r="H57" s="3"/>
      <c r="I57" s="3"/>
    </row>
    <row r="58" spans="1:9" x14ac:dyDescent="0.2">
      <c r="A58" s="200"/>
      <c r="B58" s="203"/>
      <c r="C58" s="203"/>
      <c r="D58" s="203"/>
      <c r="E58" s="203"/>
      <c r="F58" s="203"/>
      <c r="G58" s="203"/>
      <c r="H58" s="3"/>
      <c r="I58" s="3"/>
    </row>
    <row r="59" spans="1:9" x14ac:dyDescent="0.2">
      <c r="A59" s="200"/>
      <c r="B59" s="203"/>
      <c r="C59" s="203"/>
      <c r="D59" s="203"/>
      <c r="E59" s="203"/>
      <c r="F59" s="203"/>
      <c r="G59" s="203"/>
      <c r="H59" s="3"/>
      <c r="I59" s="3"/>
    </row>
    <row r="60" spans="1:9" x14ac:dyDescent="0.2">
      <c r="A60" s="12"/>
      <c r="B60" s="12"/>
      <c r="C60" s="12"/>
      <c r="D60" s="12"/>
      <c r="E60" s="12"/>
      <c r="F60" s="12"/>
      <c r="G60" s="12"/>
      <c r="H60" s="3"/>
      <c r="I60" s="3"/>
    </row>
    <row r="61" spans="1:9" ht="14.25" customHeight="1" x14ac:dyDescent="0.2">
      <c r="A61" s="200" t="s">
        <v>100</v>
      </c>
      <c r="B61" s="201" t="s">
        <v>95</v>
      </c>
      <c r="C61" s="201"/>
      <c r="D61" s="201"/>
      <c r="E61" s="201"/>
      <c r="F61" s="201"/>
      <c r="G61" s="201"/>
      <c r="H61" s="3"/>
      <c r="I61" s="3"/>
    </row>
    <row r="62" spans="1:9" x14ac:dyDescent="0.2">
      <c r="A62" s="200"/>
      <c r="B62" s="202" t="s">
        <v>110</v>
      </c>
      <c r="C62" s="203"/>
      <c r="D62" s="203"/>
      <c r="E62" s="203"/>
      <c r="F62" s="203"/>
      <c r="G62" s="203"/>
      <c r="H62" s="3"/>
      <c r="I62" s="3"/>
    </row>
    <row r="63" spans="1:9" x14ac:dyDescent="0.2">
      <c r="A63" s="200"/>
      <c r="B63" s="203"/>
      <c r="C63" s="203"/>
      <c r="D63" s="203"/>
      <c r="E63" s="203"/>
      <c r="F63" s="203"/>
      <c r="G63" s="203"/>
      <c r="H63" s="3"/>
      <c r="I63" s="3"/>
    </row>
    <row r="64" spans="1:9" x14ac:dyDescent="0.2">
      <c r="A64" s="200"/>
      <c r="B64" s="203"/>
      <c r="C64" s="203"/>
      <c r="D64" s="203"/>
      <c r="E64" s="203"/>
      <c r="F64" s="203"/>
      <c r="G64" s="203"/>
      <c r="H64" s="3"/>
      <c r="I64" s="3"/>
    </row>
    <row r="65" spans="1:9" x14ac:dyDescent="0.2">
      <c r="A65" s="200"/>
      <c r="B65" s="203"/>
      <c r="C65" s="203"/>
      <c r="D65" s="203"/>
      <c r="E65" s="203"/>
      <c r="F65" s="203"/>
      <c r="G65" s="203"/>
      <c r="H65" s="3"/>
      <c r="I65" s="3"/>
    </row>
    <row r="66" spans="1:9" x14ac:dyDescent="0.2">
      <c r="A66" s="12"/>
      <c r="B66" s="14"/>
      <c r="C66" s="14"/>
      <c r="D66" s="14"/>
      <c r="E66" s="14"/>
      <c r="F66" s="14"/>
      <c r="G66" s="14"/>
      <c r="H66" s="3"/>
      <c r="I66" s="3"/>
    </row>
    <row r="67" spans="1:9" ht="25.5" customHeight="1" x14ac:dyDescent="0.2">
      <c r="A67" s="199" t="s">
        <v>105</v>
      </c>
      <c r="B67" s="198"/>
      <c r="C67" s="198"/>
      <c r="D67" s="198"/>
      <c r="E67" s="198"/>
      <c r="F67" s="198"/>
      <c r="G67" s="198"/>
    </row>
    <row r="68" spans="1:9" x14ac:dyDescent="0.2">
      <c r="A68" s="199"/>
      <c r="B68" s="198"/>
      <c r="C68" s="198"/>
      <c r="D68" s="198"/>
      <c r="E68" s="198"/>
      <c r="F68" s="198"/>
      <c r="G68" s="198"/>
    </row>
    <row r="69" spans="1:9" x14ac:dyDescent="0.2">
      <c r="A69" s="199"/>
      <c r="B69" s="198"/>
      <c r="C69" s="198"/>
      <c r="D69" s="198"/>
      <c r="E69" s="198"/>
      <c r="F69" s="198"/>
      <c r="G69" s="198"/>
    </row>
    <row r="70" spans="1:9" x14ac:dyDescent="0.2">
      <c r="A70" s="199"/>
      <c r="B70" s="198"/>
      <c r="C70" s="198"/>
      <c r="D70" s="198"/>
      <c r="E70" s="198"/>
      <c r="F70" s="198"/>
      <c r="G70" s="198"/>
    </row>
    <row r="71" spans="1:9" x14ac:dyDescent="0.2">
      <c r="A71" s="12"/>
      <c r="B71" s="15"/>
      <c r="C71" s="15"/>
      <c r="D71" s="15"/>
      <c r="E71" s="15"/>
      <c r="F71" s="15"/>
      <c r="G71" s="15"/>
    </row>
    <row r="72" spans="1:9" x14ac:dyDescent="0.2">
      <c r="A72" s="12"/>
      <c r="B72" s="20"/>
      <c r="C72" s="20"/>
      <c r="D72" s="20"/>
      <c r="E72" s="20"/>
      <c r="F72" s="12"/>
      <c r="G72" s="3"/>
    </row>
    <row r="73" spans="1:9" x14ac:dyDescent="0.2">
      <c r="A73" s="12"/>
      <c r="E73" s="20"/>
      <c r="F73" s="12"/>
      <c r="G73" s="3"/>
    </row>
    <row r="74" spans="1:9" ht="13.5" thickBot="1" x14ac:dyDescent="0.25"/>
    <row r="75" spans="1:9" x14ac:dyDescent="0.2">
      <c r="B75" s="197" t="s">
        <v>96</v>
      </c>
      <c r="C75" s="197"/>
      <c r="D75" s="197"/>
    </row>
  </sheetData>
  <mergeCells count="20">
    <mergeCell ref="A16:B19"/>
    <mergeCell ref="A1:E1"/>
    <mergeCell ref="B5:E5"/>
    <mergeCell ref="B6:E6"/>
    <mergeCell ref="B7:E7"/>
    <mergeCell ref="B4:E4"/>
    <mergeCell ref="A13:B14"/>
    <mergeCell ref="B8:E8"/>
    <mergeCell ref="B9:E9"/>
    <mergeCell ref="B2:E2"/>
    <mergeCell ref="B3:E3"/>
    <mergeCell ref="B75:D75"/>
    <mergeCell ref="B67:G70"/>
    <mergeCell ref="A67:A70"/>
    <mergeCell ref="A55:A59"/>
    <mergeCell ref="B55:G55"/>
    <mergeCell ref="B61:G61"/>
    <mergeCell ref="A61:A65"/>
    <mergeCell ref="B56:G59"/>
    <mergeCell ref="B62:G6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"/>
  <sheetViews>
    <sheetView workbookViewId="0">
      <selection activeCell="AC6" sqref="AC6"/>
    </sheetView>
  </sheetViews>
  <sheetFormatPr defaultColWidth="9.140625" defaultRowHeight="12.75" x14ac:dyDescent="0.2"/>
  <cols>
    <col min="1" max="1" width="5.7109375" style="8" customWidth="1"/>
    <col min="2" max="2" width="36.140625" style="10" customWidth="1"/>
    <col min="3" max="3" width="6.85546875" style="25" customWidth="1"/>
    <col min="4" max="4" width="6" style="10" customWidth="1"/>
    <col min="5" max="5" width="6" style="25" customWidth="1"/>
    <col min="6" max="6" width="6.42578125" style="10" customWidth="1"/>
    <col min="7" max="7" width="6.140625" style="25" customWidth="1"/>
    <col min="8" max="8" width="6.140625" style="10" customWidth="1"/>
    <col min="9" max="9" width="6.7109375" style="25" customWidth="1"/>
    <col min="10" max="10" width="7" style="10" customWidth="1"/>
    <col min="11" max="11" width="6.7109375" style="25" customWidth="1"/>
    <col min="12" max="12" width="7.28515625" style="10" customWidth="1"/>
    <col min="13" max="13" width="7.42578125" style="25" customWidth="1"/>
    <col min="14" max="14" width="7.28515625" style="10" customWidth="1"/>
    <col min="15" max="15" width="7.28515625" style="10" hidden="1" customWidth="1"/>
    <col min="16" max="26" width="6.7109375" style="10" hidden="1" customWidth="1"/>
    <col min="27" max="16384" width="9.140625" style="10"/>
  </cols>
  <sheetData>
    <row r="1" spans="1:26" s="8" customFormat="1" ht="28.5" customHeight="1" x14ac:dyDescent="0.2">
      <c r="A1" s="18" t="s">
        <v>106</v>
      </c>
      <c r="B1" s="19" t="s">
        <v>98</v>
      </c>
      <c r="C1" s="22" t="s">
        <v>56</v>
      </c>
      <c r="D1" s="19" t="s">
        <v>74</v>
      </c>
      <c r="E1" s="22" t="s">
        <v>57</v>
      </c>
      <c r="F1" s="19" t="s">
        <v>73</v>
      </c>
      <c r="G1" s="22" t="s">
        <v>84</v>
      </c>
      <c r="H1" s="19" t="s">
        <v>85</v>
      </c>
      <c r="I1" s="22" t="s">
        <v>86</v>
      </c>
      <c r="J1" s="19" t="s">
        <v>87</v>
      </c>
      <c r="K1" s="22" t="s">
        <v>88</v>
      </c>
      <c r="L1" s="19" t="s">
        <v>89</v>
      </c>
      <c r="M1" s="22" t="s">
        <v>90</v>
      </c>
      <c r="N1" s="19" t="s">
        <v>91</v>
      </c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48" customHeight="1" x14ac:dyDescent="0.2">
      <c r="A2" s="19" t="s">
        <v>50</v>
      </c>
      <c r="B2" s="9"/>
      <c r="C2" s="23"/>
      <c r="D2" s="9"/>
      <c r="E2" s="24"/>
      <c r="F2" s="9"/>
      <c r="G2" s="24"/>
      <c r="H2" s="9"/>
      <c r="I2" s="24"/>
      <c r="J2" s="9"/>
      <c r="K2" s="24"/>
      <c r="L2" s="9"/>
      <c r="M2" s="24"/>
      <c r="N2" s="9"/>
      <c r="O2" s="11" t="b">
        <v>1</v>
      </c>
      <c r="P2" s="11" t="b">
        <v>0</v>
      </c>
      <c r="Q2" s="11" t="b">
        <v>0</v>
      </c>
      <c r="R2" s="11" t="b">
        <v>0</v>
      </c>
      <c r="S2" s="11" t="b">
        <v>0</v>
      </c>
      <c r="T2" s="11" t="b">
        <v>0</v>
      </c>
      <c r="U2" s="11" t="b">
        <v>0</v>
      </c>
      <c r="V2" s="11" t="b">
        <v>0</v>
      </c>
      <c r="W2" s="11" t="b">
        <v>0</v>
      </c>
      <c r="X2" s="11" t="b">
        <v>0</v>
      </c>
      <c r="Y2" s="11" t="b">
        <v>0</v>
      </c>
      <c r="Z2" s="11" t="b">
        <v>0</v>
      </c>
    </row>
    <row r="3" spans="1:26" ht="49.5" customHeight="1" x14ac:dyDescent="0.2">
      <c r="A3" s="19" t="s">
        <v>51</v>
      </c>
      <c r="B3" s="9"/>
      <c r="C3" s="24"/>
      <c r="D3" s="9"/>
      <c r="E3" s="24"/>
      <c r="F3" s="9"/>
      <c r="G3" s="24"/>
      <c r="H3" s="9"/>
      <c r="I3" s="24"/>
      <c r="J3" s="9"/>
      <c r="K3" s="24"/>
      <c r="L3" s="9"/>
      <c r="M3" s="24"/>
      <c r="N3" s="9"/>
      <c r="O3" s="11" t="b">
        <v>0</v>
      </c>
      <c r="P3" s="11" t="b">
        <v>1</v>
      </c>
      <c r="Q3" s="11" t="b">
        <v>0</v>
      </c>
      <c r="R3" s="11" t="b">
        <v>0</v>
      </c>
      <c r="S3" s="11" t="b">
        <v>0</v>
      </c>
      <c r="T3" s="11" t="b">
        <v>0</v>
      </c>
      <c r="U3" s="11" t="b">
        <v>0</v>
      </c>
      <c r="V3" s="11" t="b">
        <v>0</v>
      </c>
      <c r="W3" s="11" t="b">
        <v>0</v>
      </c>
      <c r="X3" s="11" t="b">
        <v>0</v>
      </c>
      <c r="Y3" s="11" t="b">
        <v>0</v>
      </c>
      <c r="Z3" s="11" t="b">
        <v>0</v>
      </c>
    </row>
    <row r="4" spans="1:26" ht="52.5" customHeight="1" x14ac:dyDescent="0.2">
      <c r="A4" s="19" t="s">
        <v>52</v>
      </c>
      <c r="B4" s="9"/>
      <c r="C4" s="24"/>
      <c r="D4" s="9"/>
      <c r="E4" s="24"/>
      <c r="F4" s="9"/>
      <c r="G4" s="24"/>
      <c r="H4" s="9"/>
      <c r="I4" s="24"/>
      <c r="J4" s="9"/>
      <c r="K4" s="24"/>
      <c r="L4" s="9"/>
      <c r="M4" s="24"/>
      <c r="N4" s="9"/>
      <c r="O4" s="11" t="b">
        <v>1</v>
      </c>
      <c r="P4" s="11" t="b">
        <v>0</v>
      </c>
      <c r="Q4" s="11" t="b">
        <v>0</v>
      </c>
      <c r="R4" s="11" t="b">
        <v>0</v>
      </c>
      <c r="S4" s="11" t="b">
        <v>0</v>
      </c>
      <c r="T4" s="11" t="b">
        <v>0</v>
      </c>
      <c r="U4" s="11" t="b">
        <v>0</v>
      </c>
      <c r="V4" s="11" t="b">
        <v>0</v>
      </c>
      <c r="W4" s="11" t="b">
        <v>0</v>
      </c>
      <c r="X4" s="11" t="b">
        <v>0</v>
      </c>
      <c r="Y4" s="11" t="b">
        <v>0</v>
      </c>
      <c r="Z4" s="11" t="b">
        <v>0</v>
      </c>
    </row>
    <row r="5" spans="1:26" ht="51" customHeight="1" x14ac:dyDescent="0.2">
      <c r="A5" s="19" t="s">
        <v>53</v>
      </c>
      <c r="B5" s="9"/>
      <c r="C5" s="24"/>
      <c r="D5" s="9"/>
      <c r="E5" s="24"/>
      <c r="F5" s="9"/>
      <c r="G5" s="24"/>
      <c r="H5" s="9"/>
      <c r="I5" s="24"/>
      <c r="J5" s="9"/>
      <c r="K5" s="24"/>
      <c r="L5" s="9"/>
      <c r="M5" s="24"/>
      <c r="N5" s="9"/>
      <c r="O5" s="11" t="b">
        <v>0</v>
      </c>
      <c r="P5" s="11" t="b">
        <v>0</v>
      </c>
      <c r="Q5" s="11" t="b">
        <v>0</v>
      </c>
      <c r="R5" s="11" t="b">
        <v>0</v>
      </c>
      <c r="S5" s="11" t="b">
        <v>0</v>
      </c>
      <c r="T5" s="11" t="b">
        <v>0</v>
      </c>
      <c r="U5" s="11" t="b">
        <v>0</v>
      </c>
      <c r="V5" s="11" t="b">
        <v>0</v>
      </c>
      <c r="W5" s="11" t="b">
        <v>0</v>
      </c>
      <c r="X5" s="11" t="b">
        <v>0</v>
      </c>
      <c r="Y5" s="11" t="b">
        <v>0</v>
      </c>
      <c r="Z5" s="11" t="b">
        <v>0</v>
      </c>
    </row>
    <row r="6" spans="1:26" ht="49.5" customHeight="1" x14ac:dyDescent="0.2">
      <c r="A6" s="19" t="s">
        <v>129</v>
      </c>
      <c r="C6" s="24"/>
      <c r="D6" s="9"/>
      <c r="E6" s="24"/>
      <c r="F6" s="9"/>
      <c r="G6" s="24"/>
      <c r="H6" s="9"/>
      <c r="I6" s="24"/>
      <c r="J6" s="9"/>
      <c r="K6" s="24"/>
      <c r="L6" s="9"/>
      <c r="M6" s="24"/>
      <c r="N6" s="9"/>
      <c r="O6" s="11" t="b">
        <v>0</v>
      </c>
      <c r="P6" s="11" t="b">
        <v>0</v>
      </c>
      <c r="Q6" s="11" t="b">
        <v>0</v>
      </c>
      <c r="R6" s="11" t="b">
        <v>0</v>
      </c>
      <c r="S6" s="11" t="b">
        <v>0</v>
      </c>
      <c r="T6" s="11" t="b">
        <v>0</v>
      </c>
      <c r="U6" s="11" t="b">
        <v>0</v>
      </c>
      <c r="V6" s="11" t="b">
        <v>0</v>
      </c>
      <c r="W6" s="11" t="b">
        <v>0</v>
      </c>
      <c r="X6" s="11" t="b">
        <v>0</v>
      </c>
      <c r="Y6" s="11" t="b">
        <v>0</v>
      </c>
      <c r="Z6" s="11" t="b">
        <v>0</v>
      </c>
    </row>
    <row r="7" spans="1:26" ht="50.25" customHeight="1" x14ac:dyDescent="0.2">
      <c r="A7" s="19" t="s">
        <v>130</v>
      </c>
      <c r="C7" s="24"/>
      <c r="D7" s="9"/>
      <c r="E7" s="24"/>
      <c r="F7" s="9"/>
      <c r="G7" s="24"/>
      <c r="H7" s="9"/>
      <c r="I7" s="24"/>
      <c r="J7" s="9"/>
      <c r="K7" s="24"/>
      <c r="L7" s="9"/>
      <c r="M7" s="24"/>
      <c r="N7" s="21"/>
      <c r="O7" s="11" t="b">
        <v>0</v>
      </c>
      <c r="P7" s="11" t="b">
        <v>0</v>
      </c>
      <c r="Q7" s="11" t="b">
        <v>0</v>
      </c>
      <c r="R7" s="11" t="b">
        <v>0</v>
      </c>
      <c r="S7" s="11" t="b">
        <v>0</v>
      </c>
      <c r="T7" s="11" t="b">
        <v>0</v>
      </c>
      <c r="U7" s="11" t="b">
        <v>0</v>
      </c>
      <c r="V7" s="11" t="b">
        <v>0</v>
      </c>
      <c r="W7" s="11" t="b">
        <v>0</v>
      </c>
      <c r="X7" s="11" t="b">
        <v>0</v>
      </c>
      <c r="Y7" s="11" t="b">
        <v>0</v>
      </c>
      <c r="Z7" s="11" t="b">
        <v>0</v>
      </c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217" r:id="rId4" name="cmd_pubSheet">
          <controlPr defaultSize="0" autoLine="0" autoPict="0" r:id="rId5">
            <anchor moveWithCells="1">
              <from>
                <xdr:col>26</xdr:col>
                <xdr:colOff>9525</xdr:colOff>
                <xdr:row>13</xdr:row>
                <xdr:rowOff>19050</xdr:rowOff>
              </from>
              <to>
                <xdr:col>27</xdr:col>
                <xdr:colOff>609600</xdr:colOff>
                <xdr:row>15</xdr:row>
                <xdr:rowOff>9525</xdr:rowOff>
              </to>
            </anchor>
          </controlPr>
        </control>
      </mc:Choice>
      <mc:Fallback>
        <control shapeId="3217" r:id="rId4" name="cmd_pubSheet"/>
      </mc:Fallback>
    </mc:AlternateContent>
    <mc:AlternateContent xmlns:mc="http://schemas.openxmlformats.org/markup-compatibility/2006">
      <mc:Choice Requires="x14">
        <control shapeId="3073" r:id="rId6" name="Check Box 1">
          <controlPr defaultSize="0" autoFill="0" autoLine="0" autoPict="0" macro="[0]!CheckBox1_Click" altText="PO1">
            <anchor moveWithCells="1">
              <from>
                <xdr:col>2</xdr:col>
                <xdr:colOff>123825</xdr:colOff>
                <xdr:row>1</xdr:row>
                <xdr:rowOff>152400</xdr:rowOff>
              </from>
              <to>
                <xdr:col>3</xdr:col>
                <xdr:colOff>19050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Check Box 2">
          <controlPr defaultSize="0" autoFill="0" autoLine="0" autoPict="0" macro="[0]!CheckBox2_Click" altText="PO2">
            <anchor moveWithCells="1">
              <from>
                <xdr:col>3</xdr:col>
                <xdr:colOff>123825</xdr:colOff>
                <xdr:row>1</xdr:row>
                <xdr:rowOff>152400</xdr:rowOff>
              </from>
              <to>
                <xdr:col>4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8" name="Check Box 3">
          <controlPr defaultSize="0" autoFill="0" autoLine="0" autoPict="0" altText="PO3">
            <anchor moveWithCells="1">
              <from>
                <xdr:col>4</xdr:col>
                <xdr:colOff>123825</xdr:colOff>
                <xdr:row>1</xdr:row>
                <xdr:rowOff>152400</xdr:rowOff>
              </from>
              <to>
                <xdr:col>5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Check Box 4">
          <controlPr defaultSize="0" autoFill="0" autoLine="0" autoPict="0" altText="PO1">
            <anchor moveWithCells="1">
              <from>
                <xdr:col>5</xdr:col>
                <xdr:colOff>123825</xdr:colOff>
                <xdr:row>1</xdr:row>
                <xdr:rowOff>152400</xdr:rowOff>
              </from>
              <to>
                <xdr:col>6</xdr:col>
                <xdr:colOff>47625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10" name="Check Box 5">
          <controlPr defaultSize="0" autoFill="0" autoLine="0" autoPict="0" altText="PO1">
            <anchor moveWithCells="1">
              <from>
                <xdr:col>6</xdr:col>
                <xdr:colOff>123825</xdr:colOff>
                <xdr:row>1</xdr:row>
                <xdr:rowOff>152400</xdr:rowOff>
              </from>
              <to>
                <xdr:col>7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1" name="Check Box 6">
          <controlPr defaultSize="0" autoFill="0" autoLine="0" autoPict="0" altText="PO1">
            <anchor moveWithCells="1">
              <from>
                <xdr:col>7</xdr:col>
                <xdr:colOff>123825</xdr:colOff>
                <xdr:row>1</xdr:row>
                <xdr:rowOff>152400</xdr:rowOff>
              </from>
              <to>
                <xdr:col>8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2" name="Check Box 7">
          <controlPr defaultSize="0" autoFill="0" autoLine="0" autoPict="0" altText="PO1">
            <anchor moveWithCells="1">
              <from>
                <xdr:col>8</xdr:col>
                <xdr:colOff>123825</xdr:colOff>
                <xdr:row>1</xdr:row>
                <xdr:rowOff>152400</xdr:rowOff>
              </from>
              <to>
                <xdr:col>9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3" name="Check Box 8">
          <controlPr defaultSize="0" autoFill="0" autoLine="0" autoPict="0" altText="PO1">
            <anchor moveWithCells="1">
              <from>
                <xdr:col>9</xdr:col>
                <xdr:colOff>142875</xdr:colOff>
                <xdr:row>1</xdr:row>
                <xdr:rowOff>152400</xdr:rowOff>
              </from>
              <to>
                <xdr:col>10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4" name="Check Box 9">
          <controlPr defaultSize="0" autoFill="0" autoLine="0" autoPict="0" altText="PO1">
            <anchor moveWithCells="1">
              <from>
                <xdr:col>10</xdr:col>
                <xdr:colOff>123825</xdr:colOff>
                <xdr:row>1</xdr:row>
                <xdr:rowOff>152400</xdr:rowOff>
              </from>
              <to>
                <xdr:col>11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5" name="Check Box 10">
          <controlPr defaultSize="0" autoFill="0" autoLine="0" autoPict="0" altText="PO1">
            <anchor moveWithCells="1">
              <from>
                <xdr:col>11</xdr:col>
                <xdr:colOff>133350</xdr:colOff>
                <xdr:row>1</xdr:row>
                <xdr:rowOff>152400</xdr:rowOff>
              </from>
              <to>
                <xdr:col>11</xdr:col>
                <xdr:colOff>495300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6" name="Check Box 11">
          <controlPr defaultSize="0" autoFill="0" autoLine="0" autoPict="0" altText="PO1">
            <anchor moveWithCells="1">
              <from>
                <xdr:col>12</xdr:col>
                <xdr:colOff>152400</xdr:colOff>
                <xdr:row>1</xdr:row>
                <xdr:rowOff>152400</xdr:rowOff>
              </from>
              <to>
                <xdr:col>13</xdr:col>
                <xdr:colOff>9525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7" name="Check Box 12">
          <controlPr defaultSize="0" autoFill="0" autoLine="0" autoPict="0" altText="PO1">
            <anchor moveWithCells="1">
              <from>
                <xdr:col>13</xdr:col>
                <xdr:colOff>114300</xdr:colOff>
                <xdr:row>1</xdr:row>
                <xdr:rowOff>152400</xdr:rowOff>
              </from>
              <to>
                <xdr:col>13</xdr:col>
                <xdr:colOff>476250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8" name="Check Box 13">
          <controlPr defaultSize="0" autoFill="0" autoLine="0" autoPict="0" altText="PO1">
            <anchor moveWithCells="1">
              <from>
                <xdr:col>2</xdr:col>
                <xdr:colOff>123825</xdr:colOff>
                <xdr:row>2</xdr:row>
                <xdr:rowOff>190500</xdr:rowOff>
              </from>
              <to>
                <xdr:col>3</xdr:col>
                <xdr:colOff>19050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9" name="Check Box 14">
          <controlPr defaultSize="0" autoFill="0" autoLine="0" autoPict="0" altText="PO2">
            <anchor moveWithCells="1">
              <from>
                <xdr:col>3</xdr:col>
                <xdr:colOff>123825</xdr:colOff>
                <xdr:row>2</xdr:row>
                <xdr:rowOff>190500</xdr:rowOff>
              </from>
              <to>
                <xdr:col>4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0" name="Check Box 15">
          <controlPr defaultSize="0" autoFill="0" autoLine="0" autoPict="0" altText="PO3">
            <anchor moveWithCells="1">
              <from>
                <xdr:col>4</xdr:col>
                <xdr:colOff>123825</xdr:colOff>
                <xdr:row>2</xdr:row>
                <xdr:rowOff>190500</xdr:rowOff>
              </from>
              <to>
                <xdr:col>5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21" name="Check Box 16">
          <controlPr defaultSize="0" autoFill="0" autoLine="0" autoPict="0" altText="PO1">
            <anchor moveWithCells="1">
              <from>
                <xdr:col>5</xdr:col>
                <xdr:colOff>123825</xdr:colOff>
                <xdr:row>2</xdr:row>
                <xdr:rowOff>190500</xdr:rowOff>
              </from>
              <to>
                <xdr:col>6</xdr:col>
                <xdr:colOff>47625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22" name="Check Box 17">
          <controlPr defaultSize="0" autoFill="0" autoLine="0" autoPict="0" altText="PO1">
            <anchor moveWithCells="1">
              <from>
                <xdr:col>6</xdr:col>
                <xdr:colOff>123825</xdr:colOff>
                <xdr:row>2</xdr:row>
                <xdr:rowOff>190500</xdr:rowOff>
              </from>
              <to>
                <xdr:col>7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23" name="Check Box 18">
          <controlPr defaultSize="0" autoFill="0" autoLine="0" autoPict="0" altText="PO1">
            <anchor moveWithCells="1">
              <from>
                <xdr:col>7</xdr:col>
                <xdr:colOff>123825</xdr:colOff>
                <xdr:row>2</xdr:row>
                <xdr:rowOff>190500</xdr:rowOff>
              </from>
              <to>
                <xdr:col>8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24" name="Check Box 19">
          <controlPr defaultSize="0" autoFill="0" autoLine="0" autoPict="0" altText="PO1">
            <anchor moveWithCells="1">
              <from>
                <xdr:col>8</xdr:col>
                <xdr:colOff>123825</xdr:colOff>
                <xdr:row>2</xdr:row>
                <xdr:rowOff>190500</xdr:rowOff>
              </from>
              <to>
                <xdr:col>9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5" name="Check Box 20">
          <controlPr defaultSize="0" autoFill="0" autoLine="0" autoPict="0" altText="PO1">
            <anchor moveWithCells="1">
              <from>
                <xdr:col>9</xdr:col>
                <xdr:colOff>123825</xdr:colOff>
                <xdr:row>2</xdr:row>
                <xdr:rowOff>190500</xdr:rowOff>
              </from>
              <to>
                <xdr:col>10</xdr:col>
                <xdr:colOff>9525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6" name="Check Box 21">
          <controlPr defaultSize="0" autoFill="0" autoLine="0" autoPict="0" altText="PO1">
            <anchor moveWithCells="1">
              <from>
                <xdr:col>10</xdr:col>
                <xdr:colOff>123825</xdr:colOff>
                <xdr:row>2</xdr:row>
                <xdr:rowOff>190500</xdr:rowOff>
              </from>
              <to>
                <xdr:col>11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7" name="Check Box 22">
          <controlPr defaultSize="0" autoFill="0" autoLine="0" autoPict="0" altText="PO1">
            <anchor moveWithCells="1">
              <from>
                <xdr:col>11</xdr:col>
                <xdr:colOff>123825</xdr:colOff>
                <xdr:row>2</xdr:row>
                <xdr:rowOff>190500</xdr:rowOff>
              </from>
              <to>
                <xdr:col>11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8" name="Check Box 23">
          <controlPr defaultSize="0" autoFill="0" autoLine="0" autoPict="0" altText="PO1">
            <anchor moveWithCells="1">
              <from>
                <xdr:col>12</xdr:col>
                <xdr:colOff>123825</xdr:colOff>
                <xdr:row>2</xdr:row>
                <xdr:rowOff>190500</xdr:rowOff>
              </from>
              <to>
                <xdr:col>12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29" name="Check Box 24">
          <controlPr defaultSize="0" autoFill="0" autoLine="0" autoPict="0" altText="PO1">
            <anchor moveWithCells="1">
              <from>
                <xdr:col>13</xdr:col>
                <xdr:colOff>123825</xdr:colOff>
                <xdr:row>2</xdr:row>
                <xdr:rowOff>190500</xdr:rowOff>
              </from>
              <to>
                <xdr:col>13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30" name="Check Box 25">
          <controlPr defaultSize="0" autoFill="0" autoLine="0" autoPict="0" altText="PO1">
            <anchor moveWithCells="1">
              <from>
                <xdr:col>2</xdr:col>
                <xdr:colOff>123825</xdr:colOff>
                <xdr:row>3</xdr:row>
                <xdr:rowOff>200025</xdr:rowOff>
              </from>
              <to>
                <xdr:col>3</xdr:col>
                <xdr:colOff>19050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1" name="Check Box 26">
          <controlPr defaultSize="0" autoFill="0" autoLine="0" autoPict="0" altText="PO2">
            <anchor moveWithCells="1">
              <from>
                <xdr:col>3</xdr:col>
                <xdr:colOff>123825</xdr:colOff>
                <xdr:row>3</xdr:row>
                <xdr:rowOff>200025</xdr:rowOff>
              </from>
              <to>
                <xdr:col>4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32" name="Check Box 27">
          <controlPr defaultSize="0" autoFill="0" autoLine="0" autoPict="0" macro="[0]!CheckBox27_Click" altText="PO3">
            <anchor moveWithCells="1">
              <from>
                <xdr:col>4</xdr:col>
                <xdr:colOff>123825</xdr:colOff>
                <xdr:row>3</xdr:row>
                <xdr:rowOff>200025</xdr:rowOff>
              </from>
              <to>
                <xdr:col>5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33" name="Check Box 28">
          <controlPr defaultSize="0" autoFill="0" autoLine="0" autoPict="0" altText="PO1">
            <anchor moveWithCells="1">
              <from>
                <xdr:col>5</xdr:col>
                <xdr:colOff>123825</xdr:colOff>
                <xdr:row>3</xdr:row>
                <xdr:rowOff>200025</xdr:rowOff>
              </from>
              <to>
                <xdr:col>6</xdr:col>
                <xdr:colOff>47625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34" name="Check Box 29">
          <controlPr defaultSize="0" autoFill="0" autoLine="0" autoPict="0" altText="PO1">
            <anchor moveWithCells="1">
              <from>
                <xdr:col>6</xdr:col>
                <xdr:colOff>123825</xdr:colOff>
                <xdr:row>3</xdr:row>
                <xdr:rowOff>200025</xdr:rowOff>
              </from>
              <to>
                <xdr:col>7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35" name="Check Box 30">
          <controlPr defaultSize="0" autoFill="0" autoLine="0" autoPict="0" altText="PO1">
            <anchor moveWithCells="1">
              <from>
                <xdr:col>7</xdr:col>
                <xdr:colOff>123825</xdr:colOff>
                <xdr:row>3</xdr:row>
                <xdr:rowOff>200025</xdr:rowOff>
              </from>
              <to>
                <xdr:col>8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36" name="Check Box 31">
          <controlPr defaultSize="0" autoFill="0" autoLine="0" autoPict="0" altText="PO1">
            <anchor moveWithCells="1">
              <from>
                <xdr:col>8</xdr:col>
                <xdr:colOff>123825</xdr:colOff>
                <xdr:row>3</xdr:row>
                <xdr:rowOff>200025</xdr:rowOff>
              </from>
              <to>
                <xdr:col>9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37" name="Check Box 32">
          <controlPr defaultSize="0" autoFill="0" autoLine="0" autoPict="0" altText="PO1">
            <anchor moveWithCells="1">
              <from>
                <xdr:col>9</xdr:col>
                <xdr:colOff>123825</xdr:colOff>
                <xdr:row>3</xdr:row>
                <xdr:rowOff>200025</xdr:rowOff>
              </from>
              <to>
                <xdr:col>10</xdr:col>
                <xdr:colOff>9525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38" name="Check Box 33">
          <controlPr defaultSize="0" autoFill="0" autoLine="0" autoPict="0" altText="PO1">
            <anchor moveWithCells="1">
              <from>
                <xdr:col>10</xdr:col>
                <xdr:colOff>123825</xdr:colOff>
                <xdr:row>3</xdr:row>
                <xdr:rowOff>200025</xdr:rowOff>
              </from>
              <to>
                <xdr:col>11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39" name="Check Box 34">
          <controlPr defaultSize="0" autoFill="0" autoLine="0" autoPict="0" altText="PO1">
            <anchor moveWithCells="1">
              <from>
                <xdr:col>11</xdr:col>
                <xdr:colOff>123825</xdr:colOff>
                <xdr:row>3</xdr:row>
                <xdr:rowOff>200025</xdr:rowOff>
              </from>
              <to>
                <xdr:col>11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40" name="Check Box 35">
          <controlPr defaultSize="0" autoFill="0" autoLine="0" autoPict="0" altText="PO1">
            <anchor moveWithCells="1">
              <from>
                <xdr:col>12</xdr:col>
                <xdr:colOff>123825</xdr:colOff>
                <xdr:row>3</xdr:row>
                <xdr:rowOff>200025</xdr:rowOff>
              </from>
              <to>
                <xdr:col>12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41" name="Check Box 36">
          <controlPr defaultSize="0" autoFill="0" autoLine="0" autoPict="0" altText="PO1">
            <anchor moveWithCells="1">
              <from>
                <xdr:col>13</xdr:col>
                <xdr:colOff>123825</xdr:colOff>
                <xdr:row>3</xdr:row>
                <xdr:rowOff>200025</xdr:rowOff>
              </from>
              <to>
                <xdr:col>13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9" r:id="rId42" name="Check Box 97">
          <controlPr defaultSize="0" autoFill="0" autoLine="0" autoPict="0" altText="PO1">
            <anchor moveWithCells="1">
              <from>
                <xdr:col>2</xdr:col>
                <xdr:colOff>123825</xdr:colOff>
                <xdr:row>6</xdr:row>
                <xdr:rowOff>190500</xdr:rowOff>
              </from>
              <to>
                <xdr:col>3</xdr:col>
                <xdr:colOff>19050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0" r:id="rId43" name="Check Box 98">
          <controlPr defaultSize="0" autoFill="0" autoLine="0" autoPict="0" altText="PO2">
            <anchor moveWithCells="1">
              <from>
                <xdr:col>3</xdr:col>
                <xdr:colOff>123825</xdr:colOff>
                <xdr:row>6</xdr:row>
                <xdr:rowOff>190500</xdr:rowOff>
              </from>
              <to>
                <xdr:col>4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44" name="Check Box 99">
          <controlPr defaultSize="0" autoFill="0" autoLine="0" autoPict="0" altText="PO3">
            <anchor moveWithCells="1">
              <from>
                <xdr:col>4</xdr:col>
                <xdr:colOff>123825</xdr:colOff>
                <xdr:row>6</xdr:row>
                <xdr:rowOff>190500</xdr:rowOff>
              </from>
              <to>
                <xdr:col>5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2" r:id="rId45" name="Check Box 100">
          <controlPr defaultSize="0" autoFill="0" autoLine="0" autoPict="0" altText="PO1">
            <anchor moveWithCells="1">
              <from>
                <xdr:col>5</xdr:col>
                <xdr:colOff>123825</xdr:colOff>
                <xdr:row>6</xdr:row>
                <xdr:rowOff>190500</xdr:rowOff>
              </from>
              <to>
                <xdr:col>6</xdr:col>
                <xdr:colOff>47625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3" r:id="rId46" name="Check Box 101">
          <controlPr defaultSize="0" autoFill="0" autoLine="0" autoPict="0" altText="PO1">
            <anchor moveWithCells="1">
              <from>
                <xdr:col>6</xdr:col>
                <xdr:colOff>123825</xdr:colOff>
                <xdr:row>6</xdr:row>
                <xdr:rowOff>190500</xdr:rowOff>
              </from>
              <to>
                <xdr:col>7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" r:id="rId47" name="Check Box 102">
          <controlPr defaultSize="0" autoFill="0" autoLine="0" autoPict="0" altText="PO1">
            <anchor moveWithCells="1">
              <from>
                <xdr:col>7</xdr:col>
                <xdr:colOff>123825</xdr:colOff>
                <xdr:row>6</xdr:row>
                <xdr:rowOff>190500</xdr:rowOff>
              </from>
              <to>
                <xdr:col>8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5" r:id="rId48" name="Check Box 103">
          <controlPr defaultSize="0" autoFill="0" autoLine="0" autoPict="0" altText="PO1">
            <anchor moveWithCells="1">
              <from>
                <xdr:col>8</xdr:col>
                <xdr:colOff>123825</xdr:colOff>
                <xdr:row>6</xdr:row>
                <xdr:rowOff>190500</xdr:rowOff>
              </from>
              <to>
                <xdr:col>9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49" name="Check Box 104">
          <controlPr defaultSize="0" autoFill="0" autoLine="0" autoPict="0" altText="PO1">
            <anchor moveWithCells="1">
              <from>
                <xdr:col>9</xdr:col>
                <xdr:colOff>123825</xdr:colOff>
                <xdr:row>6</xdr:row>
                <xdr:rowOff>190500</xdr:rowOff>
              </from>
              <to>
                <xdr:col>10</xdr:col>
                <xdr:colOff>9525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50" name="Check Box 105">
          <controlPr defaultSize="0" autoFill="0" autoLine="0" autoPict="0" altText="PO1">
            <anchor moveWithCells="1">
              <from>
                <xdr:col>10</xdr:col>
                <xdr:colOff>123825</xdr:colOff>
                <xdr:row>6</xdr:row>
                <xdr:rowOff>190500</xdr:rowOff>
              </from>
              <to>
                <xdr:col>11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51" name="Check Box 106">
          <controlPr defaultSize="0" autoFill="0" autoLine="0" autoPict="0" altText="PO1">
            <anchor moveWithCells="1">
              <from>
                <xdr:col>11</xdr:col>
                <xdr:colOff>123825</xdr:colOff>
                <xdr:row>6</xdr:row>
                <xdr:rowOff>190500</xdr:rowOff>
              </from>
              <to>
                <xdr:col>11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52" name="Check Box 107">
          <controlPr defaultSize="0" autoFill="0" autoLine="0" autoPict="0" altText="PO1">
            <anchor moveWithCells="1">
              <from>
                <xdr:col>12</xdr:col>
                <xdr:colOff>123825</xdr:colOff>
                <xdr:row>6</xdr:row>
                <xdr:rowOff>190500</xdr:rowOff>
              </from>
              <to>
                <xdr:col>12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53" name="Check Box 108">
          <controlPr defaultSize="0" autoFill="0" autoLine="0" autoPict="0" altText="PO1">
            <anchor moveWithCells="1">
              <from>
                <xdr:col>13</xdr:col>
                <xdr:colOff>123825</xdr:colOff>
                <xdr:row>6</xdr:row>
                <xdr:rowOff>190500</xdr:rowOff>
              </from>
              <to>
                <xdr:col>13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3" r:id="rId54" name="Check Box 121">
          <controlPr defaultSize="0" autoFill="0" autoLine="0" autoPict="0" altText="PO1">
            <anchor moveWithCells="1">
              <from>
                <xdr:col>2</xdr:col>
                <xdr:colOff>123825</xdr:colOff>
                <xdr:row>4</xdr:row>
                <xdr:rowOff>200025</xdr:rowOff>
              </from>
              <to>
                <xdr:col>3</xdr:col>
                <xdr:colOff>19050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4" r:id="rId55" name="Check Box 122">
          <controlPr defaultSize="0" autoFill="0" autoLine="0" autoPict="0" altText="PO2">
            <anchor moveWithCells="1">
              <from>
                <xdr:col>3</xdr:col>
                <xdr:colOff>123825</xdr:colOff>
                <xdr:row>4</xdr:row>
                <xdr:rowOff>200025</xdr:rowOff>
              </from>
              <to>
                <xdr:col>4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5" r:id="rId56" name="Check Box 123">
          <controlPr defaultSize="0" autoFill="0" autoLine="0" autoPict="0" altText="PO3">
            <anchor moveWithCells="1">
              <from>
                <xdr:col>4</xdr:col>
                <xdr:colOff>123825</xdr:colOff>
                <xdr:row>4</xdr:row>
                <xdr:rowOff>200025</xdr:rowOff>
              </from>
              <to>
                <xdr:col>5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6" r:id="rId57" name="Check Box 124">
          <controlPr defaultSize="0" autoFill="0" autoLine="0" autoPict="0" altText="PO1">
            <anchor moveWithCells="1">
              <from>
                <xdr:col>5</xdr:col>
                <xdr:colOff>123825</xdr:colOff>
                <xdr:row>4</xdr:row>
                <xdr:rowOff>200025</xdr:rowOff>
              </from>
              <to>
                <xdr:col>6</xdr:col>
                <xdr:colOff>47625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7" r:id="rId58" name="Check Box 125">
          <controlPr defaultSize="0" autoFill="0" autoLine="0" autoPict="0" altText="PO1">
            <anchor moveWithCells="1">
              <from>
                <xdr:col>6</xdr:col>
                <xdr:colOff>123825</xdr:colOff>
                <xdr:row>4</xdr:row>
                <xdr:rowOff>200025</xdr:rowOff>
              </from>
              <to>
                <xdr:col>7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8" r:id="rId59" name="Check Box 126">
          <controlPr defaultSize="0" autoFill="0" autoLine="0" autoPict="0" altText="PO1">
            <anchor moveWithCells="1">
              <from>
                <xdr:col>7</xdr:col>
                <xdr:colOff>123825</xdr:colOff>
                <xdr:row>4</xdr:row>
                <xdr:rowOff>200025</xdr:rowOff>
              </from>
              <to>
                <xdr:col>8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9" r:id="rId60" name="Check Box 127">
          <controlPr defaultSize="0" autoFill="0" autoLine="0" autoPict="0" altText="PO1">
            <anchor moveWithCells="1">
              <from>
                <xdr:col>8</xdr:col>
                <xdr:colOff>123825</xdr:colOff>
                <xdr:row>4</xdr:row>
                <xdr:rowOff>200025</xdr:rowOff>
              </from>
              <to>
                <xdr:col>9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0" r:id="rId61" name="Check Box 128">
          <controlPr defaultSize="0" autoFill="0" autoLine="0" autoPict="0" altText="PO1">
            <anchor moveWithCells="1">
              <from>
                <xdr:col>9</xdr:col>
                <xdr:colOff>123825</xdr:colOff>
                <xdr:row>4</xdr:row>
                <xdr:rowOff>200025</xdr:rowOff>
              </from>
              <to>
                <xdr:col>10</xdr:col>
                <xdr:colOff>9525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1" r:id="rId62" name="Check Box 129">
          <controlPr defaultSize="0" autoFill="0" autoLine="0" autoPict="0" altText="PO1">
            <anchor moveWithCells="1">
              <from>
                <xdr:col>10</xdr:col>
                <xdr:colOff>123825</xdr:colOff>
                <xdr:row>4</xdr:row>
                <xdr:rowOff>200025</xdr:rowOff>
              </from>
              <to>
                <xdr:col>11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2" r:id="rId63" name="Check Box 130">
          <controlPr defaultSize="0" autoFill="0" autoLine="0" autoPict="0" altText="PO1">
            <anchor moveWithCells="1">
              <from>
                <xdr:col>11</xdr:col>
                <xdr:colOff>123825</xdr:colOff>
                <xdr:row>4</xdr:row>
                <xdr:rowOff>200025</xdr:rowOff>
              </from>
              <to>
                <xdr:col>11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3" r:id="rId64" name="Check Box 131">
          <controlPr defaultSize="0" autoFill="0" autoLine="0" autoPict="0" altText="PO1">
            <anchor moveWithCells="1">
              <from>
                <xdr:col>12</xdr:col>
                <xdr:colOff>123825</xdr:colOff>
                <xdr:row>4</xdr:row>
                <xdr:rowOff>200025</xdr:rowOff>
              </from>
              <to>
                <xdr:col>12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4" r:id="rId65" name="Check Box 132">
          <controlPr defaultSize="0" autoFill="0" autoLine="0" autoPict="0" altText="PO1">
            <anchor moveWithCells="1">
              <from>
                <xdr:col>13</xdr:col>
                <xdr:colOff>123825</xdr:colOff>
                <xdr:row>4</xdr:row>
                <xdr:rowOff>200025</xdr:rowOff>
              </from>
              <to>
                <xdr:col>13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5" r:id="rId66" name="Check Box 133">
          <controlPr defaultSize="0" autoFill="0" autoLine="0" autoPict="0" altText="PO1">
            <anchor moveWithCells="1">
              <from>
                <xdr:col>2</xdr:col>
                <xdr:colOff>123825</xdr:colOff>
                <xdr:row>5</xdr:row>
                <xdr:rowOff>200025</xdr:rowOff>
              </from>
              <to>
                <xdr:col>3</xdr:col>
                <xdr:colOff>19050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6" r:id="rId67" name="Check Box 134">
          <controlPr defaultSize="0" autoFill="0" autoLine="0" autoPict="0" altText="PO2">
            <anchor moveWithCells="1">
              <from>
                <xdr:col>3</xdr:col>
                <xdr:colOff>123825</xdr:colOff>
                <xdr:row>5</xdr:row>
                <xdr:rowOff>200025</xdr:rowOff>
              </from>
              <to>
                <xdr:col>4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7" r:id="rId68" name="Check Box 135">
          <controlPr defaultSize="0" autoFill="0" autoLine="0" autoPict="0" altText="PO3">
            <anchor moveWithCells="1">
              <from>
                <xdr:col>4</xdr:col>
                <xdr:colOff>123825</xdr:colOff>
                <xdr:row>5</xdr:row>
                <xdr:rowOff>200025</xdr:rowOff>
              </from>
              <to>
                <xdr:col>5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8" r:id="rId69" name="Check Box 136">
          <controlPr defaultSize="0" autoFill="0" autoLine="0" autoPict="0" altText="PO1">
            <anchor moveWithCells="1">
              <from>
                <xdr:col>5</xdr:col>
                <xdr:colOff>123825</xdr:colOff>
                <xdr:row>5</xdr:row>
                <xdr:rowOff>200025</xdr:rowOff>
              </from>
              <to>
                <xdr:col>6</xdr:col>
                <xdr:colOff>47625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9" r:id="rId70" name="Check Box 137">
          <controlPr defaultSize="0" autoFill="0" autoLine="0" autoPict="0" altText="PO1">
            <anchor moveWithCells="1">
              <from>
                <xdr:col>6</xdr:col>
                <xdr:colOff>123825</xdr:colOff>
                <xdr:row>5</xdr:row>
                <xdr:rowOff>200025</xdr:rowOff>
              </from>
              <to>
                <xdr:col>7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0" r:id="rId71" name="Check Box 138">
          <controlPr defaultSize="0" autoFill="0" autoLine="0" autoPict="0" altText="PO1">
            <anchor moveWithCells="1">
              <from>
                <xdr:col>7</xdr:col>
                <xdr:colOff>123825</xdr:colOff>
                <xdr:row>5</xdr:row>
                <xdr:rowOff>200025</xdr:rowOff>
              </from>
              <to>
                <xdr:col>8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1" r:id="rId72" name="Check Box 139">
          <controlPr defaultSize="0" autoFill="0" autoLine="0" autoPict="0" altText="PO1">
            <anchor moveWithCells="1">
              <from>
                <xdr:col>8</xdr:col>
                <xdr:colOff>123825</xdr:colOff>
                <xdr:row>5</xdr:row>
                <xdr:rowOff>200025</xdr:rowOff>
              </from>
              <to>
                <xdr:col>9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2" r:id="rId73" name="Check Box 140">
          <controlPr defaultSize="0" autoFill="0" autoLine="0" autoPict="0" altText="PO1">
            <anchor moveWithCells="1">
              <from>
                <xdr:col>9</xdr:col>
                <xdr:colOff>123825</xdr:colOff>
                <xdr:row>5</xdr:row>
                <xdr:rowOff>200025</xdr:rowOff>
              </from>
              <to>
                <xdr:col>10</xdr:col>
                <xdr:colOff>9525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3" r:id="rId74" name="Check Box 141">
          <controlPr defaultSize="0" autoFill="0" autoLine="0" autoPict="0" altText="PO1">
            <anchor moveWithCells="1">
              <from>
                <xdr:col>10</xdr:col>
                <xdr:colOff>123825</xdr:colOff>
                <xdr:row>5</xdr:row>
                <xdr:rowOff>200025</xdr:rowOff>
              </from>
              <to>
                <xdr:col>11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4" r:id="rId75" name="Check Box 142">
          <controlPr defaultSize="0" autoFill="0" autoLine="0" autoPict="0" altText="PO1">
            <anchor moveWithCells="1">
              <from>
                <xdr:col>11</xdr:col>
                <xdr:colOff>123825</xdr:colOff>
                <xdr:row>5</xdr:row>
                <xdr:rowOff>200025</xdr:rowOff>
              </from>
              <to>
                <xdr:col>11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5" r:id="rId76" name="Check Box 143">
          <controlPr defaultSize="0" autoFill="0" autoLine="0" autoPict="0" altText="PO1">
            <anchor moveWithCells="1">
              <from>
                <xdr:col>12</xdr:col>
                <xdr:colOff>123825</xdr:colOff>
                <xdr:row>5</xdr:row>
                <xdr:rowOff>200025</xdr:rowOff>
              </from>
              <to>
                <xdr:col>12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6" r:id="rId77" name="Check Box 144">
          <controlPr defaultSize="0" autoFill="0" autoLine="0" autoPict="0" altText="PO1">
            <anchor moveWithCells="1">
              <from>
                <xdr:col>13</xdr:col>
                <xdr:colOff>123825</xdr:colOff>
                <xdr:row>5</xdr:row>
                <xdr:rowOff>200025</xdr:rowOff>
              </from>
              <to>
                <xdr:col>13</xdr:col>
                <xdr:colOff>485775</xdr:colOff>
                <xdr:row>5</xdr:row>
                <xdr:rowOff>561975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2" sqref="B2:C2"/>
    </sheetView>
  </sheetViews>
  <sheetFormatPr defaultRowHeight="12.75" x14ac:dyDescent="0.2"/>
  <cols>
    <col min="1" max="1" width="16.28515625" customWidth="1"/>
    <col min="3" max="3" width="17.42578125" customWidth="1"/>
  </cols>
  <sheetData>
    <row r="1" spans="1:3" x14ac:dyDescent="0.2">
      <c r="A1" s="26" t="s">
        <v>131</v>
      </c>
      <c r="B1" s="208" t="str">
        <f ca="1">RIGHT(YEAR(TODAY()),1) &amp; TEXT(TODAY()-DATE(YEAR(TODAY()),1,0),"000")</f>
        <v>6264</v>
      </c>
      <c r="C1" s="208"/>
    </row>
    <row r="2" spans="1:3" x14ac:dyDescent="0.2">
      <c r="A2" s="26" t="s">
        <v>133</v>
      </c>
      <c r="B2" s="209"/>
      <c r="C2" s="209"/>
    </row>
  </sheetData>
  <mergeCells count="2">
    <mergeCell ref="B1:C1"/>
    <mergeCell ref="B2:C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md_publish">
          <controlPr defaultSize="0" autoLine="0" r:id="rId5">
            <anchor moveWithCells="1" sizeWithCells="1">
              <from>
                <xdr:col>2</xdr:col>
                <xdr:colOff>28575</xdr:colOff>
                <xdr:row>3</xdr:row>
                <xdr:rowOff>0</xdr:rowOff>
              </from>
              <to>
                <xdr:col>2</xdr:col>
                <xdr:colOff>1076325</xdr:colOff>
                <xdr:row>4</xdr:row>
                <xdr:rowOff>152400</xdr:rowOff>
              </to>
            </anchor>
          </controlPr>
        </control>
      </mc:Choice>
      <mc:Fallback>
        <control shapeId="4097" r:id="rId4" name="cmd_publis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GradeSheet</vt:lpstr>
      <vt:lpstr>Course Report</vt:lpstr>
      <vt:lpstr>CO-PO 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Mijanur Rahaman</dc:creator>
  <cp:lastModifiedBy>BUBT</cp:lastModifiedBy>
  <cp:lastPrinted>2026-06-11T10:01:39Z</cp:lastPrinted>
  <dcterms:created xsi:type="dcterms:W3CDTF">2019-09-22T13:01:39Z</dcterms:created>
  <dcterms:modified xsi:type="dcterms:W3CDTF">2026-09-21T10:34:55Z</dcterms:modified>
</cp:coreProperties>
</file>