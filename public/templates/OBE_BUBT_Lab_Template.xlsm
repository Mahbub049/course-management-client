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BT\Downloads\"/>
    </mc:Choice>
  </mc:AlternateContent>
  <bookViews>
    <workbookView xWindow="0" yWindow="0" windowWidth="20490" windowHeight="7530"/>
  </bookViews>
  <sheets>
    <sheet name="GradeSheet" sheetId="1" r:id="rId1"/>
    <sheet name="Course Report" sheetId="2" r:id="rId2"/>
    <sheet name="CO-PO Mapping" sheetId="3" r:id="rId3"/>
    <sheet name="CLP" sheetId="6" r:id="rId4"/>
    <sheet name="Publish" sheetId="4" state="veryHidden" r:id="rId5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6" l="1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7" i="6"/>
  <c r="B6" i="2" l="1"/>
  <c r="X71" i="1" l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7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70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70" i="1"/>
  <c r="W70" i="1" l="1"/>
  <c r="X70" i="1" s="1"/>
  <c r="W35" i="1"/>
  <c r="W33" i="1"/>
  <c r="W60" i="1"/>
  <c r="W49" i="1"/>
  <c r="W57" i="1"/>
  <c r="W36" i="1"/>
  <c r="W41" i="1"/>
  <c r="W65" i="1"/>
  <c r="W52" i="1"/>
  <c r="W68" i="1"/>
  <c r="W43" i="1"/>
  <c r="W44" i="1"/>
  <c r="W56" i="1"/>
  <c r="W55" i="1"/>
  <c r="W62" i="1"/>
  <c r="W54" i="1"/>
  <c r="W38" i="1"/>
  <c r="W40" i="1"/>
  <c r="W39" i="1"/>
  <c r="W69" i="1"/>
  <c r="W61" i="1"/>
  <c r="W53" i="1"/>
  <c r="W45" i="1"/>
  <c r="W37" i="1"/>
  <c r="W64" i="1"/>
  <c r="W47" i="1"/>
  <c r="W31" i="1"/>
  <c r="W48" i="1"/>
  <c r="W32" i="1"/>
  <c r="W63" i="1"/>
  <c r="W67" i="1"/>
  <c r="W59" i="1"/>
  <c r="W51" i="1"/>
  <c r="W58" i="1"/>
  <c r="W50" i="1"/>
  <c r="W42" i="1"/>
  <c r="W34" i="1"/>
  <c r="W66" i="1"/>
  <c r="W46" i="1"/>
  <c r="AD29" i="1"/>
  <c r="AE29" i="1"/>
  <c r="AF29" i="1"/>
  <c r="AG29" i="1"/>
  <c r="AC29" i="1"/>
  <c r="AB29" i="1"/>
  <c r="AD41" i="1" l="1"/>
  <c r="AG40" i="1"/>
  <c r="AG56" i="1"/>
  <c r="AC48" i="1"/>
  <c r="AG32" i="1"/>
  <c r="AG39" i="1"/>
  <c r="AC43" i="1"/>
  <c r="AE35" i="1"/>
  <c r="X31" i="1"/>
  <c r="AE83" i="1"/>
  <c r="AG79" i="1"/>
  <c r="AG75" i="1"/>
  <c r="AG71" i="1"/>
  <c r="AE87" i="1"/>
  <c r="X44" i="1"/>
  <c r="AG84" i="1"/>
  <c r="AG92" i="1"/>
  <c r="X60" i="1"/>
  <c r="AG52" i="1"/>
  <c r="X45" i="1"/>
  <c r="AG67" i="1"/>
  <c r="AF99" i="1"/>
  <c r="X42" i="1"/>
  <c r="AF38" i="1"/>
  <c r="AF34" i="1"/>
  <c r="AD82" i="1"/>
  <c r="AC78" i="1"/>
  <c r="AE70" i="1"/>
  <c r="X66" i="1"/>
  <c r="AD94" i="1"/>
  <c r="X41" i="1"/>
  <c r="AF41" i="1"/>
  <c r="AE41" i="1"/>
  <c r="AC41" i="1"/>
  <c r="X59" i="1"/>
  <c r="AG59" i="1"/>
  <c r="AE59" i="1"/>
  <c r="AC59" i="1"/>
  <c r="AF59" i="1"/>
  <c r="AD59" i="1"/>
  <c r="AB59" i="1"/>
  <c r="X51" i="1"/>
  <c r="AG51" i="1"/>
  <c r="AE51" i="1"/>
  <c r="AC51" i="1"/>
  <c r="AF51" i="1"/>
  <c r="AD51" i="1"/>
  <c r="AB51" i="1"/>
  <c r="X69" i="1"/>
  <c r="AF69" i="1"/>
  <c r="AD69" i="1"/>
  <c r="AG69" i="1"/>
  <c r="AE69" i="1"/>
  <c r="AC69" i="1"/>
  <c r="AB69" i="1"/>
  <c r="AF97" i="1"/>
  <c r="AD97" i="1"/>
  <c r="AG97" i="1"/>
  <c r="AE97" i="1"/>
  <c r="AB97" i="1"/>
  <c r="AC97" i="1"/>
  <c r="AG96" i="1"/>
  <c r="AE96" i="1"/>
  <c r="AD96" i="1"/>
  <c r="AF96" i="1"/>
  <c r="AB96" i="1"/>
  <c r="AC96" i="1"/>
  <c r="X56" i="1"/>
  <c r="X58" i="1"/>
  <c r="AF58" i="1"/>
  <c r="AD58" i="1"/>
  <c r="AC58" i="1"/>
  <c r="AE58" i="1"/>
  <c r="AG58" i="1"/>
  <c r="AB58" i="1"/>
  <c r="X50" i="1"/>
  <c r="AF50" i="1"/>
  <c r="AD50" i="1"/>
  <c r="AG50" i="1"/>
  <c r="AC50" i="1"/>
  <c r="AE50" i="1"/>
  <c r="AB50" i="1"/>
  <c r="X57" i="1"/>
  <c r="AF57" i="1"/>
  <c r="AD57" i="1"/>
  <c r="AG57" i="1"/>
  <c r="AE57" i="1"/>
  <c r="AC57" i="1"/>
  <c r="AB57" i="1"/>
  <c r="X49" i="1"/>
  <c r="AF49" i="1"/>
  <c r="AD49" i="1"/>
  <c r="AG49" i="1"/>
  <c r="AE49" i="1"/>
  <c r="AC49" i="1"/>
  <c r="AB49" i="1"/>
  <c r="AD87" i="1"/>
  <c r="X63" i="1"/>
  <c r="AG63" i="1"/>
  <c r="AE63" i="1"/>
  <c r="AC63" i="1"/>
  <c r="AF63" i="1"/>
  <c r="AD63" i="1"/>
  <c r="AB63" i="1"/>
  <c r="X55" i="1"/>
  <c r="AG55" i="1"/>
  <c r="AE55" i="1"/>
  <c r="AC55" i="1"/>
  <c r="AF55" i="1"/>
  <c r="AD55" i="1"/>
  <c r="AB55" i="1"/>
  <c r="AF81" i="1"/>
  <c r="AD81" i="1"/>
  <c r="AG81" i="1"/>
  <c r="AE81" i="1"/>
  <c r="AC81" i="1"/>
  <c r="AB81" i="1"/>
  <c r="AF73" i="1"/>
  <c r="AD73" i="1"/>
  <c r="AG73" i="1"/>
  <c r="AE73" i="1"/>
  <c r="AC73" i="1"/>
  <c r="AB73" i="1"/>
  <c r="X65" i="1"/>
  <c r="AF65" i="1"/>
  <c r="AD65" i="1"/>
  <c r="AG65" i="1"/>
  <c r="AE65" i="1"/>
  <c r="AC65" i="1"/>
  <c r="AB65" i="1"/>
  <c r="AF89" i="1"/>
  <c r="AD89" i="1"/>
  <c r="AG89" i="1"/>
  <c r="AE89" i="1"/>
  <c r="AC89" i="1"/>
  <c r="AB89" i="1"/>
  <c r="AG88" i="1"/>
  <c r="AE88" i="1"/>
  <c r="AC88" i="1"/>
  <c r="AB88" i="1"/>
  <c r="AD88" i="1"/>
  <c r="AF88" i="1"/>
  <c r="X64" i="1"/>
  <c r="AG64" i="1"/>
  <c r="AE64" i="1"/>
  <c r="AC64" i="1"/>
  <c r="AD64" i="1"/>
  <c r="AF64" i="1"/>
  <c r="AB64" i="1"/>
  <c r="AF48" i="1"/>
  <c r="X40" i="1"/>
  <c r="AB40" i="1"/>
  <c r="X62" i="1"/>
  <c r="AF62" i="1"/>
  <c r="AD62" i="1"/>
  <c r="AC62" i="1"/>
  <c r="AE62" i="1"/>
  <c r="AG62" i="1"/>
  <c r="AB62" i="1"/>
  <c r="X54" i="1"/>
  <c r="AF54" i="1"/>
  <c r="AD54" i="1"/>
  <c r="AE54" i="1"/>
  <c r="AG54" i="1"/>
  <c r="AC54" i="1"/>
  <c r="AB54" i="1"/>
  <c r="AB92" i="1"/>
  <c r="AE66" i="1"/>
  <c r="AG83" i="1" l="1"/>
  <c r="AD56" i="1"/>
  <c r="AD60" i="1"/>
  <c r="AC56" i="1"/>
  <c r="AF56" i="1"/>
  <c r="AE56" i="1"/>
  <c r="AB56" i="1"/>
  <c r="AE43" i="1"/>
  <c r="AG41" i="1"/>
  <c r="AB41" i="1"/>
  <c r="AC40" i="1"/>
  <c r="AF40" i="1"/>
  <c r="AE40" i="1"/>
  <c r="AD40" i="1"/>
  <c r="X39" i="1"/>
  <c r="AB39" i="1"/>
  <c r="AF39" i="1"/>
  <c r="AC39" i="1"/>
  <c r="AE39" i="1"/>
  <c r="AD39" i="1"/>
  <c r="X32" i="1"/>
  <c r="AB48" i="1"/>
  <c r="AE48" i="1"/>
  <c r="AG48" i="1"/>
  <c r="AD32" i="1"/>
  <c r="AD48" i="1"/>
  <c r="X48" i="1"/>
  <c r="AB32" i="1"/>
  <c r="AE32" i="1"/>
  <c r="AC32" i="1"/>
  <c r="AF32" i="1"/>
  <c r="AB99" i="1"/>
  <c r="AF79" i="1"/>
  <c r="AD43" i="1"/>
  <c r="AD44" i="1"/>
  <c r="AC60" i="1"/>
  <c r="AC79" i="1"/>
  <c r="AG43" i="1"/>
  <c r="AC44" i="1"/>
  <c r="AE60" i="1"/>
  <c r="AB43" i="1"/>
  <c r="AE44" i="1"/>
  <c r="AB60" i="1"/>
  <c r="AG60" i="1"/>
  <c r="AB79" i="1"/>
  <c r="AE79" i="1"/>
  <c r="AF43" i="1"/>
  <c r="X43" i="1"/>
  <c r="AB44" i="1"/>
  <c r="AG44" i="1"/>
  <c r="AF60" i="1"/>
  <c r="AD79" i="1"/>
  <c r="AF44" i="1"/>
  <c r="AD52" i="1"/>
  <c r="AG35" i="1"/>
  <c r="AF75" i="1"/>
  <c r="X35" i="1"/>
  <c r="AC52" i="1"/>
  <c r="AC75" i="1"/>
  <c r="AD35" i="1"/>
  <c r="AD84" i="1"/>
  <c r="X52" i="1"/>
  <c r="AF35" i="1"/>
  <c r="AC84" i="1"/>
  <c r="AF52" i="1"/>
  <c r="AE52" i="1"/>
  <c r="AB75" i="1"/>
  <c r="AE75" i="1"/>
  <c r="AC35" i="1"/>
  <c r="AF84" i="1"/>
  <c r="AE84" i="1"/>
  <c r="AB52" i="1"/>
  <c r="AD75" i="1"/>
  <c r="AB35" i="1"/>
  <c r="AB84" i="1"/>
  <c r="AC70" i="1"/>
  <c r="AE100" i="1"/>
  <c r="AB31" i="1"/>
  <c r="AG45" i="1"/>
  <c r="AG87" i="1"/>
  <c r="AG70" i="1"/>
  <c r="AG34" i="1"/>
  <c r="AF100" i="1"/>
  <c r="AF91" i="1"/>
  <c r="AF71" i="1"/>
  <c r="AD45" i="1"/>
  <c r="AC31" i="1"/>
  <c r="AF67" i="1"/>
  <c r="AD34" i="1"/>
  <c r="AC100" i="1"/>
  <c r="AE91" i="1"/>
  <c r="AC71" i="1"/>
  <c r="AD83" i="1"/>
  <c r="AE31" i="1"/>
  <c r="AB86" i="1"/>
  <c r="AC67" i="1"/>
  <c r="AD66" i="1"/>
  <c r="AD70" i="1"/>
  <c r="AE86" i="1"/>
  <c r="AB34" i="1"/>
  <c r="X34" i="1"/>
  <c r="AD92" i="1"/>
  <c r="AE92" i="1"/>
  <c r="AB100" i="1"/>
  <c r="AG100" i="1"/>
  <c r="AC87" i="1"/>
  <c r="AC91" i="1"/>
  <c r="AG91" i="1"/>
  <c r="AB71" i="1"/>
  <c r="AE71" i="1"/>
  <c r="AC83" i="1"/>
  <c r="AB45" i="1"/>
  <c r="AF45" i="1"/>
  <c r="AD31" i="1"/>
  <c r="AG31" i="1"/>
  <c r="AG66" i="1"/>
  <c r="AF92" i="1"/>
  <c r="AF87" i="1"/>
  <c r="AF83" i="1"/>
  <c r="AB70" i="1"/>
  <c r="AF70" i="1"/>
  <c r="AD86" i="1"/>
  <c r="AC34" i="1"/>
  <c r="AC92" i="1"/>
  <c r="AD100" i="1"/>
  <c r="AB87" i="1"/>
  <c r="AB91" i="1"/>
  <c r="AD71" i="1"/>
  <c r="AB83" i="1"/>
  <c r="AC45" i="1"/>
  <c r="AF31" i="1"/>
  <c r="AC82" i="1"/>
  <c r="X67" i="1"/>
  <c r="AE94" i="1"/>
  <c r="AG38" i="1"/>
  <c r="AE99" i="1"/>
  <c r="AB66" i="1"/>
  <c r="AF66" i="1"/>
  <c r="AC86" i="1"/>
  <c r="AF86" i="1"/>
  <c r="AD42" i="1"/>
  <c r="AB67" i="1"/>
  <c r="AE67" i="1"/>
  <c r="AG94" i="1"/>
  <c r="AC66" i="1"/>
  <c r="AE82" i="1"/>
  <c r="AG86" i="1"/>
  <c r="AE34" i="1"/>
  <c r="AD91" i="1"/>
  <c r="AD67" i="1"/>
  <c r="AE45" i="1"/>
  <c r="X38" i="1"/>
  <c r="AF94" i="1"/>
  <c r="AB78" i="1"/>
  <c r="AF82" i="1"/>
  <c r="AB42" i="1"/>
  <c r="AF95" i="1"/>
  <c r="AG99" i="1"/>
  <c r="AD78" i="1"/>
  <c r="AC42" i="1"/>
  <c r="AC99" i="1"/>
  <c r="AG78" i="1"/>
  <c r="AF78" i="1"/>
  <c r="AE78" i="1"/>
  <c r="AG82" i="1"/>
  <c r="AB38" i="1"/>
  <c r="AD38" i="1"/>
  <c r="AG42" i="1"/>
  <c r="AF42" i="1"/>
  <c r="AB95" i="1"/>
  <c r="AG95" i="1"/>
  <c r="AD99" i="1"/>
  <c r="AE38" i="1"/>
  <c r="AC95" i="1"/>
  <c r="AE95" i="1"/>
  <c r="AC94" i="1"/>
  <c r="AB94" i="1"/>
  <c r="AB82" i="1"/>
  <c r="AC38" i="1"/>
  <c r="AE42" i="1"/>
  <c r="AD95" i="1"/>
  <c r="AG76" i="1"/>
  <c r="AE76" i="1"/>
  <c r="AC76" i="1"/>
  <c r="AF76" i="1"/>
  <c r="AB76" i="1"/>
  <c r="AD76" i="1"/>
  <c r="AG72" i="1"/>
  <c r="AE72" i="1"/>
  <c r="AC72" i="1"/>
  <c r="AB72" i="1"/>
  <c r="AD72" i="1"/>
  <c r="AF72" i="1"/>
  <c r="AF93" i="1"/>
  <c r="AD93" i="1"/>
  <c r="AG93" i="1"/>
  <c r="AE93" i="1"/>
  <c r="AB93" i="1"/>
  <c r="AC93" i="1"/>
  <c r="X36" i="1"/>
  <c r="AG36" i="1"/>
  <c r="AE36" i="1"/>
  <c r="AC36" i="1"/>
  <c r="AD36" i="1"/>
  <c r="AB36" i="1"/>
  <c r="AF36" i="1"/>
  <c r="AG80" i="1"/>
  <c r="AE80" i="1"/>
  <c r="AC80" i="1"/>
  <c r="AD80" i="1"/>
  <c r="AF80" i="1"/>
  <c r="AB80" i="1"/>
  <c r="X61" i="1"/>
  <c r="AF61" i="1"/>
  <c r="AD61" i="1"/>
  <c r="AG61" i="1"/>
  <c r="AE61" i="1"/>
  <c r="AC61" i="1"/>
  <c r="AB61" i="1"/>
  <c r="AF46" i="1"/>
  <c r="AD46" i="1"/>
  <c r="AC46" i="1"/>
  <c r="AE46" i="1"/>
  <c r="AG46" i="1"/>
  <c r="AB46" i="1"/>
  <c r="AF85" i="1"/>
  <c r="AD85" i="1"/>
  <c r="AG85" i="1"/>
  <c r="AE85" i="1"/>
  <c r="AC85" i="1"/>
  <c r="AB85" i="1"/>
  <c r="AF90" i="1"/>
  <c r="AD90" i="1"/>
  <c r="AC90" i="1"/>
  <c r="AE90" i="1"/>
  <c r="AG90" i="1"/>
  <c r="AB90" i="1"/>
  <c r="X37" i="1"/>
  <c r="AF37" i="1"/>
  <c r="AD37" i="1"/>
  <c r="AG37" i="1"/>
  <c r="AE37" i="1"/>
  <c r="AC37" i="1"/>
  <c r="AB37" i="1"/>
  <c r="X53" i="1"/>
  <c r="AF53" i="1"/>
  <c r="AD53" i="1"/>
  <c r="AG53" i="1"/>
  <c r="AE53" i="1"/>
  <c r="AC53" i="1"/>
  <c r="AB53" i="1"/>
  <c r="AF98" i="1"/>
  <c r="AD98" i="1"/>
  <c r="AG98" i="1"/>
  <c r="AC98" i="1"/>
  <c r="AE98" i="1"/>
  <c r="AB98" i="1"/>
  <c r="X68" i="1"/>
  <c r="AG68" i="1"/>
  <c r="AE68" i="1"/>
  <c r="AC68" i="1"/>
  <c r="AD68" i="1"/>
  <c r="AB68" i="1"/>
  <c r="AF68" i="1"/>
  <c r="X33" i="1"/>
  <c r="AF33" i="1"/>
  <c r="AD33" i="1"/>
  <c r="AG33" i="1"/>
  <c r="AE33" i="1"/>
  <c r="AC33" i="1"/>
  <c r="AB33" i="1"/>
  <c r="AF77" i="1"/>
  <c r="AD77" i="1"/>
  <c r="AG77" i="1"/>
  <c r="AE77" i="1"/>
  <c r="AC77" i="1"/>
  <c r="AB77" i="1"/>
  <c r="AF74" i="1"/>
  <c r="AD74" i="1"/>
  <c r="AC74" i="1"/>
  <c r="AE74" i="1"/>
  <c r="AG74" i="1"/>
  <c r="AB74" i="1"/>
  <c r="X47" i="1"/>
  <c r="AG47" i="1"/>
  <c r="AE47" i="1"/>
  <c r="AC47" i="1"/>
  <c r="AF47" i="1"/>
  <c r="AD47" i="1"/>
  <c r="AB47" i="1"/>
  <c r="X46" i="1"/>
  <c r="B1" i="4"/>
  <c r="BE89" i="1" l="1"/>
  <c r="BE90" i="1"/>
  <c r="BE91" i="1"/>
  <c r="BE92" i="1"/>
  <c r="BE93" i="1"/>
  <c r="BE94" i="1"/>
  <c r="BE95" i="1"/>
  <c r="BE96" i="1"/>
  <c r="BE97" i="1"/>
  <c r="BE98" i="1"/>
  <c r="BE99" i="1"/>
  <c r="BE100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D97" i="1"/>
  <c r="BD98" i="1"/>
  <c r="BD99" i="1"/>
  <c r="BD100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C95" i="1"/>
  <c r="BC96" i="1"/>
  <c r="BC97" i="1"/>
  <c r="BC98" i="1"/>
  <c r="BC99" i="1"/>
  <c r="BC100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X99" i="1"/>
  <c r="AX100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BB30" i="1"/>
  <c r="BC30" i="1"/>
  <c r="BD30" i="1"/>
  <c r="BE30" i="1"/>
  <c r="AW30" i="1"/>
  <c r="AX30" i="1"/>
  <c r="AY30" i="1"/>
  <c r="AZ30" i="1"/>
  <c r="BA30" i="1"/>
  <c r="AM81" i="1" l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46" i="1"/>
  <c r="AM47" i="1"/>
  <c r="AM49" i="1"/>
  <c r="AM50" i="1"/>
  <c r="AM51" i="1"/>
  <c r="AM52" i="1"/>
  <c r="AM53" i="1"/>
  <c r="AM54" i="1"/>
  <c r="AM55" i="1"/>
  <c r="AM56" i="1"/>
  <c r="AM57" i="1"/>
  <c r="AM58" i="1"/>
  <c r="AM59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L99" i="1"/>
  <c r="AL100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43" i="1"/>
  <c r="AL44" i="1"/>
  <c r="AL45" i="1"/>
  <c r="AL46" i="1"/>
  <c r="AL47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30" i="1"/>
  <c r="AM30" i="1"/>
  <c r="AM48" i="1"/>
  <c r="AL48" i="1"/>
  <c r="O29" i="1"/>
  <c r="V29" i="1"/>
  <c r="AA85" i="1" l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Z85" i="1"/>
  <c r="AR85" i="1" s="1"/>
  <c r="Z86" i="1"/>
  <c r="AR86" i="1" s="1"/>
  <c r="Z87" i="1"/>
  <c r="AR87" i="1" s="1"/>
  <c r="Z88" i="1"/>
  <c r="AS88" i="1" s="1"/>
  <c r="Z89" i="1"/>
  <c r="AR89" i="1" s="1"/>
  <c r="Z90" i="1"/>
  <c r="AR90" i="1" s="1"/>
  <c r="Z91" i="1"/>
  <c r="AS91" i="1" s="1"/>
  <c r="Z92" i="1"/>
  <c r="AS92" i="1" s="1"/>
  <c r="Z93" i="1"/>
  <c r="AR93" i="1" s="1"/>
  <c r="Z94" i="1"/>
  <c r="AS94" i="1" s="1"/>
  <c r="Z95" i="1"/>
  <c r="AS95" i="1" s="1"/>
  <c r="Z96" i="1"/>
  <c r="AS96" i="1" s="1"/>
  <c r="Z97" i="1"/>
  <c r="AR97" i="1" s="1"/>
  <c r="Z98" i="1"/>
  <c r="AS98" i="1" s="1"/>
  <c r="Z99" i="1"/>
  <c r="AR99" i="1" s="1"/>
  <c r="Z100" i="1"/>
  <c r="AR100" i="1" s="1"/>
  <c r="AR94" i="1" l="1"/>
  <c r="AS86" i="1"/>
  <c r="AR95" i="1"/>
  <c r="AS85" i="1"/>
  <c r="AS93" i="1"/>
  <c r="AR96" i="1"/>
  <c r="AS100" i="1"/>
  <c r="AR98" i="1"/>
  <c r="AR91" i="1"/>
  <c r="AR88" i="1"/>
  <c r="AS89" i="1"/>
  <c r="AS99" i="1"/>
  <c r="AS97" i="1"/>
  <c r="AR92" i="1"/>
  <c r="AS90" i="1"/>
  <c r="AS87" i="1"/>
  <c r="BA103" i="1"/>
  <c r="BE103" i="1"/>
  <c r="BB103" i="1"/>
  <c r="AY103" i="1"/>
  <c r="BC103" i="1"/>
  <c r="AZ103" i="1"/>
  <c r="BD103" i="1"/>
  <c r="B9" i="2"/>
  <c r="B8" i="2"/>
  <c r="B7" i="2"/>
  <c r="B5" i="2"/>
  <c r="B4" i="2"/>
  <c r="B3" i="2"/>
  <c r="B2" i="2"/>
  <c r="D102" i="1" l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30" i="1"/>
  <c r="AR53" i="1" l="1"/>
  <c r="AS53" i="1"/>
  <c r="AR45" i="1"/>
  <c r="AS45" i="1"/>
  <c r="AS37" i="1"/>
  <c r="AR37" i="1"/>
  <c r="AR78" i="1"/>
  <c r="AS78" i="1"/>
  <c r="AR68" i="1"/>
  <c r="AS68" i="1"/>
  <c r="AS36" i="1"/>
  <c r="AR36" i="1"/>
  <c r="AS46" i="1"/>
  <c r="AR46" i="1"/>
  <c r="AR61" i="1"/>
  <c r="AS61" i="1"/>
  <c r="AS60" i="1"/>
  <c r="AR60" i="1"/>
  <c r="AR75" i="1"/>
  <c r="AS75" i="1"/>
  <c r="AR59" i="1"/>
  <c r="AS59" i="1"/>
  <c r="AR51" i="1"/>
  <c r="AS51" i="1"/>
  <c r="AR43" i="1"/>
  <c r="AS43" i="1"/>
  <c r="AS35" i="1"/>
  <c r="AR35" i="1"/>
  <c r="AR62" i="1"/>
  <c r="AS62" i="1"/>
  <c r="AR77" i="1"/>
  <c r="AS77" i="1"/>
  <c r="AR52" i="1"/>
  <c r="AS52" i="1"/>
  <c r="AR74" i="1"/>
  <c r="AS74" i="1"/>
  <c r="AR66" i="1"/>
  <c r="AS66" i="1"/>
  <c r="AS58" i="1"/>
  <c r="AR58" i="1"/>
  <c r="AR50" i="1"/>
  <c r="AS50" i="1"/>
  <c r="AR42" i="1"/>
  <c r="AS42" i="1"/>
  <c r="AR34" i="1"/>
  <c r="AS34" i="1"/>
  <c r="AR69" i="1"/>
  <c r="AS69" i="1"/>
  <c r="AS44" i="1"/>
  <c r="AR44" i="1"/>
  <c r="AR67" i="1"/>
  <c r="AS67" i="1"/>
  <c r="AR81" i="1"/>
  <c r="AS81" i="1"/>
  <c r="AR73" i="1"/>
  <c r="AS73" i="1"/>
  <c r="AR65" i="1"/>
  <c r="AS65" i="1"/>
  <c r="AS57" i="1"/>
  <c r="AR57" i="1"/>
  <c r="AS49" i="1"/>
  <c r="AR49" i="1"/>
  <c r="AS41" i="1"/>
  <c r="AR41" i="1"/>
  <c r="AR33" i="1"/>
  <c r="AS33" i="1"/>
  <c r="AR70" i="1"/>
  <c r="AS70" i="1"/>
  <c r="AR38" i="1"/>
  <c r="AS38" i="1"/>
  <c r="AS30" i="1"/>
  <c r="AR30" i="1"/>
  <c r="AR76" i="1"/>
  <c r="AS76" i="1"/>
  <c r="AR83" i="1"/>
  <c r="AS83" i="1"/>
  <c r="AR82" i="1"/>
  <c r="AS82" i="1"/>
  <c r="AR80" i="1"/>
  <c r="AS80" i="1"/>
  <c r="AR72" i="1"/>
  <c r="AS72" i="1"/>
  <c r="AR64" i="1"/>
  <c r="AS64" i="1"/>
  <c r="AS56" i="1"/>
  <c r="AR56" i="1"/>
  <c r="AS48" i="1"/>
  <c r="AR48" i="1"/>
  <c r="AR40" i="1"/>
  <c r="AS40" i="1"/>
  <c r="AR32" i="1"/>
  <c r="AS32" i="1"/>
  <c r="AR54" i="1"/>
  <c r="AS54" i="1"/>
  <c r="AS84" i="1"/>
  <c r="AR84" i="1"/>
  <c r="AR79" i="1"/>
  <c r="AS79" i="1"/>
  <c r="AS71" i="1"/>
  <c r="AR71" i="1"/>
  <c r="AR63" i="1"/>
  <c r="AS63" i="1"/>
  <c r="AS55" i="1"/>
  <c r="AR55" i="1"/>
  <c r="AS47" i="1"/>
  <c r="AR47" i="1"/>
  <c r="AR39" i="1"/>
  <c r="AS39" i="1"/>
  <c r="AR31" i="1"/>
  <c r="AS31" i="1"/>
  <c r="H29" i="1"/>
  <c r="AR103" i="1" l="1"/>
  <c r="G14" i="2" s="1"/>
  <c r="AS103" i="1"/>
  <c r="H14" i="2" s="1"/>
  <c r="W29" i="1"/>
  <c r="W28" i="1" s="1"/>
  <c r="AK87" i="1" l="1"/>
  <c r="AQ87" i="1" s="1"/>
  <c r="AK91" i="1"/>
  <c r="AQ91" i="1" s="1"/>
  <c r="AK95" i="1"/>
  <c r="AQ95" i="1" s="1"/>
  <c r="AK88" i="1"/>
  <c r="AQ88" i="1" s="1"/>
  <c r="AK92" i="1"/>
  <c r="AQ92" i="1" s="1"/>
  <c r="AK96" i="1"/>
  <c r="AQ96" i="1" s="1"/>
  <c r="AK85" i="1"/>
  <c r="AQ85" i="1" s="1"/>
  <c r="AK89" i="1"/>
  <c r="AQ89" i="1" s="1"/>
  <c r="AK93" i="1"/>
  <c r="AQ93" i="1" s="1"/>
  <c r="AV93" i="1" s="1"/>
  <c r="AK97" i="1"/>
  <c r="AQ97" i="1" s="1"/>
  <c r="AK86" i="1"/>
  <c r="AQ86" i="1" s="1"/>
  <c r="AK90" i="1"/>
  <c r="AQ90" i="1" s="1"/>
  <c r="AK94" i="1"/>
  <c r="AQ94" i="1" s="1"/>
  <c r="AJ90" i="1"/>
  <c r="AP90" i="1" s="1"/>
  <c r="AJ94" i="1"/>
  <c r="AP94" i="1" s="1"/>
  <c r="AJ86" i="1"/>
  <c r="AP86" i="1" s="1"/>
  <c r="AJ89" i="1"/>
  <c r="AP89" i="1" s="1"/>
  <c r="AJ96" i="1"/>
  <c r="AP96" i="1" s="1"/>
  <c r="AJ87" i="1"/>
  <c r="AP87" i="1" s="1"/>
  <c r="AJ85" i="1"/>
  <c r="AP85" i="1" s="1"/>
  <c r="AJ92" i="1"/>
  <c r="AP92" i="1" s="1"/>
  <c r="AJ97" i="1"/>
  <c r="AP97" i="1" s="1"/>
  <c r="AU97" i="1" s="1"/>
  <c r="AJ88" i="1"/>
  <c r="AP88" i="1" s="1"/>
  <c r="AJ95" i="1"/>
  <c r="AP95" i="1" s="1"/>
  <c r="AJ93" i="1"/>
  <c r="AP93" i="1" s="1"/>
  <c r="AJ91" i="1"/>
  <c r="AP91" i="1" s="1"/>
  <c r="AH96" i="1"/>
  <c r="AN96" i="1" s="1"/>
  <c r="AT96" i="1" s="1"/>
  <c r="AH88" i="1"/>
  <c r="AN88" i="1" s="1"/>
  <c r="AT88" i="1" s="1"/>
  <c r="AH92" i="1"/>
  <c r="AN92" i="1" s="1"/>
  <c r="AT92" i="1" s="1"/>
  <c r="AH95" i="1"/>
  <c r="AN95" i="1" s="1"/>
  <c r="AT95" i="1" s="1"/>
  <c r="AH86" i="1"/>
  <c r="AN86" i="1" s="1"/>
  <c r="AT86" i="1" s="1"/>
  <c r="AH93" i="1"/>
  <c r="AN93" i="1" s="1"/>
  <c r="AT93" i="1" s="1"/>
  <c r="AH91" i="1"/>
  <c r="AN91" i="1" s="1"/>
  <c r="AT91" i="1" s="1"/>
  <c r="AH89" i="1"/>
  <c r="AN89" i="1" s="1"/>
  <c r="AT89" i="1" s="1"/>
  <c r="AH87" i="1"/>
  <c r="AN87" i="1" s="1"/>
  <c r="AT87" i="1" s="1"/>
  <c r="AH94" i="1"/>
  <c r="AN94" i="1" s="1"/>
  <c r="AT94" i="1" s="1"/>
  <c r="AH85" i="1"/>
  <c r="AN85" i="1" s="1"/>
  <c r="AT85" i="1" s="1"/>
  <c r="AH90" i="1"/>
  <c r="AN90" i="1" s="1"/>
  <c r="AT90" i="1" s="1"/>
  <c r="AH97" i="1"/>
  <c r="AN97" i="1" s="1"/>
  <c r="AT97" i="1" s="1"/>
  <c r="AI93" i="1"/>
  <c r="AO93" i="1" s="1"/>
  <c r="AI97" i="1"/>
  <c r="AO97" i="1" s="1"/>
  <c r="AI85" i="1"/>
  <c r="AO85" i="1" s="1"/>
  <c r="AI89" i="1"/>
  <c r="AO89" i="1" s="1"/>
  <c r="AI92" i="1"/>
  <c r="AO92" i="1" s="1"/>
  <c r="AI90" i="1"/>
  <c r="AO90" i="1" s="1"/>
  <c r="AI88" i="1"/>
  <c r="AO88" i="1" s="1"/>
  <c r="AI95" i="1"/>
  <c r="AO95" i="1" s="1"/>
  <c r="AI86" i="1"/>
  <c r="AO86" i="1" s="1"/>
  <c r="AI91" i="1"/>
  <c r="AO91" i="1" s="1"/>
  <c r="AI96" i="1"/>
  <c r="AO96" i="1" s="1"/>
  <c r="AI87" i="1"/>
  <c r="AO87" i="1" s="1"/>
  <c r="AI94" i="1"/>
  <c r="AO94" i="1" s="1"/>
  <c r="AJ64" i="1"/>
  <c r="AP64" i="1" s="1"/>
  <c r="AJ68" i="1"/>
  <c r="AP68" i="1" s="1"/>
  <c r="AJ72" i="1"/>
  <c r="AP72" i="1" s="1"/>
  <c r="AJ76" i="1"/>
  <c r="AP76" i="1" s="1"/>
  <c r="AJ80" i="1"/>
  <c r="AP80" i="1" s="1"/>
  <c r="AJ84" i="1"/>
  <c r="AP84" i="1" s="1"/>
  <c r="AJ100" i="1"/>
  <c r="AP100" i="1" s="1"/>
  <c r="AJ61" i="1"/>
  <c r="AP61" i="1" s="1"/>
  <c r="AJ66" i="1"/>
  <c r="AP66" i="1" s="1"/>
  <c r="AJ71" i="1"/>
  <c r="AP71" i="1" s="1"/>
  <c r="AJ77" i="1"/>
  <c r="AP77" i="1" s="1"/>
  <c r="AJ82" i="1"/>
  <c r="AP82" i="1" s="1"/>
  <c r="AJ99" i="1"/>
  <c r="AP99" i="1" s="1"/>
  <c r="AJ65" i="1"/>
  <c r="AP65" i="1" s="1"/>
  <c r="AJ73" i="1"/>
  <c r="AP73" i="1" s="1"/>
  <c r="AJ79" i="1"/>
  <c r="AP79" i="1" s="1"/>
  <c r="AJ98" i="1"/>
  <c r="AP98" i="1" s="1"/>
  <c r="AJ63" i="1"/>
  <c r="AP63" i="1" s="1"/>
  <c r="AJ74" i="1"/>
  <c r="AP74" i="1" s="1"/>
  <c r="AJ83" i="1"/>
  <c r="AP83" i="1" s="1"/>
  <c r="AJ67" i="1"/>
  <c r="AP67" i="1" s="1"/>
  <c r="AJ75" i="1"/>
  <c r="AP75" i="1" s="1"/>
  <c r="AJ69" i="1"/>
  <c r="AP69" i="1" s="1"/>
  <c r="AJ78" i="1"/>
  <c r="AP78" i="1" s="1"/>
  <c r="AJ62" i="1"/>
  <c r="AP62" i="1" s="1"/>
  <c r="AJ70" i="1"/>
  <c r="AP70" i="1" s="1"/>
  <c r="AJ81" i="1"/>
  <c r="AP81" i="1" s="1"/>
  <c r="AH62" i="1"/>
  <c r="AN62" i="1" s="1"/>
  <c r="AH66" i="1"/>
  <c r="AN66" i="1" s="1"/>
  <c r="AH70" i="1"/>
  <c r="AN70" i="1" s="1"/>
  <c r="AH74" i="1"/>
  <c r="AN74" i="1" s="1"/>
  <c r="AT74" i="1" s="1"/>
  <c r="AH78" i="1"/>
  <c r="AN78" i="1" s="1"/>
  <c r="AT78" i="1" s="1"/>
  <c r="AH82" i="1"/>
  <c r="AN82" i="1" s="1"/>
  <c r="AT82" i="1" s="1"/>
  <c r="AH98" i="1"/>
  <c r="AN98" i="1" s="1"/>
  <c r="AT98" i="1" s="1"/>
  <c r="AH61" i="1"/>
  <c r="AN61" i="1" s="1"/>
  <c r="AH67" i="1"/>
  <c r="AN67" i="1" s="1"/>
  <c r="AH72" i="1"/>
  <c r="AN72" i="1" s="1"/>
  <c r="AT72" i="1" s="1"/>
  <c r="AH77" i="1"/>
  <c r="AN77" i="1" s="1"/>
  <c r="AT77" i="1" s="1"/>
  <c r="AH83" i="1"/>
  <c r="AN83" i="1" s="1"/>
  <c r="AT83" i="1" s="1"/>
  <c r="AH100" i="1"/>
  <c r="AN100" i="1" s="1"/>
  <c r="AT100" i="1" s="1"/>
  <c r="AH64" i="1"/>
  <c r="AN64" i="1" s="1"/>
  <c r="AH71" i="1"/>
  <c r="AN71" i="1" s="1"/>
  <c r="AT71" i="1" s="1"/>
  <c r="AH79" i="1"/>
  <c r="AN79" i="1" s="1"/>
  <c r="AT79" i="1" s="1"/>
  <c r="AH65" i="1"/>
  <c r="AN65" i="1" s="1"/>
  <c r="AH73" i="1"/>
  <c r="AN73" i="1" s="1"/>
  <c r="AT73" i="1" s="1"/>
  <c r="AH80" i="1"/>
  <c r="AN80" i="1" s="1"/>
  <c r="AT80" i="1" s="1"/>
  <c r="AH99" i="1"/>
  <c r="AN99" i="1" s="1"/>
  <c r="AT99" i="1" s="1"/>
  <c r="AH68" i="1"/>
  <c r="AN68" i="1" s="1"/>
  <c r="AH75" i="1"/>
  <c r="AN75" i="1" s="1"/>
  <c r="AT75" i="1" s="1"/>
  <c r="AH81" i="1"/>
  <c r="AN81" i="1" s="1"/>
  <c r="AT81" i="1" s="1"/>
  <c r="AH63" i="1"/>
  <c r="AN63" i="1" s="1"/>
  <c r="AH69" i="1"/>
  <c r="AN69" i="1" s="1"/>
  <c r="AH76" i="1"/>
  <c r="AN76" i="1" s="1"/>
  <c r="AT76" i="1" s="1"/>
  <c r="AH84" i="1"/>
  <c r="AN84" i="1" s="1"/>
  <c r="AT84" i="1" s="1"/>
  <c r="AI62" i="1"/>
  <c r="AO62" i="1" s="1"/>
  <c r="AI66" i="1"/>
  <c r="AO66" i="1" s="1"/>
  <c r="AI70" i="1"/>
  <c r="AO70" i="1" s="1"/>
  <c r="AI61" i="1"/>
  <c r="AO61" i="1" s="1"/>
  <c r="AI67" i="1"/>
  <c r="AO67" i="1" s="1"/>
  <c r="AI72" i="1"/>
  <c r="AO72" i="1" s="1"/>
  <c r="AI76" i="1"/>
  <c r="AO76" i="1" s="1"/>
  <c r="AI80" i="1"/>
  <c r="AO80" i="1" s="1"/>
  <c r="AI84" i="1"/>
  <c r="AO84" i="1" s="1"/>
  <c r="AI100" i="1"/>
  <c r="AO100" i="1" s="1"/>
  <c r="AI64" i="1"/>
  <c r="AO64" i="1" s="1"/>
  <c r="AI71" i="1"/>
  <c r="AO71" i="1" s="1"/>
  <c r="AI77" i="1"/>
  <c r="AO77" i="1" s="1"/>
  <c r="AI82" i="1"/>
  <c r="AO82" i="1" s="1"/>
  <c r="AI99" i="1"/>
  <c r="AO99" i="1" s="1"/>
  <c r="AI63" i="1"/>
  <c r="AO63" i="1" s="1"/>
  <c r="AI73" i="1"/>
  <c r="AO73" i="1" s="1"/>
  <c r="AI79" i="1"/>
  <c r="AO79" i="1" s="1"/>
  <c r="AI98" i="1"/>
  <c r="AO98" i="1" s="1"/>
  <c r="AI65" i="1"/>
  <c r="AO65" i="1" s="1"/>
  <c r="AI74" i="1"/>
  <c r="AO74" i="1" s="1"/>
  <c r="AI81" i="1"/>
  <c r="AO81" i="1" s="1"/>
  <c r="AI68" i="1"/>
  <c r="AO68" i="1" s="1"/>
  <c r="AI75" i="1"/>
  <c r="AO75" i="1" s="1"/>
  <c r="AI83" i="1"/>
  <c r="AO83" i="1" s="1"/>
  <c r="AI69" i="1"/>
  <c r="AO69" i="1" s="1"/>
  <c r="AI78" i="1"/>
  <c r="AO78" i="1" s="1"/>
  <c r="AK33" i="1"/>
  <c r="AK37" i="1"/>
  <c r="AK41" i="1"/>
  <c r="AQ41" i="1" s="1"/>
  <c r="AK45" i="1"/>
  <c r="AK49" i="1"/>
  <c r="AK53" i="1"/>
  <c r="AK57" i="1"/>
  <c r="AK61" i="1"/>
  <c r="AQ61" i="1" s="1"/>
  <c r="AK65" i="1"/>
  <c r="AK69" i="1"/>
  <c r="AK73" i="1"/>
  <c r="AK77" i="1"/>
  <c r="AK81" i="1"/>
  <c r="AQ81" i="1" s="1"/>
  <c r="AK31" i="1"/>
  <c r="AK34" i="1"/>
  <c r="AK38" i="1"/>
  <c r="AK42" i="1"/>
  <c r="AQ42" i="1" s="1"/>
  <c r="AK46" i="1"/>
  <c r="AK50" i="1"/>
  <c r="AQ50" i="1" s="1"/>
  <c r="AK54" i="1"/>
  <c r="AK58" i="1"/>
  <c r="AK62" i="1"/>
  <c r="AQ62" i="1" s="1"/>
  <c r="AK66" i="1"/>
  <c r="AK70" i="1"/>
  <c r="AQ70" i="1" s="1"/>
  <c r="AK74" i="1"/>
  <c r="AK78" i="1"/>
  <c r="AK82" i="1"/>
  <c r="AK98" i="1"/>
  <c r="AK30" i="1"/>
  <c r="AQ30" i="1" s="1"/>
  <c r="AK35" i="1"/>
  <c r="AK39" i="1"/>
  <c r="AK43" i="1"/>
  <c r="AK47" i="1"/>
  <c r="AK51" i="1"/>
  <c r="AQ51" i="1" s="1"/>
  <c r="AK55" i="1"/>
  <c r="AQ55" i="1" s="1"/>
  <c r="AK59" i="1"/>
  <c r="AK63" i="1"/>
  <c r="AQ63" i="1" s="1"/>
  <c r="AK67" i="1"/>
  <c r="AK71" i="1"/>
  <c r="AK75" i="1"/>
  <c r="AK79" i="1"/>
  <c r="AK83" i="1"/>
  <c r="AK99" i="1"/>
  <c r="AK32" i="1"/>
  <c r="AQ32" i="1" s="1"/>
  <c r="AK36" i="1"/>
  <c r="AQ36" i="1" s="1"/>
  <c r="AK40" i="1"/>
  <c r="AQ40" i="1" s="1"/>
  <c r="AK44" i="1"/>
  <c r="AQ44" i="1" s="1"/>
  <c r="AK48" i="1"/>
  <c r="AQ48" i="1" s="1"/>
  <c r="AK52" i="1"/>
  <c r="AK56" i="1"/>
  <c r="AK60" i="1"/>
  <c r="AK64" i="1"/>
  <c r="AK68" i="1"/>
  <c r="AK72" i="1"/>
  <c r="AK76" i="1"/>
  <c r="AK80" i="1"/>
  <c r="AK84" i="1"/>
  <c r="AK100" i="1"/>
  <c r="AV62" i="1" l="1"/>
  <c r="AU74" i="1"/>
  <c r="AV86" i="1"/>
  <c r="AV89" i="1"/>
  <c r="AU100" i="1"/>
  <c r="AU88" i="1"/>
  <c r="AU98" i="1"/>
  <c r="AU80" i="1"/>
  <c r="AU79" i="1"/>
  <c r="AU76" i="1"/>
  <c r="AU85" i="1"/>
  <c r="AU91" i="1"/>
  <c r="AU61" i="1"/>
  <c r="AV90" i="1"/>
  <c r="AU63" i="1"/>
  <c r="AU73" i="1"/>
  <c r="AU72" i="1"/>
  <c r="AU87" i="1"/>
  <c r="AU83" i="1"/>
  <c r="AU95" i="1"/>
  <c r="AU84" i="1"/>
  <c r="AV97" i="1"/>
  <c r="AU92" i="1"/>
  <c r="AV85" i="1"/>
  <c r="AU96" i="1"/>
  <c r="AV96" i="1"/>
  <c r="AU99" i="1"/>
  <c r="AU89" i="1"/>
  <c r="AV92" i="1"/>
  <c r="AU78" i="1"/>
  <c r="AU82" i="1"/>
  <c r="AU86" i="1"/>
  <c r="AV88" i="1"/>
  <c r="AU81" i="1"/>
  <c r="AU77" i="1"/>
  <c r="AU94" i="1"/>
  <c r="AV95" i="1"/>
  <c r="AV81" i="1"/>
  <c r="AU75" i="1"/>
  <c r="AU71" i="1"/>
  <c r="AU90" i="1"/>
  <c r="AV91" i="1"/>
  <c r="AU93" i="1"/>
  <c r="AV94" i="1"/>
  <c r="AV87" i="1"/>
  <c r="AU70" i="1"/>
  <c r="AU65" i="1"/>
  <c r="AU68" i="1"/>
  <c r="AU64" i="1"/>
  <c r="AV61" i="1"/>
  <c r="AU62" i="1"/>
  <c r="AU69" i="1"/>
  <c r="AV63" i="1"/>
  <c r="AV70" i="1"/>
  <c r="AU67" i="1"/>
  <c r="AU66" i="1"/>
  <c r="AT70" i="1"/>
  <c r="AT64" i="1"/>
  <c r="AT67" i="1"/>
  <c r="AT63" i="1"/>
  <c r="AT68" i="1"/>
  <c r="AT65" i="1"/>
  <c r="AT61" i="1"/>
  <c r="AT69" i="1"/>
  <c r="AT66" i="1"/>
  <c r="AT62" i="1"/>
  <c r="AQ80" i="1"/>
  <c r="AV80" i="1" s="1"/>
  <c r="AQ64" i="1"/>
  <c r="AV64" i="1" s="1"/>
  <c r="AQ75" i="1"/>
  <c r="AV75" i="1" s="1"/>
  <c r="AQ59" i="1"/>
  <c r="AQ43" i="1"/>
  <c r="AQ98" i="1"/>
  <c r="AV98" i="1" s="1"/>
  <c r="AQ54" i="1"/>
  <c r="AQ38" i="1"/>
  <c r="AQ65" i="1"/>
  <c r="AV65" i="1" s="1"/>
  <c r="AQ49" i="1"/>
  <c r="AQ33" i="1"/>
  <c r="AQ76" i="1"/>
  <c r="AV76" i="1" s="1"/>
  <c r="AQ60" i="1"/>
  <c r="AQ99" i="1"/>
  <c r="AV99" i="1" s="1"/>
  <c r="AQ71" i="1"/>
  <c r="AV71" i="1" s="1"/>
  <c r="AQ39" i="1"/>
  <c r="AQ82" i="1"/>
  <c r="AV82" i="1" s="1"/>
  <c r="AQ66" i="1"/>
  <c r="AV66" i="1" s="1"/>
  <c r="AQ34" i="1"/>
  <c r="AQ77" i="1"/>
  <c r="AV77" i="1" s="1"/>
  <c r="AQ45" i="1"/>
  <c r="AQ100" i="1"/>
  <c r="AV100" i="1" s="1"/>
  <c r="AQ72" i="1"/>
  <c r="AV72" i="1" s="1"/>
  <c r="AQ56" i="1"/>
  <c r="AQ83" i="1"/>
  <c r="AV83" i="1" s="1"/>
  <c r="AQ67" i="1"/>
  <c r="AV67" i="1" s="1"/>
  <c r="AQ35" i="1"/>
  <c r="AQ78" i="1"/>
  <c r="AV78" i="1" s="1"/>
  <c r="AQ46" i="1"/>
  <c r="AQ31" i="1"/>
  <c r="AQ73" i="1"/>
  <c r="AV73" i="1" s="1"/>
  <c r="AQ57" i="1"/>
  <c r="AQ84" i="1"/>
  <c r="AV84" i="1" s="1"/>
  <c r="AQ68" i="1"/>
  <c r="AV68" i="1" s="1"/>
  <c r="AQ52" i="1"/>
  <c r="AQ79" i="1"/>
  <c r="AV79" i="1" s="1"/>
  <c r="AQ47" i="1"/>
  <c r="AQ74" i="1"/>
  <c r="AV74" i="1" s="1"/>
  <c r="AQ58" i="1"/>
  <c r="AQ69" i="1"/>
  <c r="AV69" i="1" s="1"/>
  <c r="AQ53" i="1"/>
  <c r="AQ37" i="1"/>
  <c r="AQ103" i="1" l="1"/>
  <c r="BC102" i="1"/>
  <c r="H19" i="2"/>
  <c r="BB102" i="1"/>
  <c r="BD102" i="1"/>
  <c r="AZ102" i="1"/>
  <c r="AY102" i="1"/>
  <c r="G19" i="2"/>
  <c r="E19" i="2"/>
  <c r="H17" i="2"/>
  <c r="F19" i="2"/>
  <c r="BE102" i="1"/>
  <c r="C19" i="2"/>
  <c r="D19" i="2"/>
  <c r="BA102" i="1"/>
  <c r="AJ49" i="1" l="1"/>
  <c r="AP49" i="1" s="1"/>
  <c r="AJ44" i="1"/>
  <c r="AP44" i="1" s="1"/>
  <c r="AH60" i="1"/>
  <c r="AN60" i="1" s="1"/>
  <c r="AI43" i="1"/>
  <c r="AO43" i="1" s="1"/>
  <c r="AH57" i="1"/>
  <c r="AN57" i="1" s="1"/>
  <c r="AH31" i="1"/>
  <c r="AN31" i="1" s="1"/>
  <c r="AI42" i="1"/>
  <c r="AO42" i="1" s="1"/>
  <c r="AI49" i="1"/>
  <c r="AO49" i="1" s="1"/>
  <c r="AI60" i="1"/>
  <c r="AO60" i="1" s="1"/>
  <c r="AI45" i="1"/>
  <c r="AO45" i="1" s="1"/>
  <c r="AI44" i="1"/>
  <c r="AO44" i="1" s="1"/>
  <c r="AH58" i="1"/>
  <c r="AN58" i="1" s="1"/>
  <c r="AI36" i="1"/>
  <c r="AO36" i="1" s="1"/>
  <c r="AH55" i="1"/>
  <c r="AN55" i="1" s="1"/>
  <c r="AH49" i="1"/>
  <c r="AN49" i="1" s="1"/>
  <c r="AH46" i="1"/>
  <c r="AN46" i="1" s="1"/>
  <c r="AJ31" i="1"/>
  <c r="AP31" i="1" s="1"/>
  <c r="AI56" i="1"/>
  <c r="AO56" i="1" s="1"/>
  <c r="AJ54" i="1"/>
  <c r="AP54" i="1" s="1"/>
  <c r="AJ57" i="1"/>
  <c r="AP57" i="1" s="1"/>
  <c r="AI37" i="1"/>
  <c r="AO37" i="1" s="1"/>
  <c r="AI47" i="1"/>
  <c r="AO47" i="1" s="1"/>
  <c r="AJ37" i="1"/>
  <c r="AP37" i="1" s="1"/>
  <c r="AI34" i="1"/>
  <c r="AO34" i="1" s="1"/>
  <c r="AJ43" i="1"/>
  <c r="AP43" i="1" s="1"/>
  <c r="AJ58" i="1"/>
  <c r="AP58" i="1" s="1"/>
  <c r="AJ50" i="1"/>
  <c r="AP50" i="1" s="1"/>
  <c r="AH42" i="1"/>
  <c r="AN42" i="1" s="1"/>
  <c r="AJ34" i="1"/>
  <c r="AP34" i="1" s="1"/>
  <c r="AJ38" i="1"/>
  <c r="AP38" i="1" s="1"/>
  <c r="AJ46" i="1"/>
  <c r="AP46" i="1" s="1"/>
  <c r="AH59" i="1"/>
  <c r="AN59" i="1" s="1"/>
  <c r="AI39" i="1"/>
  <c r="AO39" i="1" s="1"/>
  <c r="AJ45" i="1"/>
  <c r="AP45" i="1" s="1"/>
  <c r="AI57" i="1"/>
  <c r="AO57" i="1" s="1"/>
  <c r="AI33" i="1"/>
  <c r="AO33" i="1" s="1"/>
  <c r="AI35" i="1"/>
  <c r="AO35" i="1" s="1"/>
  <c r="AI59" i="1"/>
  <c r="AO59" i="1" s="1"/>
  <c r="AI40" i="1"/>
  <c r="AO40" i="1" s="1"/>
  <c r="AI51" i="1"/>
  <c r="AO51" i="1" s="1"/>
  <c r="AI55" i="1"/>
  <c r="AO55" i="1" s="1"/>
  <c r="AI53" i="1"/>
  <c r="AO53" i="1" s="1"/>
  <c r="AJ32" i="1"/>
  <c r="AP32" i="1" s="1"/>
  <c r="AI41" i="1"/>
  <c r="AO41" i="1" s="1"/>
  <c r="AJ55" i="1"/>
  <c r="AP55" i="1" s="1"/>
  <c r="AJ60" i="1"/>
  <c r="AP60" i="1" s="1"/>
  <c r="AJ52" i="1"/>
  <c r="AP52" i="1" s="1"/>
  <c r="AI46" i="1"/>
  <c r="AO46" i="1" s="1"/>
  <c r="AJ53" i="1"/>
  <c r="AP53" i="1" s="1"/>
  <c r="AI38" i="1"/>
  <c r="AO38" i="1" s="1"/>
  <c r="AJ42" i="1"/>
  <c r="AP42" i="1" s="1"/>
  <c r="AI54" i="1"/>
  <c r="AO54" i="1" s="1"/>
  <c r="AJ56" i="1"/>
  <c r="AP56" i="1" s="1"/>
  <c r="AJ47" i="1"/>
  <c r="AP47" i="1" s="1"/>
  <c r="AJ40" i="1"/>
  <c r="AP40" i="1" s="1"/>
  <c r="AH32" i="1"/>
  <c r="AN32" i="1" s="1"/>
  <c r="AJ41" i="1"/>
  <c r="AP41" i="1" s="1"/>
  <c r="AI58" i="1"/>
  <c r="AO58" i="1" s="1"/>
  <c r="AI32" i="1"/>
  <c r="AO32" i="1" s="1"/>
  <c r="AI31" i="1"/>
  <c r="AO31" i="1" s="1"/>
  <c r="AI50" i="1"/>
  <c r="AO50" i="1" s="1"/>
  <c r="AI48" i="1"/>
  <c r="AO48" i="1" s="1"/>
  <c r="AI52" i="1"/>
  <c r="AO52" i="1" s="1"/>
  <c r="AU54" i="1" l="1"/>
  <c r="AV54" i="1"/>
  <c r="AU53" i="1"/>
  <c r="AV53" i="1"/>
  <c r="AU55" i="1"/>
  <c r="AV55" i="1"/>
  <c r="AU57" i="1"/>
  <c r="AV57" i="1"/>
  <c r="AU56" i="1"/>
  <c r="AV56" i="1"/>
  <c r="AU58" i="1"/>
  <c r="AV58" i="1"/>
  <c r="AU60" i="1"/>
  <c r="AV60" i="1"/>
  <c r="AU40" i="1"/>
  <c r="AV40" i="1"/>
  <c r="AU32" i="1"/>
  <c r="AV32" i="1"/>
  <c r="AU42" i="1"/>
  <c r="AV42" i="1"/>
  <c r="AU31" i="1"/>
  <c r="AV31" i="1"/>
  <c r="AU37" i="1"/>
  <c r="AV37" i="1"/>
  <c r="AU38" i="1"/>
  <c r="AV38" i="1"/>
  <c r="AU50" i="1"/>
  <c r="AV50" i="1"/>
  <c r="AU45" i="1"/>
  <c r="AV45" i="1"/>
  <c r="AU47" i="1"/>
  <c r="AV47" i="1"/>
  <c r="AU46" i="1"/>
  <c r="AV46" i="1"/>
  <c r="AU52" i="1"/>
  <c r="AV52" i="1"/>
  <c r="AU44" i="1"/>
  <c r="AV44" i="1"/>
  <c r="AU41" i="1"/>
  <c r="AV41" i="1"/>
  <c r="AU34" i="1"/>
  <c r="AV34" i="1"/>
  <c r="AU43" i="1"/>
  <c r="AV43" i="1"/>
  <c r="AU49" i="1"/>
  <c r="AV49" i="1"/>
  <c r="AT57" i="1"/>
  <c r="AT58" i="1"/>
  <c r="AT31" i="1"/>
  <c r="AT59" i="1"/>
  <c r="AT32" i="1"/>
  <c r="AT46" i="1"/>
  <c r="AT55" i="1"/>
  <c r="AT42" i="1"/>
  <c r="AT60" i="1"/>
  <c r="AT49" i="1"/>
  <c r="AJ39" i="1"/>
  <c r="AP39" i="1" s="1"/>
  <c r="AJ59" i="1"/>
  <c r="AP59" i="1" s="1"/>
  <c r="AJ35" i="1"/>
  <c r="AP35" i="1" s="1"/>
  <c r="AJ51" i="1"/>
  <c r="AP51" i="1" s="1"/>
  <c r="AJ48" i="1"/>
  <c r="AP48" i="1" s="1"/>
  <c r="AJ33" i="1"/>
  <c r="AP33" i="1" s="1"/>
  <c r="AJ36" i="1"/>
  <c r="AP36" i="1" s="1"/>
  <c r="AH41" i="1"/>
  <c r="AN41" i="1" s="1"/>
  <c r="AT41" i="1" s="1"/>
  <c r="AH34" i="1"/>
  <c r="AN34" i="1" s="1"/>
  <c r="AT34" i="1" s="1"/>
  <c r="AH51" i="1"/>
  <c r="AN51" i="1" s="1"/>
  <c r="AT51" i="1" s="1"/>
  <c r="AH47" i="1"/>
  <c r="AN47" i="1" s="1"/>
  <c r="AT47" i="1" s="1"/>
  <c r="AH45" i="1"/>
  <c r="AN45" i="1" s="1"/>
  <c r="AT45" i="1" s="1"/>
  <c r="AH50" i="1"/>
  <c r="AN50" i="1" s="1"/>
  <c r="AT50" i="1" s="1"/>
  <c r="AH56" i="1"/>
  <c r="AN56" i="1" s="1"/>
  <c r="AT56" i="1" s="1"/>
  <c r="AH39" i="1"/>
  <c r="AN39" i="1" s="1"/>
  <c r="AT39" i="1" s="1"/>
  <c r="AH36" i="1"/>
  <c r="AN36" i="1" s="1"/>
  <c r="AT36" i="1" s="1"/>
  <c r="AH52" i="1"/>
  <c r="AN52" i="1" s="1"/>
  <c r="AT52" i="1" s="1"/>
  <c r="AH54" i="1"/>
  <c r="AN54" i="1" s="1"/>
  <c r="AT54" i="1" s="1"/>
  <c r="AH44" i="1"/>
  <c r="AN44" i="1" s="1"/>
  <c r="AT44" i="1" s="1"/>
  <c r="AH35" i="1"/>
  <c r="AN35" i="1" s="1"/>
  <c r="AT35" i="1" s="1"/>
  <c r="AH48" i="1"/>
  <c r="AN48" i="1" s="1"/>
  <c r="AT48" i="1" s="1"/>
  <c r="AH43" i="1"/>
  <c r="AN43" i="1" s="1"/>
  <c r="AT43" i="1" s="1"/>
  <c r="AH37" i="1"/>
  <c r="AN37" i="1" s="1"/>
  <c r="AT37" i="1" s="1"/>
  <c r="AH38" i="1"/>
  <c r="AN38" i="1" s="1"/>
  <c r="AT38" i="1" s="1"/>
  <c r="AH40" i="1"/>
  <c r="AN40" i="1" s="1"/>
  <c r="AT40" i="1" s="1"/>
  <c r="AH53" i="1"/>
  <c r="AN53" i="1" s="1"/>
  <c r="AT53" i="1" s="1"/>
  <c r="AH33" i="1"/>
  <c r="AN33" i="1" s="1"/>
  <c r="AT33" i="1" s="1"/>
  <c r="AU59" i="1" l="1"/>
  <c r="AV59" i="1"/>
  <c r="AU39" i="1"/>
  <c r="AV39" i="1"/>
  <c r="AU36" i="1"/>
  <c r="AV36" i="1"/>
  <c r="AU33" i="1"/>
  <c r="AV33" i="1"/>
  <c r="AU48" i="1"/>
  <c r="AV48" i="1"/>
  <c r="AU51" i="1"/>
  <c r="AV51" i="1"/>
  <c r="AU35" i="1"/>
  <c r="AV35" i="1"/>
  <c r="AR102" i="1"/>
  <c r="AS102" i="1"/>
  <c r="AQ102" i="1"/>
  <c r="F14" i="2"/>
  <c r="AW103" i="1" l="1"/>
  <c r="F17" i="2" s="1"/>
  <c r="AW102" i="1"/>
  <c r="AX103" i="1"/>
  <c r="G17" i="2" s="1"/>
  <c r="AX102" i="1"/>
  <c r="O30" i="1"/>
  <c r="W30" i="1" s="1"/>
  <c r="AC30" i="1" l="1"/>
  <c r="AI30" i="1" s="1"/>
  <c r="AO30" i="1" s="1"/>
  <c r="X30" i="1"/>
  <c r="AF30" i="1"/>
  <c r="AG30" i="1"/>
  <c r="AB30" i="1"/>
  <c r="AH30" i="1" s="1"/>
  <c r="AN30" i="1" s="1"/>
  <c r="AE30" i="1"/>
  <c r="E105" i="1"/>
  <c r="AD30" i="1"/>
  <c r="AJ30" i="1" s="1"/>
  <c r="AP30" i="1" s="1"/>
  <c r="AO103" i="1" l="1"/>
  <c r="D14" i="2" s="1"/>
  <c r="AU30" i="1"/>
  <c r="AO102" i="1"/>
  <c r="D115" i="1"/>
  <c r="H115" i="1" s="1"/>
  <c r="D113" i="1"/>
  <c r="H113" i="1" s="1"/>
  <c r="D112" i="1"/>
  <c r="H112" i="1" s="1"/>
  <c r="D111" i="1"/>
  <c r="H111" i="1" s="1"/>
  <c r="D118" i="1"/>
  <c r="H118" i="1" s="1"/>
  <c r="D114" i="1"/>
  <c r="H114" i="1" s="1"/>
  <c r="D108" i="1"/>
  <c r="D116" i="1"/>
  <c r="H116" i="1" s="1"/>
  <c r="D110" i="1"/>
  <c r="H110" i="1" s="1"/>
  <c r="D117" i="1"/>
  <c r="H117" i="1" s="1"/>
  <c r="D109" i="1"/>
  <c r="H109" i="1" s="1"/>
  <c r="AP103" i="1"/>
  <c r="E14" i="2" s="1"/>
  <c r="AV30" i="1"/>
  <c r="AP102" i="1"/>
  <c r="AT30" i="1"/>
  <c r="AN102" i="1"/>
  <c r="AN103" i="1"/>
  <c r="C14" i="2" s="1"/>
  <c r="AU102" i="1" l="1"/>
  <c r="AU103" i="1"/>
  <c r="D17" i="2" s="1"/>
  <c r="AT103" i="1"/>
  <c r="C17" i="2" s="1"/>
  <c r="AT102" i="1"/>
  <c r="AV102" i="1"/>
  <c r="AV103" i="1"/>
  <c r="E17" i="2" s="1"/>
  <c r="H108" i="1"/>
  <c r="D119" i="1"/>
  <c r="H119" i="1" s="1"/>
</calcChain>
</file>

<file path=xl/comments1.xml><?xml version="1.0" encoding="utf-8"?>
<comments xmlns="http://schemas.openxmlformats.org/spreadsheetml/2006/main">
  <authors>
    <author>Mijanur Rahman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Enter a minor version in lowercase if changes are made more than once in a day; otherwise, leave it blank.</t>
        </r>
      </text>
    </comment>
  </commentList>
</comments>
</file>

<file path=xl/sharedStrings.xml><?xml version="1.0" encoding="utf-8"?>
<sst xmlns="http://schemas.openxmlformats.org/spreadsheetml/2006/main" count="337" uniqueCount="200">
  <si>
    <t xml:space="preserve">Department of Computer Science and Engineering </t>
  </si>
  <si>
    <t>Bangladesh University of Business and Technlogy (BUBT)</t>
  </si>
  <si>
    <t>Course Grade</t>
  </si>
  <si>
    <t>Numerical Grade</t>
  </si>
  <si>
    <t>Letter Grade</t>
  </si>
  <si>
    <t>General Information</t>
  </si>
  <si>
    <t>80% and above</t>
  </si>
  <si>
    <t>A+</t>
  </si>
  <si>
    <t>(A Plus)</t>
  </si>
  <si>
    <t>Course No:</t>
  </si>
  <si>
    <t>75% to less than 80%</t>
  </si>
  <si>
    <t>A</t>
  </si>
  <si>
    <t>(A Regular)</t>
  </si>
  <si>
    <t>Course Title:</t>
  </si>
  <si>
    <t>70% to less than 75%</t>
  </si>
  <si>
    <t>A-</t>
  </si>
  <si>
    <t>(A Minus)</t>
  </si>
  <si>
    <t>Cr. Hr.:</t>
  </si>
  <si>
    <t>65% to less than 70%</t>
  </si>
  <si>
    <t>B+</t>
  </si>
  <si>
    <t>(B Plus)</t>
  </si>
  <si>
    <t>Faculty:</t>
  </si>
  <si>
    <t>60% to less than 65%</t>
  </si>
  <si>
    <t>B</t>
  </si>
  <si>
    <t>(B Regular)</t>
  </si>
  <si>
    <t>Intake:</t>
  </si>
  <si>
    <t>55% to less than 60%</t>
  </si>
  <si>
    <t>B-</t>
  </si>
  <si>
    <t>(B Minus)</t>
  </si>
  <si>
    <t>Section:</t>
  </si>
  <si>
    <t>50% to less than 55%</t>
  </si>
  <si>
    <t>C+</t>
  </si>
  <si>
    <t>(C Plus)</t>
  </si>
  <si>
    <t>Shift:</t>
  </si>
  <si>
    <t>45% to less than 50%</t>
  </si>
  <si>
    <t>C</t>
  </si>
  <si>
    <t>(C Regular)</t>
  </si>
  <si>
    <t>40% to less than 45%</t>
  </si>
  <si>
    <t>D</t>
  </si>
  <si>
    <t>Less than 40%</t>
  </si>
  <si>
    <t>F</t>
  </si>
  <si>
    <t>Student ID</t>
  </si>
  <si>
    <t>Student Name</t>
  </si>
  <si>
    <t>MID TERM</t>
  </si>
  <si>
    <t>MT</t>
  </si>
  <si>
    <t>FINAL EXAM</t>
  </si>
  <si>
    <t>FE</t>
  </si>
  <si>
    <t>Total</t>
  </si>
  <si>
    <t>Name</t>
  </si>
  <si>
    <t>CO &amp; PO ACHIEVEMENT ANALYSIS</t>
  </si>
  <si>
    <t>CO1</t>
  </si>
  <si>
    <t>CO2</t>
  </si>
  <si>
    <t>CO3</t>
  </si>
  <si>
    <t>CO4</t>
  </si>
  <si>
    <t>CO MARK OBTAINED</t>
  </si>
  <si>
    <t>CO MARK IN PERCENTAGE</t>
  </si>
  <si>
    <t>PO1</t>
  </si>
  <si>
    <t>PO3</t>
  </si>
  <si>
    <t>%</t>
  </si>
  <si>
    <t>Total Students:</t>
  </si>
  <si>
    <t>Total Achievement:</t>
  </si>
  <si>
    <t>Percentage(%):</t>
  </si>
  <si>
    <t>Result Summary</t>
  </si>
  <si>
    <t>Abbrebiations</t>
  </si>
  <si>
    <t>Class Test</t>
  </si>
  <si>
    <t>Assignment</t>
  </si>
  <si>
    <t>Grade</t>
  </si>
  <si>
    <t>No. of Students</t>
  </si>
  <si>
    <t>Percentage(%)</t>
  </si>
  <si>
    <t>Attendance</t>
  </si>
  <si>
    <t>A (Plus)</t>
  </si>
  <si>
    <t>Final Exam</t>
  </si>
  <si>
    <t>B (Plus)</t>
  </si>
  <si>
    <t>PO4</t>
  </si>
  <si>
    <t>PO2</t>
  </si>
  <si>
    <t>GRADE SHEET (OBE)</t>
  </si>
  <si>
    <t>CO ACHIEVEMENT (&gt;=%)</t>
  </si>
  <si>
    <t>PO ACHIEVEMENT (&gt;=%)</t>
  </si>
  <si>
    <t>A (Minus)</t>
  </si>
  <si>
    <t>B (Minus)</t>
  </si>
  <si>
    <t>C (Plus)</t>
  </si>
  <si>
    <t>F (Fail)</t>
  </si>
  <si>
    <t>ID No</t>
  </si>
  <si>
    <t>Total Students Present:</t>
  </si>
  <si>
    <t>PO5</t>
  </si>
  <si>
    <t>PO6</t>
  </si>
  <si>
    <t>PO7</t>
  </si>
  <si>
    <t>PO8</t>
  </si>
  <si>
    <t>PO9</t>
  </si>
  <si>
    <t>PO10</t>
  </si>
  <si>
    <t>PO11</t>
  </si>
  <si>
    <t>PO12</t>
  </si>
  <si>
    <t>Course Report</t>
  </si>
  <si>
    <t>PO Achievement (%)</t>
  </si>
  <si>
    <t>State your suggestions for improving CO-PO achievement of this course.</t>
  </si>
  <si>
    <t xml:space="preserve">State your suggestions for improving teaching methodology of this course. </t>
  </si>
  <si>
    <t>Signature of the Reporting Faculty</t>
  </si>
  <si>
    <t>Semester:</t>
  </si>
  <si>
    <t>Course Outcome</t>
  </si>
  <si>
    <t>Comment 1:</t>
  </si>
  <si>
    <t>Comment 2:</t>
  </si>
  <si>
    <t>Quiz Test</t>
  </si>
  <si>
    <t>Presentation</t>
  </si>
  <si>
    <t>Viva Voce</t>
  </si>
  <si>
    <t>Grade
Point</t>
  </si>
  <si>
    <t>General
Comment:</t>
  </si>
  <si>
    <t>CO
No</t>
  </si>
  <si>
    <t>Lab Test</t>
  </si>
  <si>
    <t>Continuous Assessment</t>
  </si>
  <si>
    <t>CO Achievement (%)</t>
  </si>
  <si>
    <t>(D Regular)</t>
  </si>
  <si>
    <t>(Fail)</t>
  </si>
  <si>
    <t>CT</t>
  </si>
  <si>
    <t>ASM</t>
  </si>
  <si>
    <t>AT</t>
  </si>
  <si>
    <t>QT</t>
  </si>
  <si>
    <t>PRE</t>
  </si>
  <si>
    <t>VIV</t>
  </si>
  <si>
    <t>Lab</t>
  </si>
  <si>
    <t>CP</t>
  </si>
  <si>
    <t>Class Participation</t>
  </si>
  <si>
    <t>Mid Term</t>
  </si>
  <si>
    <t>Error</t>
  </si>
  <si>
    <r>
      <t xml:space="preserve">Best
</t>
    </r>
    <r>
      <rPr>
        <b/>
        <sz val="6"/>
        <color rgb="FF434343"/>
        <rFont val="Verdana"/>
        <family val="2"/>
      </rPr>
      <t>(Max. 3)</t>
    </r>
  </si>
  <si>
    <t>Q1</t>
  </si>
  <si>
    <t>Q2</t>
  </si>
  <si>
    <t>Q3</t>
  </si>
  <si>
    <t>CO5</t>
  </si>
  <si>
    <t>CO6</t>
  </si>
  <si>
    <t>File Version:</t>
  </si>
  <si>
    <t>Checksum:</t>
  </si>
  <si>
    <t>Minor Version:</t>
  </si>
  <si>
    <t>[CO1]</t>
  </si>
  <si>
    <t>[CO2]</t>
  </si>
  <si>
    <t>[CO3]</t>
  </si>
  <si>
    <t>[CO4]</t>
  </si>
  <si>
    <t>[CO5]</t>
  </si>
  <si>
    <t>[CO6]</t>
  </si>
  <si>
    <t>CA</t>
  </si>
  <si>
    <t>Course Code:</t>
  </si>
  <si>
    <t>Program:</t>
  </si>
  <si>
    <t>B.Sc. In CSE</t>
  </si>
  <si>
    <t>4113bb0891f236d7ab50586b6241a2a2</t>
  </si>
  <si>
    <t>Computer Graphics</t>
  </si>
  <si>
    <t>The course is well-structured; adding more practical exercises and industry-relevant examples would further enhance learning.</t>
  </si>
  <si>
    <t>Use more interactive demonstrations and visualization tools to explain graphics algorithms effectively.</t>
  </si>
  <si>
    <t>Conduct regular quizzes and practice sessions to reinforce CO attainment.</t>
  </si>
  <si>
    <t>Shamim Hossan</t>
  </si>
  <si>
    <t>Shajnin Akter Lorin</t>
  </si>
  <si>
    <t>Md. Arifur Rahman</t>
  </si>
  <si>
    <t>Tusty Das</t>
  </si>
  <si>
    <t>Md. Redwan Hossain Rakib</t>
  </si>
  <si>
    <t>Ehasanul Haque</t>
  </si>
  <si>
    <t>Rohima Khanom</t>
  </si>
  <si>
    <t>Fatimatuj Johora Samrina</t>
  </si>
  <si>
    <t>Baizid Biswas Polash</t>
  </si>
  <si>
    <t>Md. Rasedul Islam</t>
  </si>
  <si>
    <t>Md. Abdul Wahid</t>
  </si>
  <si>
    <t>Shamima Akter Santo</t>
  </si>
  <si>
    <t>Md. Rayhan</t>
  </si>
  <si>
    <t>Md. Fazla Rabbi</t>
  </si>
  <si>
    <t>Al Mamun Shikdar</t>
  </si>
  <si>
    <t>Shariar Soton</t>
  </si>
  <si>
    <t>Minhajur Rahman</t>
  </si>
  <si>
    <t>Md. Omar Faruk Fahim</t>
  </si>
  <si>
    <t>Muhammad Nazmus Sakib</t>
  </si>
  <si>
    <t>Jebunnesa Zamal</t>
  </si>
  <si>
    <t>Md. Sheikh Sayed</t>
  </si>
  <si>
    <t>Jannatul Ferdous</t>
  </si>
  <si>
    <t>Jannatul Mahjabin Mithi</t>
  </si>
  <si>
    <t>Sultan Ahmmed</t>
  </si>
  <si>
    <t>Md. Tanjim Khan</t>
  </si>
  <si>
    <t>Suraia Islam</t>
  </si>
  <si>
    <t>Ali Akbar Rakib</t>
  </si>
  <si>
    <t>Sadia Islam</t>
  </si>
  <si>
    <t>Tarikul Islam</t>
  </si>
  <si>
    <t>Md. Soykot Ahamed</t>
  </si>
  <si>
    <t>Utsob</t>
  </si>
  <si>
    <t>Md. Sadat Islam</t>
  </si>
  <si>
    <t>Urmi Akter</t>
  </si>
  <si>
    <t>S. M. Tanbin Tazim</t>
  </si>
  <si>
    <t>Shahadat Hossain Shuhan</t>
  </si>
  <si>
    <t>Ahmad Yasir Rahat</t>
  </si>
  <si>
    <t>Sumya Akter Any</t>
  </si>
  <si>
    <t>Md. Tanvir Hossain</t>
  </si>
  <si>
    <t>Md. Riajul Islam</t>
  </si>
  <si>
    <t>Naimur Sakib</t>
  </si>
  <si>
    <t>Asmaul Husna</t>
  </si>
  <si>
    <t>Md. Ashiqur Rahman</t>
  </si>
  <si>
    <t>Md. Ashiqur Rahman (AR)</t>
  </si>
  <si>
    <t>CSE 342</t>
  </si>
  <si>
    <t>CLP</t>
  </si>
  <si>
    <t>Summer Semester, 2026</t>
  </si>
  <si>
    <t>-</t>
  </si>
  <si>
    <t>CLP1</t>
  </si>
  <si>
    <t>CLP2</t>
  </si>
  <si>
    <t>CLP3</t>
  </si>
  <si>
    <t>CLP4</t>
  </si>
  <si>
    <t>CLP5</t>
  </si>
  <si>
    <t>Continuous Lab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</si>
</sst>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6">
    <font>
      <sz val="10"/>
      <color rgb="FF000000"/>
      <name val="Arial"/>
    </font>
    <font>
      <sz val="10"/>
      <color theme="1"/>
      <name val="Verdana"/>
      <family val="2"/>
    </font>
    <font>
      <b/>
      <sz val="14"/>
      <color rgb="FF073763"/>
      <name val="Verdana"/>
      <family val="2"/>
    </font>
    <font>
      <b/>
      <sz val="10"/>
      <color theme="1"/>
      <name val="Verdana"/>
      <family val="2"/>
    </font>
    <font>
      <b/>
      <u/>
      <sz val="14"/>
      <color rgb="FF073763"/>
      <name val="Verdana"/>
      <family val="2"/>
    </font>
    <font>
      <b/>
      <u/>
      <sz val="10"/>
      <color theme="1"/>
      <name val="Verdana"/>
      <family val="2"/>
    </font>
    <font>
      <b/>
      <sz val="12"/>
      <color theme="1"/>
      <name val="Times New Roman"/>
      <family val="1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Verdana"/>
      <family val="2"/>
    </font>
    <font>
      <sz val="12"/>
      <color theme="1"/>
      <name val="Times New Roman"/>
      <family val="1"/>
    </font>
    <font>
      <sz val="12"/>
      <color theme="1"/>
      <name val="Verdana"/>
      <family val="2"/>
    </font>
    <font>
      <b/>
      <sz val="10"/>
      <color rgb="FF0000CC"/>
      <name val="Verdana"/>
      <family val="2"/>
    </font>
    <font>
      <b/>
      <sz val="10"/>
      <color rgb="FFFFFF00"/>
      <name val="Verdana"/>
      <family val="2"/>
    </font>
    <font>
      <sz val="10"/>
      <color rgb="FF0000CC"/>
      <name val="Verdana"/>
      <family val="2"/>
    </font>
    <font>
      <b/>
      <sz val="14"/>
      <color rgb="FF000000"/>
      <name val="Verdana"/>
      <family val="2"/>
    </font>
    <font>
      <b/>
      <sz val="18"/>
      <color rgb="FF000000"/>
      <name val="Inconsolata"/>
    </font>
    <font>
      <sz val="14"/>
      <color theme="1"/>
      <name val="Calibri"/>
      <family val="2"/>
    </font>
    <font>
      <sz val="10"/>
      <color rgb="FF434343"/>
      <name val="Verdana"/>
      <family val="2"/>
    </font>
    <font>
      <b/>
      <sz val="10"/>
      <color rgb="FF434343"/>
      <name val="Verdana"/>
      <family val="2"/>
    </font>
    <font>
      <sz val="10"/>
      <color rgb="FF434343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Times New Roman"/>
      <family val="1"/>
    </font>
    <font>
      <b/>
      <sz val="12"/>
      <color theme="1"/>
      <name val="Verdana"/>
      <family val="2"/>
    </font>
    <font>
      <b/>
      <u/>
      <sz val="12"/>
      <color theme="1"/>
      <name val="Verdana"/>
      <family val="2"/>
    </font>
    <font>
      <b/>
      <sz val="10"/>
      <color rgb="FF434343"/>
      <name val="Verdana"/>
      <family val="2"/>
    </font>
    <font>
      <sz val="10"/>
      <color rgb="FF434343"/>
      <name val="Verdana"/>
      <family val="2"/>
    </font>
    <font>
      <b/>
      <sz val="12"/>
      <color theme="1"/>
      <name val="Calibri"/>
      <family val="2"/>
    </font>
    <font>
      <b/>
      <u/>
      <sz val="18"/>
      <color rgb="FF0B5394"/>
      <name val="Verdana"/>
      <family val="2"/>
    </font>
    <font>
      <b/>
      <sz val="14"/>
      <color rgb="FF073763"/>
      <name val="Verdana"/>
      <family val="2"/>
    </font>
    <font>
      <sz val="12"/>
      <color theme="1"/>
      <name val="Times New Roman"/>
      <family val="1"/>
    </font>
    <font>
      <sz val="10"/>
      <color rgb="FFFF0000"/>
      <name val="Verdana"/>
      <family val="2"/>
    </font>
    <font>
      <sz val="10"/>
      <name val="Verdana"/>
      <family val="2"/>
    </font>
    <font>
      <b/>
      <sz val="6"/>
      <color rgb="FF434343"/>
      <name val="Verdana"/>
      <family val="2"/>
    </font>
    <font>
      <b/>
      <sz val="10"/>
      <name val="Arial"/>
      <family val="2"/>
    </font>
    <font>
      <sz val="12"/>
      <color rgb="FF000000"/>
      <name val="Verdana"/>
      <family val="2"/>
    </font>
    <font>
      <b/>
      <sz val="10"/>
      <color theme="0"/>
      <name val="Verdana"/>
      <family val="2"/>
    </font>
    <font>
      <sz val="10"/>
      <color theme="0"/>
      <name val="Verdana"/>
      <family val="2"/>
    </font>
    <font>
      <b/>
      <sz val="9"/>
      <color indexed="81"/>
      <name val="Tahoma"/>
      <family val="2"/>
    </font>
    <font>
      <b/>
      <sz val="10"/>
      <color rgb="FF0070C0"/>
      <name val="Verdana"/>
      <family val="2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828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6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253">
    <xf numFmtId="0" fontId="0" fillId="0" borderId="0" xfId="0"/>
    <xf numFmtId="0" fontId="25" fillId="0" borderId="0" xfId="1" applyFont="1" applyAlignment="1">
      <alignment horizontal="right"/>
    </xf>
    <xf numFmtId="0" fontId="23" fillId="0" borderId="0" xfId="1"/>
    <xf numFmtId="0" fontId="25" fillId="0" borderId="0" xfId="1" applyFont="1"/>
    <xf numFmtId="0" fontId="23" fillId="0" borderId="0" xfId="1" applyAlignment="1">
      <alignment horizontal="left"/>
    </xf>
    <xf numFmtId="0" fontId="24" fillId="0" borderId="0" xfId="1" applyFont="1"/>
    <xf numFmtId="0" fontId="25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23" fillId="0" borderId="0" xfId="1" applyProtection="1">
      <protection locked="0"/>
    </xf>
    <xf numFmtId="0" fontId="25" fillId="0" borderId="0" xfId="0" applyFont="1" applyProtection="1">
      <protection hidden="1"/>
    </xf>
    <xf numFmtId="0" fontId="18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0" fontId="16" fillId="0" borderId="0" xfId="0" applyFont="1" applyProtection="1">
      <protection hidden="1"/>
    </xf>
    <xf numFmtId="0" fontId="23" fillId="0" borderId="0" xfId="1" applyAlignment="1" applyProtection="1">
      <alignment horizontal="center"/>
      <protection locked="0"/>
    </xf>
    <xf numFmtId="0" fontId="25" fillId="0" borderId="0" xfId="1" applyFont="1" applyAlignment="1" applyProtection="1">
      <alignment horizontal="center"/>
      <protection locked="0"/>
    </xf>
    <xf numFmtId="0" fontId="25" fillId="3" borderId="18" xfId="1" applyFont="1" applyFill="1" applyBorder="1" applyAlignment="1">
      <alignment horizontal="center"/>
    </xf>
    <xf numFmtId="2" fontId="23" fillId="4" borderId="18" xfId="1" applyNumberFormat="1" applyFill="1" applyBorder="1" applyAlignment="1">
      <alignment horizontal="center"/>
    </xf>
    <xf numFmtId="0" fontId="25" fillId="0" borderId="0" xfId="0" applyFont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5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33" fillId="0" borderId="0" xfId="0" applyFont="1" applyProtection="1">
      <protection locked="0"/>
    </xf>
    <xf numFmtId="0" fontId="3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8" fillId="0" borderId="0" xfId="0" applyFont="1"/>
    <xf numFmtId="0" fontId="3" fillId="0" borderId="0" xfId="0" applyFont="1" applyAlignment="1">
      <alignment horizontal="left"/>
    </xf>
    <xf numFmtId="2" fontId="8" fillId="0" borderId="0" xfId="0" applyNumberFormat="1" applyFont="1"/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7" xfId="0" applyFont="1" applyBorder="1" applyAlignment="1" applyProtection="1">
      <alignment vertical="center" wrapText="1"/>
      <protection hidden="1"/>
    </xf>
    <xf numFmtId="0" fontId="3" fillId="0" borderId="7" xfId="0" applyFont="1" applyBorder="1" applyAlignment="1" applyProtection="1">
      <alignment horizontal="center" vertical="center"/>
      <protection hidden="1"/>
    </xf>
    <xf numFmtId="0" fontId="1" fillId="0" borderId="0" xfId="0" applyFont="1" applyAlignment="1">
      <alignment vertical="center"/>
    </xf>
    <xf numFmtId="0" fontId="1" fillId="0" borderId="18" xfId="0" applyFont="1" applyBorder="1" applyAlignment="1">
      <alignment vertical="center"/>
    </xf>
    <xf numFmtId="0" fontId="0" fillId="0" borderId="18" xfId="0" applyBorder="1"/>
    <xf numFmtId="0" fontId="0" fillId="0" borderId="20" xfId="0" applyBorder="1"/>
    <xf numFmtId="0" fontId="7" fillId="0" borderId="0" xfId="0" applyFont="1" applyAlignment="1" applyProtection="1">
      <alignment horizontal="center"/>
      <protection hidden="1"/>
    </xf>
    <xf numFmtId="0" fontId="17" fillId="0" borderId="0" xfId="0" applyFont="1"/>
    <xf numFmtId="0" fontId="0" fillId="0" borderId="0" xfId="0" applyProtection="1">
      <protection hidden="1"/>
    </xf>
    <xf numFmtId="2" fontId="3" fillId="0" borderId="7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19" fillId="8" borderId="18" xfId="0" applyFont="1" applyFill="1" applyBorder="1" applyAlignment="1">
      <alignment horizontal="center" wrapText="1"/>
    </xf>
    <xf numFmtId="0" fontId="29" fillId="8" borderId="18" xfId="0" applyFont="1" applyFill="1" applyBorder="1" applyAlignment="1">
      <alignment horizontal="right"/>
    </xf>
    <xf numFmtId="0" fontId="19" fillId="8" borderId="18" xfId="0" applyFont="1" applyFill="1" applyBorder="1" applyAlignment="1">
      <alignment horizontal="right"/>
    </xf>
    <xf numFmtId="0" fontId="31" fillId="6" borderId="18" xfId="0" applyFont="1" applyFill="1" applyBorder="1" applyAlignment="1">
      <alignment wrapText="1"/>
    </xf>
    <xf numFmtId="0" fontId="10" fillId="6" borderId="18" xfId="0" applyFont="1" applyFill="1" applyBorder="1" applyAlignment="1">
      <alignment vertical="top"/>
    </xf>
    <xf numFmtId="2" fontId="10" fillId="6" borderId="18" xfId="0" applyNumberFormat="1" applyFont="1" applyFill="1" applyBorder="1" applyAlignment="1">
      <alignment vertical="top"/>
    </xf>
    <xf numFmtId="0" fontId="1" fillId="13" borderId="18" xfId="0" applyFont="1" applyFill="1" applyBorder="1" applyAlignment="1" applyProtection="1">
      <alignment horizontal="center" vertical="center"/>
      <protection locked="0"/>
    </xf>
    <xf numFmtId="0" fontId="1" fillId="14" borderId="18" xfId="0" applyFont="1" applyFill="1" applyBorder="1" applyAlignment="1" applyProtection="1">
      <alignment horizontal="center" vertical="center"/>
      <protection locked="0"/>
    </xf>
    <xf numFmtId="1" fontId="12" fillId="14" borderId="15" xfId="0" applyNumberFormat="1" applyFont="1" applyFill="1" applyBorder="1" applyAlignment="1" applyProtection="1">
      <alignment horizontal="center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locked="0"/>
    </xf>
    <xf numFmtId="0" fontId="1" fillId="15" borderId="18" xfId="0" applyFont="1" applyFill="1" applyBorder="1" applyAlignment="1" applyProtection="1">
      <alignment horizontal="center" vertical="center"/>
      <protection locked="0"/>
    </xf>
    <xf numFmtId="0" fontId="1" fillId="13" borderId="18" xfId="0" applyFont="1" applyFill="1" applyBorder="1" applyAlignment="1" applyProtection="1">
      <alignment horizontal="center" vertical="center" wrapText="1"/>
      <protection locked="0"/>
    </xf>
    <xf numFmtId="0" fontId="1" fillId="13" borderId="15" xfId="0" applyFont="1" applyFill="1" applyBorder="1" applyAlignment="1" applyProtection="1">
      <alignment horizontal="center" vertical="center" wrapText="1"/>
      <protection locked="0"/>
    </xf>
    <xf numFmtId="164" fontId="1" fillId="15" borderId="17" xfId="0" applyNumberFormat="1" applyFont="1" applyFill="1" applyBorder="1" applyAlignment="1" applyProtection="1">
      <alignment horizontal="right" vertical="center" wrapText="1"/>
      <protection locked="0"/>
    </xf>
    <xf numFmtId="164" fontId="1" fillId="15" borderId="17" xfId="0" applyNumberFormat="1" applyFont="1" applyFill="1" applyBorder="1" applyAlignment="1" applyProtection="1">
      <alignment horizontal="right" vertical="center"/>
      <protection locked="0"/>
    </xf>
    <xf numFmtId="164" fontId="1" fillId="15" borderId="7" xfId="0" applyNumberFormat="1" applyFont="1" applyFill="1" applyBorder="1" applyAlignment="1" applyProtection="1">
      <alignment horizontal="right" vertical="center" wrapText="1"/>
      <protection locked="0"/>
    </xf>
    <xf numFmtId="164" fontId="1" fillId="15" borderId="7" xfId="0" applyNumberFormat="1" applyFont="1" applyFill="1" applyBorder="1" applyAlignment="1" applyProtection="1">
      <alignment horizontal="right" vertical="center"/>
      <protection locked="0"/>
    </xf>
    <xf numFmtId="164" fontId="1" fillId="15" borderId="15" xfId="0" applyNumberFormat="1" applyFont="1" applyFill="1" applyBorder="1" applyAlignment="1" applyProtection="1">
      <alignment horizontal="right" vertical="center" wrapText="1"/>
      <protection locked="0"/>
    </xf>
    <xf numFmtId="164" fontId="1" fillId="15" borderId="13" xfId="0" applyNumberFormat="1" applyFont="1" applyFill="1" applyBorder="1" applyAlignment="1" applyProtection="1">
      <alignment horizontal="right" vertical="center"/>
      <protection locked="0"/>
    </xf>
    <xf numFmtId="164" fontId="1" fillId="15" borderId="18" xfId="0" applyNumberFormat="1" applyFont="1" applyFill="1" applyBorder="1" applyAlignment="1" applyProtection="1">
      <alignment horizontal="right" vertical="center" wrapText="1"/>
      <protection locked="0"/>
    </xf>
    <xf numFmtId="164" fontId="1" fillId="15" borderId="18" xfId="0" applyNumberFormat="1" applyFont="1" applyFill="1" applyBorder="1" applyAlignment="1" applyProtection="1">
      <alignment horizontal="right" vertical="center"/>
      <protection locked="0"/>
    </xf>
    <xf numFmtId="164" fontId="1" fillId="15" borderId="15" xfId="0" applyNumberFormat="1" applyFont="1" applyFill="1" applyBorder="1" applyAlignment="1" applyProtection="1">
      <alignment horizontal="right" vertical="center"/>
      <protection locked="0"/>
    </xf>
    <xf numFmtId="164" fontId="22" fillId="15" borderId="18" xfId="0" applyNumberFormat="1" applyFont="1" applyFill="1" applyBorder="1" applyAlignment="1" applyProtection="1">
      <alignment horizontal="right" vertical="center"/>
      <protection locked="0"/>
    </xf>
    <xf numFmtId="0" fontId="22" fillId="15" borderId="18" xfId="0" applyFont="1" applyFill="1" applyBorder="1" applyAlignment="1" applyProtection="1">
      <alignment horizontal="center" vertical="center"/>
      <protection locked="0"/>
    </xf>
    <xf numFmtId="1" fontId="1" fillId="18" borderId="10" xfId="0" applyNumberFormat="1" applyFont="1" applyFill="1" applyBorder="1" applyAlignment="1" applyProtection="1">
      <alignment horizontal="center" vertical="center"/>
      <protection hidden="1"/>
    </xf>
    <xf numFmtId="0" fontId="14" fillId="19" borderId="10" xfId="0" applyFont="1" applyFill="1" applyBorder="1" applyAlignment="1" applyProtection="1">
      <alignment horizontal="center" vertical="center"/>
      <protection hidden="1"/>
    </xf>
    <xf numFmtId="1" fontId="1" fillId="6" borderId="11" xfId="0" applyNumberFormat="1" applyFont="1" applyFill="1" applyBorder="1" applyAlignment="1" applyProtection="1">
      <alignment horizontal="center" vertical="center"/>
      <protection hidden="1"/>
    </xf>
    <xf numFmtId="0" fontId="3" fillId="13" borderId="15" xfId="0" applyFont="1" applyFill="1" applyBorder="1" applyAlignment="1" applyProtection="1">
      <alignment horizontal="center" vertical="center" wrapText="1"/>
      <protection hidden="1"/>
    </xf>
    <xf numFmtId="2" fontId="3" fillId="13" borderId="15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18" xfId="0" applyFont="1" applyBorder="1" applyAlignment="1" applyProtection="1">
      <alignment horizontal="left" vertical="center"/>
      <protection locked="0"/>
    </xf>
    <xf numFmtId="0" fontId="11" fillId="0" borderId="19" xfId="0" applyFont="1" applyBorder="1" applyProtection="1">
      <protection locked="0"/>
    </xf>
    <xf numFmtId="0" fontId="11" fillId="0" borderId="18" xfId="0" applyFont="1" applyBorder="1" applyProtection="1">
      <protection locked="0"/>
    </xf>
    <xf numFmtId="0" fontId="39" fillId="0" borderId="18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/>
      <protection locked="0"/>
    </xf>
    <xf numFmtId="0" fontId="40" fillId="17" borderId="0" xfId="0" applyFont="1" applyFill="1" applyAlignment="1">
      <alignment horizontal="center"/>
    </xf>
    <xf numFmtId="2" fontId="22" fillId="7" borderId="7" xfId="0" applyNumberFormat="1" applyFont="1" applyFill="1" applyBorder="1" applyAlignment="1" applyProtection="1">
      <alignment horizontal="center" vertical="center" wrapText="1"/>
      <protection hidden="1"/>
    </xf>
    <xf numFmtId="0" fontId="1" fillId="16" borderId="7" xfId="0" applyFont="1" applyFill="1" applyBorder="1" applyAlignment="1" applyProtection="1">
      <alignment horizontal="center" vertical="center" wrapText="1"/>
      <protection hidden="1"/>
    </xf>
    <xf numFmtId="2" fontId="1" fillId="16" borderId="7" xfId="0" applyNumberFormat="1" applyFont="1" applyFill="1" applyBorder="1" applyAlignment="1" applyProtection="1">
      <alignment horizontal="center" vertical="center"/>
      <protection hidden="1"/>
    </xf>
    <xf numFmtId="0" fontId="3" fillId="8" borderId="7" xfId="0" applyFont="1" applyFill="1" applyBorder="1" applyAlignment="1" applyProtection="1">
      <alignment horizontal="center" vertical="center"/>
      <protection hidden="1"/>
    </xf>
    <xf numFmtId="0" fontId="0" fillId="10" borderId="0" xfId="0" applyFill="1" applyProtection="1">
      <protection hidden="1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27" fillId="2" borderId="18" xfId="0" applyFont="1" applyFill="1" applyBorder="1" applyAlignment="1" applyProtection="1">
      <alignment horizontal="left"/>
      <protection hidden="1"/>
    </xf>
    <xf numFmtId="0" fontId="9" fillId="2" borderId="18" xfId="0" applyFont="1" applyFill="1" applyBorder="1" applyAlignment="1" applyProtection="1">
      <alignment horizontal="left"/>
      <protection hidden="1"/>
    </xf>
    <xf numFmtId="0" fontId="3" fillId="11" borderId="7" xfId="0" applyFont="1" applyFill="1" applyBorder="1" applyAlignment="1" applyProtection="1">
      <alignment horizontal="center" vertical="center"/>
      <protection hidden="1"/>
    </xf>
    <xf numFmtId="0" fontId="19" fillId="8" borderId="18" xfId="0" applyFont="1" applyFill="1" applyBorder="1" applyAlignment="1" applyProtection="1">
      <alignment horizontal="center"/>
      <protection locked="0"/>
    </xf>
    <xf numFmtId="0" fontId="1" fillId="7" borderId="7" xfId="0" applyFont="1" applyFill="1" applyBorder="1" applyAlignment="1">
      <alignment horizontal="center" vertical="center" wrapText="1"/>
    </xf>
    <xf numFmtId="1" fontId="12" fillId="15" borderId="11" xfId="0" applyNumberFormat="1" applyFont="1" applyFill="1" applyBorder="1" applyAlignment="1" applyProtection="1">
      <alignment horizontal="center" vertical="center"/>
      <protection locked="0"/>
    </xf>
    <xf numFmtId="1" fontId="12" fillId="15" borderId="10" xfId="0" applyNumberFormat="1" applyFont="1" applyFill="1" applyBorder="1" applyAlignment="1" applyProtection="1">
      <alignment horizontal="center" vertical="center"/>
      <protection locked="0"/>
    </xf>
    <xf numFmtId="2" fontId="43" fillId="18" borderId="9" xfId="0" applyNumberFormat="1" applyFont="1" applyFill="1" applyBorder="1" applyAlignment="1" applyProtection="1">
      <alignment horizontal="center" vertical="center"/>
      <protection hidden="1"/>
    </xf>
    <xf numFmtId="2" fontId="43" fillId="6" borderId="11" xfId="0" applyNumberFormat="1" applyFont="1" applyFill="1" applyBorder="1" applyAlignment="1" applyProtection="1">
      <alignment horizontal="center" vertical="center"/>
      <protection hidden="1"/>
    </xf>
    <xf numFmtId="2" fontId="43" fillId="19" borderId="12" xfId="0" applyNumberFormat="1" applyFont="1" applyFill="1" applyBorder="1" applyAlignment="1" applyProtection="1">
      <alignment horizontal="center" vertical="center"/>
      <protection hidden="1"/>
    </xf>
    <xf numFmtId="0" fontId="1" fillId="13" borderId="18" xfId="0" applyFont="1" applyFill="1" applyBorder="1" applyAlignment="1" applyProtection="1">
      <alignment vertical="center"/>
      <protection locked="0"/>
    </xf>
    <xf numFmtId="0" fontId="1" fillId="13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9" fillId="9" borderId="18" xfId="0" applyFont="1" applyFill="1" applyBorder="1" applyAlignment="1">
      <alignment horizontal="left" wrapText="1"/>
    </xf>
    <xf numFmtId="0" fontId="45" fillId="0" borderId="26" xfId="0" applyFont="1" applyFill="1" applyBorder="1" applyAlignment="1" applyProtection="1">
      <alignment horizontal="center" wrapText="1"/>
      <protection locked="0"/>
    </xf>
    <xf numFmtId="0" fontId="44" fillId="0" borderId="27" xfId="0" applyFont="1" applyFill="1" applyBorder="1" applyAlignment="1" applyProtection="1">
      <alignment wrapText="1"/>
      <protection locked="0"/>
    </xf>
    <xf numFmtId="0" fontId="44" fillId="0" borderId="18" xfId="0" applyFont="1" applyFill="1" applyBorder="1" applyAlignment="1" applyProtection="1">
      <alignment horizontal="center" vertical="center" wrapText="1"/>
      <protection locked="0"/>
    </xf>
    <xf numFmtId="0" fontId="10" fillId="0" borderId="18" xfId="0" applyFont="1" applyFill="1" applyBorder="1" applyAlignment="1" applyProtection="1">
      <alignment horizontal="left" vertical="center"/>
      <protection locked="0"/>
    </xf>
    <xf numFmtId="0" fontId="23" fillId="0" borderId="0" xfId="0" applyFont="1"/>
    <xf numFmtId="1" fontId="44" fillId="20" borderId="34" xfId="0" applyNumberFormat="1" applyFont="1" applyFill="1" applyBorder="1" applyAlignment="1" applyProtection="1">
      <alignment horizontal="center" vertical="top" shrinkToFit="1"/>
      <protection locked="0"/>
    </xf>
    <xf numFmtId="0" fontId="44" fillId="20" borderId="34" xfId="0" applyFont="1" applyFill="1" applyBorder="1" applyAlignment="1" applyProtection="1">
      <alignment horizontal="left" vertical="top" wrapText="1"/>
      <protection locked="0"/>
    </xf>
    <xf numFmtId="1" fontId="44" fillId="0" borderId="34" xfId="0" applyNumberFormat="1" applyFont="1" applyFill="1" applyBorder="1" applyAlignment="1" applyProtection="1">
      <alignment horizontal="center" vertical="top" shrinkToFit="1"/>
      <protection locked="0"/>
    </xf>
    <xf numFmtId="0" fontId="44" fillId="0" borderId="34" xfId="0" applyFont="1" applyFill="1" applyBorder="1" applyAlignment="1" applyProtection="1">
      <alignment horizontal="left" vertical="top" wrapText="1"/>
      <protection locked="0"/>
    </xf>
    <xf numFmtId="0" fontId="39" fillId="0" borderId="18" xfId="0" applyFont="1" applyFill="1" applyBorder="1" applyAlignment="1" applyProtection="1">
      <alignment horizontal="center" vertical="center" wrapText="1"/>
      <protection locked="0"/>
    </xf>
    <xf numFmtId="0" fontId="11" fillId="0" borderId="18" xfId="0" applyFont="1" applyFill="1" applyBorder="1" applyAlignment="1" applyProtection="1">
      <alignment horizontal="left" vertical="center"/>
      <protection locked="0"/>
    </xf>
    <xf numFmtId="1" fontId="12" fillId="15" borderId="18" xfId="0" applyNumberFormat="1" applyFont="1" applyFill="1" applyBorder="1" applyAlignment="1" applyProtection="1">
      <alignment horizontal="center" vertical="center"/>
      <protection locked="0"/>
    </xf>
    <xf numFmtId="1" fontId="1" fillId="18" borderId="18" xfId="0" applyNumberFormat="1" applyFont="1" applyFill="1" applyBorder="1" applyAlignment="1" applyProtection="1">
      <alignment horizontal="center" vertical="center"/>
      <protection hidden="1"/>
    </xf>
    <xf numFmtId="1" fontId="44" fillId="0" borderId="18" xfId="0" applyNumberFormat="1" applyFont="1" applyFill="1" applyBorder="1" applyAlignment="1" applyProtection="1">
      <alignment horizontal="center" vertical="top" shrinkToFit="1"/>
      <protection locked="0"/>
    </xf>
    <xf numFmtId="0" fontId="44" fillId="0" borderId="18" xfId="0" applyFont="1" applyFill="1" applyBorder="1" applyAlignment="1" applyProtection="1">
      <alignment horizontal="left" vertical="top" wrapText="1"/>
      <protection locked="0"/>
    </xf>
    <xf numFmtId="2" fontId="43" fillId="18" borderId="18" xfId="0" applyNumberFormat="1" applyFont="1" applyFill="1" applyBorder="1" applyAlignment="1" applyProtection="1">
      <alignment horizontal="center" vertical="center"/>
      <protection hidden="1"/>
    </xf>
    <xf numFmtId="0" fontId="45" fillId="0" borderId="18" xfId="0" applyFont="1" applyFill="1" applyBorder="1" applyAlignment="1" applyProtection="1">
      <alignment horizontal="center" wrapText="1"/>
      <protection locked="0"/>
    </xf>
    <xf numFmtId="0" fontId="44" fillId="0" borderId="18" xfId="0" applyFont="1" applyFill="1" applyBorder="1" applyAlignment="1" applyProtection="1">
      <alignment wrapText="1"/>
      <protection locked="0"/>
    </xf>
    <xf numFmtId="164" fontId="1" fillId="15" borderId="18" xfId="0" applyNumberFormat="1" applyFont="1" applyFill="1" applyBorder="1" applyAlignment="1" applyProtection="1">
      <alignment horizontal="center" vertical="center" wrapText="1"/>
      <protection locked="0"/>
    </xf>
    <xf numFmtId="164" fontId="1" fillId="15" borderId="18" xfId="0" applyNumberFormat="1" applyFont="1" applyFill="1" applyBorder="1" applyAlignment="1" applyProtection="1">
      <alignment horizontal="center" vertical="center"/>
      <protection locked="0"/>
    </xf>
    <xf numFmtId="0" fontId="36" fillId="0" borderId="19" xfId="0" applyFont="1" applyBorder="1" applyAlignment="1" applyProtection="1">
      <alignment horizontal="center"/>
      <protection hidden="1"/>
    </xf>
    <xf numFmtId="0" fontId="36" fillId="0" borderId="20" xfId="0" applyFont="1" applyBorder="1" applyAlignment="1" applyProtection="1">
      <alignment horizontal="center"/>
      <protection hidden="1"/>
    </xf>
    <xf numFmtId="0" fontId="35" fillId="0" borderId="19" xfId="0" applyFont="1" applyBorder="1" applyAlignment="1" applyProtection="1">
      <alignment horizontal="center"/>
      <protection hidden="1"/>
    </xf>
    <xf numFmtId="0" fontId="35" fillId="0" borderId="23" xfId="0" applyFont="1" applyBorder="1" applyAlignment="1" applyProtection="1">
      <alignment horizontal="center"/>
      <protection hidden="1"/>
    </xf>
    <xf numFmtId="0" fontId="35" fillId="0" borderId="20" xfId="0" applyFont="1" applyBorder="1" applyAlignment="1" applyProtection="1">
      <alignment horizontal="center"/>
      <protection hidden="1"/>
    </xf>
    <xf numFmtId="2" fontId="3" fillId="0" borderId="18" xfId="0" applyNumberFormat="1" applyFont="1" applyBorder="1" applyAlignment="1" applyProtection="1">
      <alignment horizontal="center"/>
      <protection hidden="1"/>
    </xf>
    <xf numFmtId="0" fontId="18" fillId="8" borderId="18" xfId="0" applyFont="1" applyFill="1" applyBorder="1" applyAlignment="1">
      <alignment horizontal="left"/>
    </xf>
    <xf numFmtId="0" fontId="6" fillId="6" borderId="18" xfId="0" applyFont="1" applyFill="1" applyBorder="1" applyAlignment="1">
      <alignment horizontal="center" vertical="top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2" fillId="0" borderId="29" xfId="0" applyFont="1" applyBorder="1" applyAlignment="1" applyProtection="1">
      <alignment horizontal="center" vertical="center" wrapText="1"/>
      <protection locked="0"/>
    </xf>
    <xf numFmtId="0" fontId="2" fillId="0" borderId="30" xfId="0" applyFont="1" applyBorder="1" applyAlignment="1" applyProtection="1">
      <alignment horizontal="center" vertical="center" wrapText="1"/>
      <protection locked="0"/>
    </xf>
    <xf numFmtId="0" fontId="2" fillId="0" borderId="31" xfId="0" applyFont="1" applyBorder="1" applyAlignment="1" applyProtection="1">
      <alignment horizontal="center" vertical="center" wrapText="1"/>
      <protection locked="0"/>
    </xf>
    <xf numFmtId="0" fontId="2" fillId="0" borderId="32" xfId="0" applyFont="1" applyBorder="1" applyAlignment="1" applyProtection="1">
      <alignment horizontal="center" vertical="center" wrapText="1"/>
      <protection locked="0"/>
    </xf>
    <xf numFmtId="0" fontId="2" fillId="0" borderId="33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19" xfId="0" applyFont="1" applyBorder="1" applyAlignment="1" applyProtection="1">
      <alignment horizontal="center"/>
      <protection hidden="1"/>
    </xf>
    <xf numFmtId="0" fontId="1" fillId="0" borderId="20" xfId="0" applyFont="1" applyBorder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locked="0"/>
    </xf>
    <xf numFmtId="0" fontId="21" fillId="0" borderId="19" xfId="0" applyFont="1" applyBorder="1" applyAlignment="1" applyProtection="1">
      <alignment horizontal="center"/>
      <protection hidden="1"/>
    </xf>
    <xf numFmtId="0" fontId="21" fillId="0" borderId="23" xfId="0" applyFont="1" applyBorder="1" applyAlignment="1" applyProtection="1">
      <alignment horizontal="center"/>
      <protection hidden="1"/>
    </xf>
    <xf numFmtId="0" fontId="21" fillId="0" borderId="20" xfId="0" applyFont="1" applyBorder="1" applyAlignment="1" applyProtection="1">
      <alignment horizontal="center"/>
      <protection hidden="1"/>
    </xf>
    <xf numFmtId="0" fontId="3" fillId="0" borderId="19" xfId="0" applyFont="1" applyBorder="1" applyAlignment="1" applyProtection="1">
      <alignment horizontal="center"/>
      <protection hidden="1"/>
    </xf>
    <xf numFmtId="0" fontId="3" fillId="0" borderId="23" xfId="0" applyFont="1" applyBorder="1" applyAlignment="1" applyProtection="1">
      <alignment horizontal="center"/>
      <protection hidden="1"/>
    </xf>
    <xf numFmtId="0" fontId="3" fillId="0" borderId="20" xfId="0" applyFont="1" applyBorder="1" applyAlignment="1" applyProtection="1">
      <alignment horizontal="center"/>
      <protection hidden="1"/>
    </xf>
    <xf numFmtId="0" fontId="22" fillId="0" borderId="19" xfId="0" applyFont="1" applyBorder="1" applyAlignment="1" applyProtection="1">
      <alignment horizontal="center"/>
      <protection hidden="1"/>
    </xf>
    <xf numFmtId="0" fontId="22" fillId="0" borderId="20" xfId="0" applyFont="1" applyBorder="1" applyAlignment="1" applyProtection="1">
      <alignment horizontal="center"/>
      <protection hidden="1"/>
    </xf>
    <xf numFmtId="0" fontId="1" fillId="0" borderId="23" xfId="0" applyFont="1" applyBorder="1" applyAlignment="1" applyProtection="1">
      <alignment horizontal="center"/>
      <protection hidden="1"/>
    </xf>
    <xf numFmtId="0" fontId="20" fillId="8" borderId="18" xfId="0" applyFont="1" applyFill="1" applyBorder="1" applyAlignment="1">
      <alignment horizontal="left"/>
    </xf>
    <xf numFmtId="0" fontId="30" fillId="8" borderId="18" xfId="0" applyFont="1" applyFill="1" applyBorder="1" applyAlignment="1">
      <alignment horizontal="left"/>
    </xf>
    <xf numFmtId="0" fontId="11" fillId="9" borderId="18" xfId="0" applyFont="1" applyFill="1" applyBorder="1" applyAlignment="1" applyProtection="1">
      <alignment horizontal="left" wrapText="1"/>
      <protection locked="0"/>
    </xf>
    <xf numFmtId="0" fontId="7" fillId="0" borderId="0" xfId="0" applyFont="1" applyAlignment="1" applyProtection="1">
      <alignment horizontal="right" vertical="center"/>
      <protection hidden="1"/>
    </xf>
    <xf numFmtId="0" fontId="1" fillId="0" borderId="0" xfId="0" applyFont="1" applyAlignment="1">
      <alignment horizontal="center"/>
    </xf>
    <xf numFmtId="0" fontId="21" fillId="8" borderId="1" xfId="0" applyFont="1" applyFill="1" applyBorder="1" applyAlignment="1" applyProtection="1">
      <alignment horizontal="center" vertical="center" wrapText="1"/>
      <protection hidden="1"/>
    </xf>
    <xf numFmtId="0" fontId="3" fillId="8" borderId="12" xfId="0" applyFont="1" applyFill="1" applyBorder="1" applyAlignment="1" applyProtection="1">
      <alignment horizontal="center" vertical="center" wrapText="1"/>
      <protection hidden="1"/>
    </xf>
    <xf numFmtId="0" fontId="21" fillId="10" borderId="4" xfId="0" applyFont="1" applyFill="1" applyBorder="1" applyAlignment="1" applyProtection="1">
      <alignment horizontal="center" vertical="center" wrapText="1"/>
      <protection hidden="1"/>
    </xf>
    <xf numFmtId="0" fontId="3" fillId="10" borderId="5" xfId="0" applyFont="1" applyFill="1" applyBorder="1" applyAlignment="1" applyProtection="1">
      <alignment horizontal="center" vertical="center" wrapText="1"/>
      <protection hidden="1"/>
    </xf>
    <xf numFmtId="0" fontId="19" fillId="8" borderId="18" xfId="0" applyFont="1" applyFill="1" applyBorder="1" applyAlignment="1">
      <alignment horizontal="center"/>
    </xf>
    <xf numFmtId="0" fontId="9" fillId="9" borderId="18" xfId="0" applyFont="1" applyFill="1" applyBorder="1" applyAlignment="1" applyProtection="1">
      <alignment horizontal="center" wrapText="1"/>
      <protection locked="0"/>
    </xf>
    <xf numFmtId="0" fontId="12" fillId="14" borderId="8" xfId="0" applyFont="1" applyFill="1" applyBorder="1" applyAlignment="1">
      <alignment horizontal="center" vertical="center" wrapText="1"/>
    </xf>
    <xf numFmtId="0" fontId="8" fillId="14" borderId="14" xfId="0" applyFont="1" applyFill="1" applyBorder="1"/>
    <xf numFmtId="0" fontId="8" fillId="14" borderId="6" xfId="0" applyFont="1" applyFill="1" applyBorder="1"/>
    <xf numFmtId="0" fontId="21" fillId="0" borderId="8" xfId="0" applyFont="1" applyBorder="1" applyAlignment="1">
      <alignment horizontal="center" vertical="center" wrapText="1"/>
    </xf>
    <xf numFmtId="0" fontId="8" fillId="0" borderId="13" xfId="0" applyFont="1" applyBorder="1"/>
    <xf numFmtId="0" fontId="8" fillId="0" borderId="14" xfId="0" applyFont="1" applyBorder="1"/>
    <xf numFmtId="0" fontId="10" fillId="6" borderId="20" xfId="0" applyFont="1" applyFill="1" applyBorder="1" applyAlignment="1">
      <alignment vertical="top"/>
    </xf>
    <xf numFmtId="0" fontId="8" fillId="6" borderId="18" xfId="0" applyFont="1" applyFill="1" applyBorder="1"/>
    <xf numFmtId="0" fontId="10" fillId="6" borderId="18" xfId="0" applyFont="1" applyFill="1" applyBorder="1" applyAlignment="1">
      <alignment vertical="top"/>
    </xf>
    <xf numFmtId="0" fontId="34" fillId="6" borderId="18" xfId="0" applyFont="1" applyFill="1" applyBorder="1" applyAlignment="1">
      <alignment vertical="top"/>
    </xf>
    <xf numFmtId="0" fontId="32" fillId="0" borderId="18" xfId="0" applyFont="1" applyBorder="1" applyAlignment="1" applyProtection="1">
      <alignment horizontal="center"/>
      <protection hidden="1"/>
    </xf>
    <xf numFmtId="0" fontId="1" fillId="0" borderId="18" xfId="0" applyFont="1" applyBorder="1" applyAlignment="1" applyProtection="1">
      <alignment horizontal="center"/>
      <protection hidden="1"/>
    </xf>
    <xf numFmtId="1" fontId="3" fillId="0" borderId="19" xfId="0" applyNumberFormat="1" applyFont="1" applyBorder="1" applyAlignment="1" applyProtection="1">
      <alignment horizontal="center"/>
      <protection hidden="1"/>
    </xf>
    <xf numFmtId="1" fontId="3" fillId="0" borderId="23" xfId="0" applyNumberFormat="1" applyFont="1" applyBorder="1" applyAlignment="1" applyProtection="1">
      <alignment horizontal="center"/>
      <protection hidden="1"/>
    </xf>
    <xf numFmtId="1" fontId="3" fillId="0" borderId="20" xfId="0" applyNumberFormat="1" applyFont="1" applyBorder="1" applyAlignment="1" applyProtection="1">
      <alignment horizontal="center"/>
      <protection hidden="1"/>
    </xf>
    <xf numFmtId="0" fontId="0" fillId="0" borderId="0" xfId="0"/>
    <xf numFmtId="0" fontId="5" fillId="0" borderId="0" xfId="0" applyFont="1" applyAlignment="1">
      <alignment horizontal="center"/>
    </xf>
    <xf numFmtId="0" fontId="21" fillId="0" borderId="9" xfId="0" applyFont="1" applyBorder="1" applyAlignment="1" applyProtection="1">
      <alignment horizontal="center" vertical="center"/>
      <protection hidden="1"/>
    </xf>
    <xf numFmtId="0" fontId="8" fillId="0" borderId="16" xfId="0" applyFont="1" applyBorder="1" applyProtection="1">
      <protection hidden="1"/>
    </xf>
    <xf numFmtId="0" fontId="8" fillId="0" borderId="4" xfId="0" applyFont="1" applyBorder="1" applyProtection="1"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8" fillId="0" borderId="13" xfId="0" applyFont="1" applyBorder="1" applyProtection="1">
      <protection hidden="1"/>
    </xf>
    <xf numFmtId="0" fontId="8" fillId="0" borderId="14" xfId="0" applyFont="1" applyBorder="1" applyProtection="1">
      <protection hidden="1"/>
    </xf>
    <xf numFmtId="0" fontId="3" fillId="11" borderId="8" xfId="0" applyFont="1" applyFill="1" applyBorder="1" applyAlignment="1">
      <alignment horizontal="center" vertical="center" wrapText="1"/>
    </xf>
    <xf numFmtId="0" fontId="38" fillId="11" borderId="13" xfId="0" applyFont="1" applyFill="1" applyBorder="1" applyAlignment="1">
      <alignment horizontal="center" vertical="center"/>
    </xf>
    <xf numFmtId="0" fontId="38" fillId="11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 applyProtection="1">
      <alignment horizontal="center" vertical="center" wrapText="1"/>
      <protection hidden="1"/>
    </xf>
    <xf numFmtId="0" fontId="1" fillId="8" borderId="17" xfId="0" applyFont="1" applyFill="1" applyBorder="1" applyAlignment="1" applyProtection="1">
      <alignment horizontal="center" vertical="center" wrapText="1"/>
      <protection hidden="1"/>
    </xf>
    <xf numFmtId="0" fontId="1" fillId="8" borderId="8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Protection="1">
      <protection hidden="1"/>
    </xf>
    <xf numFmtId="0" fontId="21" fillId="0" borderId="9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3" fillId="0" borderId="18" xfId="0" applyFont="1" applyBorder="1" applyAlignment="1" applyProtection="1">
      <alignment horizontal="center"/>
      <protection hidden="1"/>
    </xf>
    <xf numFmtId="0" fontId="0" fillId="0" borderId="18" xfId="0" applyBorder="1" applyProtection="1">
      <protection hidden="1"/>
    </xf>
    <xf numFmtId="0" fontId="3" fillId="14" borderId="1" xfId="0" applyFont="1" applyFill="1" applyBorder="1" applyAlignment="1">
      <alignment horizontal="center" vertical="center" wrapText="1"/>
    </xf>
    <xf numFmtId="0" fontId="8" fillId="14" borderId="2" xfId="0" applyFont="1" applyFill="1" applyBorder="1"/>
    <xf numFmtId="0" fontId="8" fillId="14" borderId="10" xfId="0" applyFont="1" applyFill="1" applyBorder="1"/>
    <xf numFmtId="0" fontId="3" fillId="0" borderId="0" xfId="0" applyFont="1" applyAlignment="1">
      <alignment horizontal="center"/>
    </xf>
    <xf numFmtId="0" fontId="8" fillId="14" borderId="5" xfId="0" applyFont="1" applyFill="1" applyBorder="1"/>
    <xf numFmtId="0" fontId="21" fillId="14" borderId="22" xfId="0" applyFont="1" applyFill="1" applyBorder="1" applyAlignment="1">
      <alignment horizontal="center" vertical="center"/>
    </xf>
    <xf numFmtId="0" fontId="21" fillId="14" borderId="21" xfId="0" applyFont="1" applyFill="1" applyBorder="1" applyAlignment="1">
      <alignment horizontal="center" vertical="center"/>
    </xf>
    <xf numFmtId="0" fontId="21" fillId="14" borderId="24" xfId="0" applyFont="1" applyFill="1" applyBorder="1" applyAlignment="1">
      <alignment horizontal="center" vertical="center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0" fontId="1" fillId="10" borderId="13" xfId="0" applyFont="1" applyFill="1" applyBorder="1" applyAlignment="1" applyProtection="1">
      <alignment horizontal="center" vertical="center" wrapText="1"/>
      <protection hidden="1"/>
    </xf>
    <xf numFmtId="0" fontId="3" fillId="14" borderId="9" xfId="0" applyFont="1" applyFill="1" applyBorder="1" applyAlignment="1">
      <alignment horizontal="center" vertical="center" wrapText="1"/>
    </xf>
    <xf numFmtId="0" fontId="3" fillId="14" borderId="10" xfId="0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 applyProtection="1">
      <alignment horizontal="center" vertical="center" wrapText="1"/>
      <protection hidden="1"/>
    </xf>
    <xf numFmtId="0" fontId="3" fillId="7" borderId="12" xfId="0" applyFont="1" applyFill="1" applyBorder="1" applyAlignment="1" applyProtection="1">
      <alignment horizontal="center" vertical="center" wrapText="1"/>
      <protection hidden="1"/>
    </xf>
    <xf numFmtId="0" fontId="3" fillId="7" borderId="3" xfId="0" applyFont="1" applyFill="1" applyBorder="1" applyAlignment="1" applyProtection="1">
      <alignment horizontal="center" vertical="center" wrapText="1"/>
      <protection hidden="1"/>
    </xf>
    <xf numFmtId="0" fontId="3" fillId="16" borderId="1" xfId="0" applyFont="1" applyFill="1" applyBorder="1" applyAlignment="1" applyProtection="1">
      <alignment horizontal="center" vertical="center" wrapText="1"/>
      <protection hidden="1"/>
    </xf>
    <xf numFmtId="0" fontId="3" fillId="16" borderId="12" xfId="0" applyFont="1" applyFill="1" applyBorder="1" applyAlignment="1" applyProtection="1">
      <alignment horizontal="center" vertical="center" wrapText="1"/>
      <protection hidden="1"/>
    </xf>
    <xf numFmtId="0" fontId="3" fillId="16" borderId="3" xfId="0" applyFont="1" applyFill="1" applyBorder="1" applyAlignment="1" applyProtection="1">
      <alignment horizontal="center" vertical="center" wrapText="1"/>
      <protection hidden="1"/>
    </xf>
    <xf numFmtId="0" fontId="8" fillId="8" borderId="5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13" fillId="12" borderId="16" xfId="0" applyFont="1" applyFill="1" applyBorder="1" applyAlignment="1">
      <alignment horizontal="center" vertical="center" wrapText="1"/>
    </xf>
    <xf numFmtId="0" fontId="13" fillId="12" borderId="0" xfId="0" applyFont="1" applyFill="1" applyAlignment="1">
      <alignment horizontal="center" vertical="center" wrapText="1"/>
    </xf>
    <xf numFmtId="0" fontId="41" fillId="17" borderId="0" xfId="0" applyFont="1" applyFill="1" applyAlignment="1">
      <alignment horizontal="center"/>
    </xf>
    <xf numFmtId="11" fontId="41" fillId="17" borderId="0" xfId="0" applyNumberFormat="1" applyFont="1" applyFill="1" applyAlignment="1">
      <alignment horizontal="center"/>
    </xf>
    <xf numFmtId="0" fontId="22" fillId="10" borderId="15" xfId="0" applyFont="1" applyFill="1" applyBorder="1" applyAlignment="1" applyProtection="1">
      <alignment horizontal="center" vertical="center" wrapText="1"/>
      <protection hidden="1"/>
    </xf>
    <xf numFmtId="0" fontId="22" fillId="10" borderId="13" xfId="0" applyFont="1" applyFill="1" applyBorder="1" applyAlignment="1" applyProtection="1">
      <alignment horizontal="center" vertical="center" wrapText="1"/>
      <protection hidden="1"/>
    </xf>
    <xf numFmtId="0" fontId="1" fillId="10" borderId="17" xfId="0" applyFont="1" applyFill="1" applyBorder="1" applyAlignment="1" applyProtection="1">
      <alignment horizontal="center" vertical="center" wrapText="1"/>
      <protection hidden="1"/>
    </xf>
    <xf numFmtId="0" fontId="22" fillId="10" borderId="17" xfId="0" applyFont="1" applyFill="1" applyBorder="1" applyAlignment="1" applyProtection="1">
      <alignment horizontal="center" vertical="center" wrapText="1"/>
      <protection hidden="1"/>
    </xf>
    <xf numFmtId="0" fontId="25" fillId="0" borderId="18" xfId="1" applyFont="1" applyBorder="1" applyAlignment="1">
      <alignment horizontal="center" vertical="center"/>
    </xf>
    <xf numFmtId="0" fontId="28" fillId="2" borderId="18" xfId="0" applyFont="1" applyFill="1" applyBorder="1" applyAlignment="1" applyProtection="1">
      <alignment horizontal="center"/>
      <protection hidden="1"/>
    </xf>
    <xf numFmtId="0" fontId="11" fillId="2" borderId="18" xfId="0" applyFont="1" applyFill="1" applyBorder="1" applyAlignment="1" applyProtection="1">
      <alignment horizontal="left"/>
      <protection hidden="1"/>
    </xf>
    <xf numFmtId="0" fontId="27" fillId="2" borderId="18" xfId="0" applyFont="1" applyFill="1" applyBorder="1" applyAlignment="1" applyProtection="1">
      <alignment horizontal="left"/>
      <protection hidden="1"/>
    </xf>
    <xf numFmtId="0" fontId="23" fillId="0" borderId="25" xfId="1" applyBorder="1" applyAlignment="1" applyProtection="1">
      <alignment horizontal="center"/>
      <protection locked="0"/>
    </xf>
    <xf numFmtId="0" fontId="23" fillId="0" borderId="0" xfId="1" applyAlignment="1" applyProtection="1">
      <alignment horizontal="center" vertical="center" wrapText="1"/>
      <protection locked="0"/>
    </xf>
    <xf numFmtId="0" fontId="23" fillId="0" borderId="0" xfId="1" applyAlignment="1" applyProtection="1">
      <alignment horizontal="center" vertical="center"/>
      <protection locked="0"/>
    </xf>
    <xf numFmtId="0" fontId="25" fillId="0" borderId="0" xfId="1" applyFont="1" applyAlignment="1" applyProtection="1">
      <alignment horizontal="center" vertical="center" wrapText="1"/>
      <protection locked="0"/>
    </xf>
    <xf numFmtId="0" fontId="26" fillId="0" borderId="0" xfId="1" applyFont="1" applyAlignment="1" applyProtection="1">
      <alignment horizontal="center" vertical="center"/>
      <protection locked="0"/>
    </xf>
    <xf numFmtId="0" fontId="23" fillId="0" borderId="0" xfId="1" applyAlignment="1" applyProtection="1">
      <alignment horizontal="center"/>
      <protection locked="0"/>
    </xf>
    <xf numFmtId="0" fontId="12" fillId="14" borderId="18" xfId="0" applyFont="1" applyFill="1" applyBorder="1" applyAlignment="1">
      <alignment horizontal="center" vertical="center" wrapText="1"/>
    </xf>
    <xf numFmtId="0" fontId="8" fillId="14" borderId="18" xfId="0" applyFont="1" applyFill="1" applyBorder="1"/>
    <xf numFmtId="0" fontId="21" fillId="0" borderId="18" xfId="0" applyFont="1" applyBorder="1" applyAlignment="1">
      <alignment horizontal="center" vertical="center" wrapText="1"/>
    </xf>
    <xf numFmtId="0" fontId="8" fillId="0" borderId="18" xfId="0" applyFont="1" applyBorder="1"/>
    <xf numFmtId="0" fontId="8" fillId="0" borderId="18" xfId="0" applyFont="1" applyBorder="1" applyAlignment="1">
      <alignment horizontal="center"/>
    </xf>
    <xf numFmtId="0" fontId="3" fillId="14" borderId="18" xfId="0" applyFont="1" applyFill="1" applyBorder="1" applyAlignment="1">
      <alignment horizontal="center" vertical="center"/>
    </xf>
    <xf numFmtId="0" fontId="21" fillId="14" borderId="18" xfId="0" applyFont="1" applyFill="1" applyBorder="1" applyAlignment="1">
      <alignment horizontal="center" vertical="center"/>
    </xf>
    <xf numFmtId="0" fontId="41" fillId="17" borderId="0" xfId="0" applyFont="1" applyFill="1" applyAlignment="1" applyProtection="1">
      <alignment horizontal="center"/>
      <protection hidden="1"/>
    </xf>
    <xf numFmtId="0" fontId="41" fillId="17" borderId="0" xfId="0" applyFont="1" applyFill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41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</dxfs>
  <tableStyles count="0" defaultTableStyle="TableStyleMedium2" defaultPivotStyle="PivotStyleLight16"/>
  <colors>
    <mruColors>
      <color rgb="FFFF82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Result Chart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GradeSheet!$D$108:$D$117</c:f>
              <c:numCache>
                <c:formatCode>General</c:formatCode>
                <c:ptCount val="10"/>
                <c:pt idx="0">
                  <c:v>12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B-4257-A5E8-194D50035039}"/>
            </c:ext>
          </c:extLst>
        </c:ser>
        <c:ser>
          <c:idx val="1"/>
          <c:order val="1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GradeSheet!$E$108:$E$117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F78B-4257-A5E8-194D50035039}"/>
            </c:ext>
          </c:extLst>
        </c:ser>
        <c:ser>
          <c:idx val="2"/>
          <c:order val="2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GradeSheet!$G$108:$G$117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F78B-4257-A5E8-194D50035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09792"/>
        <c:axId val="89411968"/>
      </c:areaChart>
      <c:barChart>
        <c:barDir val="col"/>
        <c:grouping val="clustered"/>
        <c:varyColors val="0"/>
        <c:ser>
          <c:idx val="3"/>
          <c:order val="3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GradeSheet!$H$108:$H$117</c:f>
              <c:numCache>
                <c:formatCode>0.00</c:formatCode>
                <c:ptCount val="10"/>
                <c:pt idx="0">
                  <c:v>29.26829268292683</c:v>
                </c:pt>
                <c:pt idx="1">
                  <c:v>12.195121951219512</c:v>
                </c:pt>
                <c:pt idx="2">
                  <c:v>17.073170731707318</c:v>
                </c:pt>
                <c:pt idx="3">
                  <c:v>12.195121951219512</c:v>
                </c:pt>
                <c:pt idx="4">
                  <c:v>12.195121951219512</c:v>
                </c:pt>
                <c:pt idx="5">
                  <c:v>12.195121951219512</c:v>
                </c:pt>
                <c:pt idx="6">
                  <c:v>4.8780487804878048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8B-4257-A5E8-194D50035039}"/>
            </c:ext>
          </c:extLst>
        </c:ser>
        <c:ser>
          <c:idx val="4"/>
          <c:order val="4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GradeSheet!$I$108:$I$117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F78B-4257-A5E8-194D50035039}"/>
            </c:ext>
          </c:extLst>
        </c:ser>
        <c:ser>
          <c:idx val="5"/>
          <c:order val="5"/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GradeSheet!$J$108:$J$117</c:f>
              <c:numCache>
                <c:formatCode>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5-F78B-4257-A5E8-194D50035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409792"/>
        <c:axId val="89411968"/>
      </c:barChart>
      <c:catAx>
        <c:axId val="89409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Grades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89411968"/>
        <c:crosses val="autoZero"/>
        <c:auto val="1"/>
        <c:lblAlgn val="ctr"/>
        <c:lblOffset val="100"/>
        <c:noMultiLvlLbl val="0"/>
      </c:catAx>
      <c:valAx>
        <c:axId val="89411968"/>
        <c:scaling>
          <c:orientation val="minMax"/>
          <c:max val="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 of Students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409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</a:t>
            </a:r>
            <a:r>
              <a:rPr lang="en-US" sz="1200" baseline="0"/>
              <a:t> Achievement Graph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056470822003238"/>
          <c:y val="0.20173155432153869"/>
          <c:w val="0.80766685730682064"/>
          <c:h val="0.61186969969031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'Course Report'!$C$13:$F$13</c:f>
              <c:strCache>
                <c:ptCount val="4"/>
                <c:pt idx="0">
                  <c:v>CO1</c:v>
                </c:pt>
                <c:pt idx="1">
                  <c:v>CO2</c:v>
                </c:pt>
                <c:pt idx="2">
                  <c:v>CO3</c:v>
                </c:pt>
                <c:pt idx="3">
                  <c:v>CO4</c:v>
                </c:pt>
              </c:strCache>
            </c:strRef>
          </c:cat>
          <c:val>
            <c:numRef>
              <c:f>'Course Report'!$C$14:$F$14</c:f>
              <c:numCache>
                <c:formatCode>0.00</c:formatCode>
                <c:ptCount val="4"/>
                <c:pt idx="0">
                  <c:v>100</c:v>
                </c:pt>
                <c:pt idx="1">
                  <c:v>90.243902439024396</c:v>
                </c:pt>
                <c:pt idx="2">
                  <c:v>82.926829268292678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B5-4EA4-89D7-3E278AA4E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905024"/>
        <c:axId val="89907200"/>
      </c:barChart>
      <c:catAx>
        <c:axId val="89905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Course</a:t>
                </a:r>
                <a:r>
                  <a:rPr lang="en-US" baseline="0"/>
                  <a:t> Outcomes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07200"/>
        <c:crosses val="autoZero"/>
        <c:auto val="1"/>
        <c:lblAlgn val="ctr"/>
        <c:lblOffset val="100"/>
        <c:noMultiLvlLbl val="0"/>
      </c:catAx>
      <c:valAx>
        <c:axId val="89907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 achievement (%) </a:t>
                </a:r>
              </a:p>
            </c:rich>
          </c:tx>
          <c:layout>
            <c:manualLayout>
              <c:xMode val="edge"/>
              <c:yMode val="edge"/>
              <c:x val="1.3018378777896201E-4"/>
              <c:y val="0.17772617708500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0502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PO Achievement Graph</a:t>
            </a:r>
            <a:endParaRPr lang="en-US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499599008457271"/>
          <c:y val="0.20874316939890711"/>
          <c:w val="0.70407808398950122"/>
          <c:h val="0.5785189966008347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('Course Report'!$C$16:$H$16,'Course Report'!$C$18:$H$18)</c:f>
              <c:strCache>
                <c:ptCount val="12"/>
                <c:pt idx="0">
                  <c:v>PO1</c:v>
                </c:pt>
                <c:pt idx="1">
                  <c:v>PO2</c:v>
                </c:pt>
                <c:pt idx="2">
                  <c:v>PO3</c:v>
                </c:pt>
                <c:pt idx="3">
                  <c:v>PO4</c:v>
                </c:pt>
                <c:pt idx="4">
                  <c:v>PO5</c:v>
                </c:pt>
                <c:pt idx="5">
                  <c:v>PO6</c:v>
                </c:pt>
                <c:pt idx="6">
                  <c:v>PO7</c:v>
                </c:pt>
                <c:pt idx="7">
                  <c:v>PO8</c:v>
                </c:pt>
                <c:pt idx="8">
                  <c:v>PO9</c:v>
                </c:pt>
                <c:pt idx="9">
                  <c:v>PO10</c:v>
                </c:pt>
                <c:pt idx="10">
                  <c:v>PO11</c:v>
                </c:pt>
                <c:pt idx="11">
                  <c:v>PO12</c:v>
                </c:pt>
              </c:strCache>
            </c:strRef>
          </c:cat>
          <c:val>
            <c:numRef>
              <c:f>('Course Report'!$C$17:$H$17,'Course Report'!$C$19:$H$19)</c:f>
              <c:numCache>
                <c:formatCode>0.00</c:formatCode>
                <c:ptCount val="12"/>
                <c:pt idx="0">
                  <c:v>100</c:v>
                </c:pt>
                <c:pt idx="1">
                  <c:v>90.243902439024396</c:v>
                </c:pt>
                <c:pt idx="2">
                  <c:v>82.926829268292678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7-47CE-A5E9-DDB285B7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468736"/>
        <c:axId val="90470656"/>
      </c:barChart>
      <c:catAx>
        <c:axId val="9046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</a:t>
                </a:r>
                <a:r>
                  <a:rPr lang="en-US" baseline="0"/>
                  <a:t> Outcomes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70656"/>
        <c:crossesAt val="10"/>
        <c:auto val="1"/>
        <c:lblAlgn val="ctr"/>
        <c:lblOffset val="100"/>
        <c:noMultiLvlLbl val="0"/>
      </c:catAx>
      <c:valAx>
        <c:axId val="90470656"/>
        <c:scaling>
          <c:orientation val="minMax"/>
          <c:max val="10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</a:t>
                </a:r>
                <a:r>
                  <a:rPr lang="en-US" baseline="0"/>
                  <a:t> Achievement (%)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5671114027413241E-2"/>
              <c:y val="0.165027322404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6873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Result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GradeSheet!$D$107</c:f>
              <c:strCache>
                <c:ptCount val="1"/>
                <c:pt idx="0">
                  <c:v>No. of Students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GradeSheet!$B$108:$B$117</c:f>
              <c:strCache>
                <c:ptCount val="10"/>
                <c:pt idx="0">
                  <c:v>A (Plus)</c:v>
                </c:pt>
                <c:pt idx="1">
                  <c:v>A</c:v>
                </c:pt>
                <c:pt idx="2">
                  <c:v>A (Minus)</c:v>
                </c:pt>
                <c:pt idx="3">
                  <c:v>B (Plus)</c:v>
                </c:pt>
                <c:pt idx="4">
                  <c:v>B</c:v>
                </c:pt>
                <c:pt idx="5">
                  <c:v>B (Minus)</c:v>
                </c:pt>
                <c:pt idx="6">
                  <c:v>C (Plus)</c:v>
                </c:pt>
                <c:pt idx="7">
                  <c:v>C</c:v>
                </c:pt>
                <c:pt idx="8">
                  <c:v>D</c:v>
                </c:pt>
                <c:pt idx="9">
                  <c:v>F (Fail)</c:v>
                </c:pt>
              </c:strCache>
            </c:strRef>
          </c:cat>
          <c:val>
            <c:numRef>
              <c:f>GradeSheet!$D$108:$D$117</c:f>
              <c:numCache>
                <c:formatCode>General</c:formatCode>
                <c:ptCount val="10"/>
                <c:pt idx="0">
                  <c:v>12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03-425F-9B56-AC886624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91520"/>
        <c:axId val="899284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GradeSheet!$C$107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GradeSheet!$C$108:$C$117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903-425F-9B56-AC88662416E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GradeSheet!$E$107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GradeSheet!$E$108:$E$117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903-425F-9B56-AC88662416E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GradeSheet!$F$107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GradeSheet!$F$108:$F$117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903-425F-9B56-AC88662416E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GradeSheet!$G$107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GradeSheet!$B$108:$B$117</c15:sqref>
                        </c15:formulaRef>
                      </c:ext>
                    </c:extLst>
                    <c:strCache>
                      <c:ptCount val="10"/>
                      <c:pt idx="0">
                        <c:v>A (Plus)</c:v>
                      </c:pt>
                      <c:pt idx="1">
                        <c:v>A</c:v>
                      </c:pt>
                      <c:pt idx="2">
                        <c:v>A (Minus)</c:v>
                      </c:pt>
                      <c:pt idx="3">
                        <c:v>B (Plus)</c:v>
                      </c:pt>
                      <c:pt idx="4">
                        <c:v>B</c:v>
                      </c:pt>
                      <c:pt idx="5">
                        <c:v>B (Minus)</c:v>
                      </c:pt>
                      <c:pt idx="6">
                        <c:v>C (Plus)</c:v>
                      </c:pt>
                      <c:pt idx="7">
                        <c:v>C</c:v>
                      </c:pt>
                      <c:pt idx="8">
                        <c:v>D</c:v>
                      </c:pt>
                      <c:pt idx="9">
                        <c:v>F (Fail)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GradeSheet!$G$108:$G$117</c15:sqref>
                        </c15:formulaRef>
                      </c:ext>
                    </c:extLst>
                    <c:numCache>
                      <c:formatCode>General</c:formatCode>
                      <c:ptCount val="10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903-425F-9B56-AC88662416EC}"/>
                  </c:ext>
                </c:extLst>
              </c15:ser>
            </c15:filteredBarSeries>
          </c:ext>
        </c:extLst>
      </c:barChart>
      <c:catAx>
        <c:axId val="9049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Grades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928448"/>
        <c:crosses val="autoZero"/>
        <c:auto val="1"/>
        <c:lblAlgn val="ctr"/>
        <c:lblOffset val="100"/>
        <c:noMultiLvlLbl val="0"/>
      </c:catAx>
      <c:valAx>
        <c:axId val="89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 of Students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9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O$2" lockText="1" noThreeD="1"/>
</file>

<file path=xl/ctrlProps/ctrlProp2.xml><?xml version="1.0" encoding="utf-8"?>
<formControlPr xmlns="http://schemas.microsoft.com/office/spreadsheetml/2009/9/main" objectType="CheckBox" fmlaLink="$P$2" lockText="1" noThreeD="1"/>
</file>

<file path=xl/ctrlProps/ctrlProp3.xml><?xml version="1.0" encoding="utf-8"?>
<formControlPr xmlns="http://schemas.microsoft.com/office/spreadsheetml/2009/9/main" objectType="CheckBox" fmlaLink="$Q$2" lockText="1" noThreeD="1"/>
</file>

<file path=xl/ctrlProps/ctrlProp4.xml><?xml version="1.0" encoding="utf-8"?>
<formControlPr xmlns="http://schemas.microsoft.com/office/spreadsheetml/2009/9/main" objectType="CheckBox" fmlaLink="$R$2" lockText="1" noThreeD="1"/>
</file>

<file path=xl/ctrlProps/ctrlProp5.xml><?xml version="1.0" encoding="utf-8"?>
<formControlPr xmlns="http://schemas.microsoft.com/office/spreadsheetml/2009/9/main" objectType="CheckBox" fmlaLink="$S$2" lockText="1" noThreeD="1"/>
</file>

<file path=xl/ctrlProps/ctrlProp6.xml><?xml version="1.0" encoding="utf-8"?>
<formControlPr xmlns="http://schemas.microsoft.com/office/spreadsheetml/2009/9/main" objectType="CheckBox" fmlaLink="$T$2" lockText="1" noThreeD="1"/>
</file>

<file path=xl/ctrlProps/ctrlProp7.xml><?xml version="1.0" encoding="utf-8"?>
<formControlPr xmlns="http://schemas.microsoft.com/office/spreadsheetml/2009/9/main" objectType="CheckBox" fmlaLink="$U$2" lockText="1" noThreeD="1"/>
</file>

<file path=xl/ctrlProps/ctrlProp8.xml><?xml version="1.0" encoding="utf-8"?>
<formControlPr xmlns="http://schemas.microsoft.com/office/spreadsheetml/2009/9/main" objectType="CheckBox" fmlaLink="$V$2" lockText="1" noThreeD="1"/>
</file>

<file path=xl/ctrlProps/ctrlProp9.xml><?xml version="1.0" encoding="utf-8"?>
<formControlPr xmlns="http://schemas.microsoft.com/office/spreadsheetml/2009/9/main" objectType="CheckBox" fmlaLink="$W$2" lockText="1" noThreeD="1"/>
</file>

<file path=xl/ctrlProps/ctrlProp10.xml><?xml version="1.0" encoding="utf-8"?>
<formControlPr xmlns="http://schemas.microsoft.com/office/spreadsheetml/2009/9/main" objectType="CheckBox" fmlaLink="$X$2" lockText="1" noThreeD="1"/>
</file>

<file path=xl/ctrlProps/ctrlProp11.xml><?xml version="1.0" encoding="utf-8"?>
<formControlPr xmlns="http://schemas.microsoft.com/office/spreadsheetml/2009/9/main" objectType="CheckBox" fmlaLink="$Y$2" lockText="1" noThreeD="1"/>
</file>

<file path=xl/ctrlProps/ctrlProp12.xml><?xml version="1.0" encoding="utf-8"?>
<formControlPr xmlns="http://schemas.microsoft.com/office/spreadsheetml/2009/9/main" objectType="CheckBox" fmlaLink="$Z$2" lockText="1" noThreeD="1"/>
</file>

<file path=xl/ctrlProps/ctrlProp13.xml><?xml version="1.0" encoding="utf-8"?>
<formControlPr xmlns="http://schemas.microsoft.com/office/spreadsheetml/2009/9/main" objectType="CheckBox" fmlaLink="$O$3" lockText="1" noThreeD="1"/>
</file>

<file path=xl/ctrlProps/ctrlProp14.xml><?xml version="1.0" encoding="utf-8"?>
<formControlPr xmlns="http://schemas.microsoft.com/office/spreadsheetml/2009/9/main" objectType="CheckBox" checked="Checked" fmlaLink="$P$3" lockText="1" noThreeD="1"/>
</file>

<file path=xl/ctrlProps/ctrlProp15.xml><?xml version="1.0" encoding="utf-8"?>
<formControlPr xmlns="http://schemas.microsoft.com/office/spreadsheetml/2009/9/main" objectType="CheckBox" fmlaLink="$Q$3" lockText="1" noThreeD="1"/>
</file>

<file path=xl/ctrlProps/ctrlProp16.xml><?xml version="1.0" encoding="utf-8"?>
<formControlPr xmlns="http://schemas.microsoft.com/office/spreadsheetml/2009/9/main" objectType="CheckBox" fmlaLink="$R$3" lockText="1" noThreeD="1"/>
</file>

<file path=xl/ctrlProps/ctrlProp17.xml><?xml version="1.0" encoding="utf-8"?>
<formControlPr xmlns="http://schemas.microsoft.com/office/spreadsheetml/2009/9/main" objectType="CheckBox" fmlaLink="$S$3" lockText="1" noThreeD="1"/>
</file>

<file path=xl/ctrlProps/ctrlProp18.xml><?xml version="1.0" encoding="utf-8"?>
<formControlPr xmlns="http://schemas.microsoft.com/office/spreadsheetml/2009/9/main" objectType="CheckBox" fmlaLink="$T$3" lockText="1" noThreeD="1"/>
</file>

<file path=xl/ctrlProps/ctrlProp19.xml><?xml version="1.0" encoding="utf-8"?>
<formControlPr xmlns="http://schemas.microsoft.com/office/spreadsheetml/2009/9/main" objectType="CheckBox" fmlaLink="$U$3" lockText="1" noThreeD="1"/>
</file>

<file path=xl/ctrlProps/ctrlProp20.xml><?xml version="1.0" encoding="utf-8"?>
<formControlPr xmlns="http://schemas.microsoft.com/office/spreadsheetml/2009/9/main" objectType="CheckBox" fmlaLink="$V$3" lockText="1" noThreeD="1"/>
</file>

<file path=xl/ctrlProps/ctrlProp21.xml><?xml version="1.0" encoding="utf-8"?>
<formControlPr xmlns="http://schemas.microsoft.com/office/spreadsheetml/2009/9/main" objectType="CheckBox" fmlaLink="$W$3" lockText="1" noThreeD="1"/>
</file>

<file path=xl/ctrlProps/ctrlProp22.xml><?xml version="1.0" encoding="utf-8"?>
<formControlPr xmlns="http://schemas.microsoft.com/office/spreadsheetml/2009/9/main" objectType="CheckBox" fmlaLink="$X$3" lockText="1" noThreeD="1"/>
</file>

<file path=xl/ctrlProps/ctrlProp23.xml><?xml version="1.0" encoding="utf-8"?>
<formControlPr xmlns="http://schemas.microsoft.com/office/spreadsheetml/2009/9/main" objectType="CheckBox" fmlaLink="$Y$3" lockText="1" noThreeD="1"/>
</file>

<file path=xl/ctrlProps/ctrlProp24.xml><?xml version="1.0" encoding="utf-8"?>
<formControlPr xmlns="http://schemas.microsoft.com/office/spreadsheetml/2009/9/main" objectType="CheckBox" fmlaLink="$Z$3" lockText="1" noThreeD="1"/>
</file>

<file path=xl/ctrlProps/ctrlProp25.xml><?xml version="1.0" encoding="utf-8"?>
<formControlPr xmlns="http://schemas.microsoft.com/office/spreadsheetml/2009/9/main" objectType="CheckBox" fmlaLink="$O4" lockText="1" noThreeD="1"/>
</file>

<file path=xl/ctrlProps/ctrlProp26.xml><?xml version="1.0" encoding="utf-8"?>
<formControlPr xmlns="http://schemas.microsoft.com/office/spreadsheetml/2009/9/main" objectType="CheckBox" fmlaLink="$P4" lockText="1" noThreeD="1"/>
</file>

<file path=xl/ctrlProps/ctrlProp27.xml><?xml version="1.0" encoding="utf-8"?>
<formControlPr xmlns="http://schemas.microsoft.com/office/spreadsheetml/2009/9/main" objectType="CheckBox" checked="Checked" fmlaLink="$Q4" lockText="1" noThreeD="1"/>
</file>

<file path=xl/ctrlProps/ctrlProp28.xml><?xml version="1.0" encoding="utf-8"?>
<formControlPr xmlns="http://schemas.microsoft.com/office/spreadsheetml/2009/9/main" objectType="CheckBox" fmlaLink="$R4" lockText="1" noThreeD="1"/>
</file>

<file path=xl/ctrlProps/ctrlProp29.xml><?xml version="1.0" encoding="utf-8"?>
<formControlPr xmlns="http://schemas.microsoft.com/office/spreadsheetml/2009/9/main" objectType="CheckBox" fmlaLink="$S4" lockText="1" noThreeD="1"/>
</file>

<file path=xl/ctrlProps/ctrlProp30.xml><?xml version="1.0" encoding="utf-8"?>
<formControlPr xmlns="http://schemas.microsoft.com/office/spreadsheetml/2009/9/main" objectType="CheckBox" fmlaLink="$T4" lockText="1" noThreeD="1"/>
</file>

<file path=xl/ctrlProps/ctrlProp31.xml><?xml version="1.0" encoding="utf-8"?>
<formControlPr xmlns="http://schemas.microsoft.com/office/spreadsheetml/2009/9/main" objectType="CheckBox" fmlaLink="$U4" lockText="1" noThreeD="1"/>
</file>

<file path=xl/ctrlProps/ctrlProp32.xml><?xml version="1.0" encoding="utf-8"?>
<formControlPr xmlns="http://schemas.microsoft.com/office/spreadsheetml/2009/9/main" objectType="CheckBox" fmlaLink="$V4" lockText="1" noThreeD="1"/>
</file>

<file path=xl/ctrlProps/ctrlProp33.xml><?xml version="1.0" encoding="utf-8"?>
<formControlPr xmlns="http://schemas.microsoft.com/office/spreadsheetml/2009/9/main" objectType="CheckBox" fmlaLink="$W4" lockText="1" noThreeD="1"/>
</file>

<file path=xl/ctrlProps/ctrlProp34.xml><?xml version="1.0" encoding="utf-8"?>
<formControlPr xmlns="http://schemas.microsoft.com/office/spreadsheetml/2009/9/main" objectType="CheckBox" fmlaLink="$X4" lockText="1" noThreeD="1"/>
</file>

<file path=xl/ctrlProps/ctrlProp35.xml><?xml version="1.0" encoding="utf-8"?>
<formControlPr xmlns="http://schemas.microsoft.com/office/spreadsheetml/2009/9/main" objectType="CheckBox" fmlaLink="$Y4" lockText="1" noThreeD="1"/>
</file>

<file path=xl/ctrlProps/ctrlProp36.xml><?xml version="1.0" encoding="utf-8"?>
<formControlPr xmlns="http://schemas.microsoft.com/office/spreadsheetml/2009/9/main" objectType="CheckBox" fmlaLink="$Z4" lockText="1" noThreeD="1"/>
</file>

<file path=xl/ctrlProps/ctrlProp37.xml><?xml version="1.0" encoding="utf-8"?>
<formControlPr xmlns="http://schemas.microsoft.com/office/spreadsheetml/2009/9/main" objectType="CheckBox" fmlaLink="$O$7" lockText="1" noThreeD="1"/>
</file>

<file path=xl/ctrlProps/ctrlProp38.xml><?xml version="1.0" encoding="utf-8"?>
<formControlPr xmlns="http://schemas.microsoft.com/office/spreadsheetml/2009/9/main" objectType="CheckBox" fmlaLink="$P$7" lockText="1" noThreeD="1"/>
</file>

<file path=xl/ctrlProps/ctrlProp39.xml><?xml version="1.0" encoding="utf-8"?>
<formControlPr xmlns="http://schemas.microsoft.com/office/spreadsheetml/2009/9/main" objectType="CheckBox" fmlaLink="$Q$7" lockText="1" noThreeD="1"/>
</file>

<file path=xl/ctrlProps/ctrlProp40.xml><?xml version="1.0" encoding="utf-8"?>
<formControlPr xmlns="http://schemas.microsoft.com/office/spreadsheetml/2009/9/main" objectType="CheckBox" fmlaLink="$R$7" lockText="1" noThreeD="1"/>
</file>

<file path=xl/ctrlProps/ctrlProp41.xml><?xml version="1.0" encoding="utf-8"?>
<formControlPr xmlns="http://schemas.microsoft.com/office/spreadsheetml/2009/9/main" objectType="CheckBox" fmlaLink="$S$7" lockText="1" noThreeD="1"/>
</file>

<file path=xl/ctrlProps/ctrlProp42.xml><?xml version="1.0" encoding="utf-8"?>
<formControlPr xmlns="http://schemas.microsoft.com/office/spreadsheetml/2009/9/main" objectType="CheckBox" fmlaLink="$T$7" lockText="1" noThreeD="1"/>
</file>

<file path=xl/ctrlProps/ctrlProp43.xml><?xml version="1.0" encoding="utf-8"?>
<formControlPr xmlns="http://schemas.microsoft.com/office/spreadsheetml/2009/9/main" objectType="CheckBox" fmlaLink="$U$7" lockText="1" noThreeD="1"/>
</file>

<file path=xl/ctrlProps/ctrlProp44.xml><?xml version="1.0" encoding="utf-8"?>
<formControlPr xmlns="http://schemas.microsoft.com/office/spreadsheetml/2009/9/main" objectType="CheckBox" fmlaLink="$V$7" lockText="1" noThreeD="1"/>
</file>

<file path=xl/ctrlProps/ctrlProp45.xml><?xml version="1.0" encoding="utf-8"?>
<formControlPr xmlns="http://schemas.microsoft.com/office/spreadsheetml/2009/9/main" objectType="CheckBox" fmlaLink="$W$7" lockText="1" noThreeD="1"/>
</file>

<file path=xl/ctrlProps/ctrlProp46.xml><?xml version="1.0" encoding="utf-8"?>
<formControlPr xmlns="http://schemas.microsoft.com/office/spreadsheetml/2009/9/main" objectType="CheckBox" fmlaLink="$X$7" lockText="1" noThreeD="1"/>
</file>

<file path=xl/ctrlProps/ctrlProp47.xml><?xml version="1.0" encoding="utf-8"?>
<formControlPr xmlns="http://schemas.microsoft.com/office/spreadsheetml/2009/9/main" objectType="CheckBox" fmlaLink="$Y$7" lockText="1" noThreeD="1"/>
</file>

<file path=xl/ctrlProps/ctrlProp48.xml><?xml version="1.0" encoding="utf-8"?>
<formControlPr xmlns="http://schemas.microsoft.com/office/spreadsheetml/2009/9/main" objectType="CheckBox" fmlaLink="$Z$7" lockText="1" noThreeD="1"/>
</file>

<file path=xl/ctrlProps/ctrlProp49.xml><?xml version="1.0" encoding="utf-8"?>
<formControlPr xmlns="http://schemas.microsoft.com/office/spreadsheetml/2009/9/main" objectType="CheckBox" fmlaLink="$O5" lockText="1" noThreeD="1"/>
</file>

<file path=xl/ctrlProps/ctrlProp50.xml><?xml version="1.0" encoding="utf-8"?>
<formControlPr xmlns="http://schemas.microsoft.com/office/spreadsheetml/2009/9/main" objectType="CheckBox" fmlaLink="$P5" lockText="1" noThreeD="1"/>
</file>

<file path=xl/ctrlProps/ctrlProp51.xml><?xml version="1.0" encoding="utf-8"?>
<formControlPr xmlns="http://schemas.microsoft.com/office/spreadsheetml/2009/9/main" objectType="CheckBox" fmlaLink="$Q5" lockText="1" noThreeD="1"/>
</file>

<file path=xl/ctrlProps/ctrlProp52.xml><?xml version="1.0" encoding="utf-8"?>
<formControlPr xmlns="http://schemas.microsoft.com/office/spreadsheetml/2009/9/main" objectType="CheckBox" fmlaLink="$R5" lockText="1" noThreeD="1"/>
</file>

<file path=xl/ctrlProps/ctrlProp53.xml><?xml version="1.0" encoding="utf-8"?>
<formControlPr xmlns="http://schemas.microsoft.com/office/spreadsheetml/2009/9/main" objectType="CheckBox" fmlaLink="$S5" lockText="1" noThreeD="1"/>
</file>

<file path=xl/ctrlProps/ctrlProp54.xml><?xml version="1.0" encoding="utf-8"?>
<formControlPr xmlns="http://schemas.microsoft.com/office/spreadsheetml/2009/9/main" objectType="CheckBox" fmlaLink="$T5" lockText="1" noThreeD="1"/>
</file>

<file path=xl/ctrlProps/ctrlProp55.xml><?xml version="1.0" encoding="utf-8"?>
<formControlPr xmlns="http://schemas.microsoft.com/office/spreadsheetml/2009/9/main" objectType="CheckBox" fmlaLink="$U5" lockText="1" noThreeD="1"/>
</file>

<file path=xl/ctrlProps/ctrlProp56.xml><?xml version="1.0" encoding="utf-8"?>
<formControlPr xmlns="http://schemas.microsoft.com/office/spreadsheetml/2009/9/main" objectType="CheckBox" fmlaLink="$V5" lockText="1" noThreeD="1"/>
</file>

<file path=xl/ctrlProps/ctrlProp57.xml><?xml version="1.0" encoding="utf-8"?>
<formControlPr xmlns="http://schemas.microsoft.com/office/spreadsheetml/2009/9/main" objectType="CheckBox" fmlaLink="$W5" lockText="1" noThreeD="1"/>
</file>

<file path=xl/ctrlProps/ctrlProp58.xml><?xml version="1.0" encoding="utf-8"?>
<formControlPr xmlns="http://schemas.microsoft.com/office/spreadsheetml/2009/9/main" objectType="CheckBox" fmlaLink="$X5" lockText="1" noThreeD="1"/>
</file>

<file path=xl/ctrlProps/ctrlProp59.xml><?xml version="1.0" encoding="utf-8"?>
<formControlPr xmlns="http://schemas.microsoft.com/office/spreadsheetml/2009/9/main" objectType="CheckBox" fmlaLink="$Y5" lockText="1" noThreeD="1"/>
</file>

<file path=xl/ctrlProps/ctrlProp60.xml><?xml version="1.0" encoding="utf-8"?>
<formControlPr xmlns="http://schemas.microsoft.com/office/spreadsheetml/2009/9/main" objectType="CheckBox" fmlaLink="$Z5" lockText="1" noThreeD="1"/>
</file>

<file path=xl/ctrlProps/ctrlProp61.xml><?xml version="1.0" encoding="utf-8"?>
<formControlPr xmlns="http://schemas.microsoft.com/office/spreadsheetml/2009/9/main" objectType="CheckBox" fmlaLink="$O6" lockText="1" noThreeD="1"/>
</file>

<file path=xl/ctrlProps/ctrlProp62.xml><?xml version="1.0" encoding="utf-8"?>
<formControlPr xmlns="http://schemas.microsoft.com/office/spreadsheetml/2009/9/main" objectType="CheckBox" fmlaLink="$P$6" lockText="1" noThreeD="1"/>
</file>

<file path=xl/ctrlProps/ctrlProp63.xml><?xml version="1.0" encoding="utf-8"?>
<formControlPr xmlns="http://schemas.microsoft.com/office/spreadsheetml/2009/9/main" objectType="CheckBox" fmlaLink="$Q$6" lockText="1" noThreeD="1"/>
</file>

<file path=xl/ctrlProps/ctrlProp64.xml><?xml version="1.0" encoding="utf-8"?>
<formControlPr xmlns="http://schemas.microsoft.com/office/spreadsheetml/2009/9/main" objectType="CheckBox" fmlaLink="$R$6" lockText="1" noThreeD="1"/>
</file>

<file path=xl/ctrlProps/ctrlProp65.xml><?xml version="1.0" encoding="utf-8"?>
<formControlPr xmlns="http://schemas.microsoft.com/office/spreadsheetml/2009/9/main" objectType="CheckBox" fmlaLink="$S$6" lockText="1" noThreeD="1"/>
</file>

<file path=xl/ctrlProps/ctrlProp66.xml><?xml version="1.0" encoding="utf-8"?>
<formControlPr xmlns="http://schemas.microsoft.com/office/spreadsheetml/2009/9/main" objectType="CheckBox" fmlaLink="$T$6" lockText="1" noThreeD="1"/>
</file>

<file path=xl/ctrlProps/ctrlProp67.xml><?xml version="1.0" encoding="utf-8"?>
<formControlPr xmlns="http://schemas.microsoft.com/office/spreadsheetml/2009/9/main" objectType="CheckBox" fmlaLink="$U$6" lockText="1" noThreeD="1"/>
</file>

<file path=xl/ctrlProps/ctrlProp68.xml><?xml version="1.0" encoding="utf-8"?>
<formControlPr xmlns="http://schemas.microsoft.com/office/spreadsheetml/2009/9/main" objectType="CheckBox" fmlaLink="$V$6" lockText="1" noThreeD="1"/>
</file>

<file path=xl/ctrlProps/ctrlProp69.xml><?xml version="1.0" encoding="utf-8"?>
<formControlPr xmlns="http://schemas.microsoft.com/office/spreadsheetml/2009/9/main" objectType="CheckBox" fmlaLink="$W$6" lockText="1" noThreeD="1"/>
</file>

<file path=xl/ctrlProps/ctrlProp70.xml><?xml version="1.0" encoding="utf-8"?>
<formControlPr xmlns="http://schemas.microsoft.com/office/spreadsheetml/2009/9/main" objectType="CheckBox" fmlaLink="$X$6" lockText="1" noThreeD="1"/>
</file>

<file path=xl/ctrlProps/ctrlProp71.xml><?xml version="1.0" encoding="utf-8"?>
<formControlPr xmlns="http://schemas.microsoft.com/office/spreadsheetml/2009/9/main" objectType="CheckBox" fmlaLink="$Y$6" lockText="1" noThreeD="1"/>
</file>

<file path=xl/ctrlProps/ctrlProp72.xml><?xml version="1.0" encoding="utf-8"?>
<formControlPr xmlns="http://schemas.microsoft.com/office/spreadsheetml/2009/9/main" objectType="CheckBox" fmlaLink="$Z$6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100</xdr:row>
      <xdr:rowOff>171449</xdr:rowOff>
    </xdr:from>
    <xdr:to>
      <xdr:col>24</xdr:col>
      <xdr:colOff>0</xdr:colOff>
      <xdr:row>119</xdr:row>
      <xdr:rowOff>47624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21</xdr:row>
      <xdr:rowOff>47625</xdr:rowOff>
    </xdr:from>
    <xdr:to>
      <xdr:col>2</xdr:col>
      <xdr:colOff>514349</xdr:colOff>
      <xdr:row>32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552451</xdr:colOff>
      <xdr:row>21</xdr:row>
      <xdr:rowOff>47626</xdr:rowOff>
    </xdr:from>
    <xdr:to>
      <xdr:col>7</xdr:col>
      <xdr:colOff>514350</xdr:colOff>
      <xdr:row>33</xdr:row>
      <xdr:rowOff>47626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85724</xdr:colOff>
      <xdr:row>33</xdr:row>
      <xdr:rowOff>133350</xdr:rowOff>
    </xdr:from>
    <xdr:to>
      <xdr:col>7</xdr:col>
      <xdr:colOff>476249</xdr:colOff>
      <xdr:row>49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</xdr:row>
          <xdr:rowOff>152400</xdr:rowOff>
        </xdr:from>
        <xdr:to>
          <xdr:col>3</xdr:col>
          <xdr:colOff>19050</xdr:colOff>
          <xdr:row>1</xdr:row>
          <xdr:rowOff>514350</xdr:rowOff>
        </xdr:to>
        <xdr:sp macro="" textlink="">
          <xdr:nvSpPr>
            <xdr:cNvPr id="3073" name="Check Box 1" descr="PO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152400</xdr:rowOff>
        </xdr:from>
        <xdr:to>
          <xdr:col>4</xdr:col>
          <xdr:colOff>76200</xdr:colOff>
          <xdr:row>1</xdr:row>
          <xdr:rowOff>514350</xdr:rowOff>
        </xdr:to>
        <xdr:sp macro="" textlink="">
          <xdr:nvSpPr>
            <xdr:cNvPr id="3074" name="Check Box 2" descr="PO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152400</xdr:rowOff>
        </xdr:from>
        <xdr:to>
          <xdr:col>5</xdr:col>
          <xdr:colOff>76200</xdr:colOff>
          <xdr:row>1</xdr:row>
          <xdr:rowOff>514350</xdr:rowOff>
        </xdr:to>
        <xdr:sp macro="" textlink="">
          <xdr:nvSpPr>
            <xdr:cNvPr id="3075" name="Check Box 3" descr="PO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</xdr:row>
          <xdr:rowOff>152400</xdr:rowOff>
        </xdr:from>
        <xdr:to>
          <xdr:col>6</xdr:col>
          <xdr:colOff>47625</xdr:colOff>
          <xdr:row>1</xdr:row>
          <xdr:rowOff>514350</xdr:rowOff>
        </xdr:to>
        <xdr:sp macro="" textlink="">
          <xdr:nvSpPr>
            <xdr:cNvPr id="3076" name="Check Box 4" descr="PO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152400</xdr:rowOff>
        </xdr:from>
        <xdr:to>
          <xdr:col>7</xdr:col>
          <xdr:colOff>66675</xdr:colOff>
          <xdr:row>1</xdr:row>
          <xdr:rowOff>514350</xdr:rowOff>
        </xdr:to>
        <xdr:sp macro="" textlink="">
          <xdr:nvSpPr>
            <xdr:cNvPr id="3077" name="Check Box 5" descr="PO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152400</xdr:rowOff>
        </xdr:from>
        <xdr:to>
          <xdr:col>8</xdr:col>
          <xdr:colOff>66675</xdr:colOff>
          <xdr:row>1</xdr:row>
          <xdr:rowOff>514350</xdr:rowOff>
        </xdr:to>
        <xdr:sp macro="" textlink="">
          <xdr:nvSpPr>
            <xdr:cNvPr id="3078" name="Check Box 6" descr="PO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</xdr:row>
          <xdr:rowOff>152400</xdr:rowOff>
        </xdr:from>
        <xdr:to>
          <xdr:col>9</xdr:col>
          <xdr:colOff>28575</xdr:colOff>
          <xdr:row>1</xdr:row>
          <xdr:rowOff>514350</xdr:rowOff>
        </xdr:to>
        <xdr:sp macro="" textlink="">
          <xdr:nvSpPr>
            <xdr:cNvPr id="3079" name="Check Box 7" descr="PO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1</xdr:row>
          <xdr:rowOff>152400</xdr:rowOff>
        </xdr:from>
        <xdr:to>
          <xdr:col>10</xdr:col>
          <xdr:colOff>28575</xdr:colOff>
          <xdr:row>1</xdr:row>
          <xdr:rowOff>514350</xdr:rowOff>
        </xdr:to>
        <xdr:sp macro="" textlink="">
          <xdr:nvSpPr>
            <xdr:cNvPr id="3080" name="Check Box 8" descr="PO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</xdr:row>
          <xdr:rowOff>152400</xdr:rowOff>
        </xdr:from>
        <xdr:to>
          <xdr:col>11</xdr:col>
          <xdr:colOff>28575</xdr:colOff>
          <xdr:row>1</xdr:row>
          <xdr:rowOff>514350</xdr:rowOff>
        </xdr:to>
        <xdr:sp macro="" textlink="">
          <xdr:nvSpPr>
            <xdr:cNvPr id="3081" name="Check Box 9" descr="PO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152400</xdr:rowOff>
        </xdr:from>
        <xdr:to>
          <xdr:col>11</xdr:col>
          <xdr:colOff>495300</xdr:colOff>
          <xdr:row>1</xdr:row>
          <xdr:rowOff>514350</xdr:rowOff>
        </xdr:to>
        <xdr:sp macro="" textlink="">
          <xdr:nvSpPr>
            <xdr:cNvPr id="3082" name="Check Box 10" descr="PO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</xdr:row>
          <xdr:rowOff>152400</xdr:rowOff>
        </xdr:from>
        <xdr:to>
          <xdr:col>13</xdr:col>
          <xdr:colOff>9525</xdr:colOff>
          <xdr:row>1</xdr:row>
          <xdr:rowOff>514350</xdr:rowOff>
        </xdr:to>
        <xdr:sp macro="" textlink="">
          <xdr:nvSpPr>
            <xdr:cNvPr id="3083" name="Check Box 11" descr="PO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</xdr:row>
          <xdr:rowOff>152400</xdr:rowOff>
        </xdr:from>
        <xdr:to>
          <xdr:col>13</xdr:col>
          <xdr:colOff>476250</xdr:colOff>
          <xdr:row>1</xdr:row>
          <xdr:rowOff>514350</xdr:rowOff>
        </xdr:to>
        <xdr:sp macro="" textlink="">
          <xdr:nvSpPr>
            <xdr:cNvPr id="3084" name="Check Box 12" descr="PO1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</xdr:row>
          <xdr:rowOff>190500</xdr:rowOff>
        </xdr:from>
        <xdr:to>
          <xdr:col>3</xdr:col>
          <xdr:colOff>19050</xdr:colOff>
          <xdr:row>2</xdr:row>
          <xdr:rowOff>552450</xdr:rowOff>
        </xdr:to>
        <xdr:sp macro="" textlink="">
          <xdr:nvSpPr>
            <xdr:cNvPr id="3085" name="Check Box 13" descr="PO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</xdr:row>
          <xdr:rowOff>190500</xdr:rowOff>
        </xdr:from>
        <xdr:to>
          <xdr:col>4</xdr:col>
          <xdr:colOff>76200</xdr:colOff>
          <xdr:row>2</xdr:row>
          <xdr:rowOff>552450</xdr:rowOff>
        </xdr:to>
        <xdr:sp macro="" textlink="">
          <xdr:nvSpPr>
            <xdr:cNvPr id="3086" name="Check Box 14" descr="PO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</xdr:row>
          <xdr:rowOff>190500</xdr:rowOff>
        </xdr:from>
        <xdr:to>
          <xdr:col>5</xdr:col>
          <xdr:colOff>76200</xdr:colOff>
          <xdr:row>2</xdr:row>
          <xdr:rowOff>552450</xdr:rowOff>
        </xdr:to>
        <xdr:sp macro="" textlink="">
          <xdr:nvSpPr>
            <xdr:cNvPr id="3087" name="Check Box 15" descr="PO3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2</xdr:row>
          <xdr:rowOff>190500</xdr:rowOff>
        </xdr:from>
        <xdr:to>
          <xdr:col>6</xdr:col>
          <xdr:colOff>47625</xdr:colOff>
          <xdr:row>2</xdr:row>
          <xdr:rowOff>552450</xdr:rowOff>
        </xdr:to>
        <xdr:sp macro="" textlink="">
          <xdr:nvSpPr>
            <xdr:cNvPr id="3088" name="Check Box 16" descr="PO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190500</xdr:rowOff>
        </xdr:from>
        <xdr:to>
          <xdr:col>7</xdr:col>
          <xdr:colOff>66675</xdr:colOff>
          <xdr:row>2</xdr:row>
          <xdr:rowOff>552450</xdr:rowOff>
        </xdr:to>
        <xdr:sp macro="" textlink="">
          <xdr:nvSpPr>
            <xdr:cNvPr id="3089" name="Check Box 17" descr="PO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190500</xdr:rowOff>
        </xdr:from>
        <xdr:to>
          <xdr:col>8</xdr:col>
          <xdr:colOff>66675</xdr:colOff>
          <xdr:row>2</xdr:row>
          <xdr:rowOff>552450</xdr:rowOff>
        </xdr:to>
        <xdr:sp macro="" textlink="">
          <xdr:nvSpPr>
            <xdr:cNvPr id="3090" name="Check Box 18" descr="PO1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</xdr:row>
          <xdr:rowOff>190500</xdr:rowOff>
        </xdr:from>
        <xdr:to>
          <xdr:col>9</xdr:col>
          <xdr:colOff>28575</xdr:colOff>
          <xdr:row>2</xdr:row>
          <xdr:rowOff>552450</xdr:rowOff>
        </xdr:to>
        <xdr:sp macro="" textlink="">
          <xdr:nvSpPr>
            <xdr:cNvPr id="3091" name="Check Box 19" descr="PO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</xdr:row>
          <xdr:rowOff>190500</xdr:rowOff>
        </xdr:from>
        <xdr:to>
          <xdr:col>10</xdr:col>
          <xdr:colOff>9525</xdr:colOff>
          <xdr:row>2</xdr:row>
          <xdr:rowOff>552450</xdr:rowOff>
        </xdr:to>
        <xdr:sp macro="" textlink="">
          <xdr:nvSpPr>
            <xdr:cNvPr id="3092" name="Check Box 20" descr="PO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</xdr:row>
          <xdr:rowOff>190500</xdr:rowOff>
        </xdr:from>
        <xdr:to>
          <xdr:col>11</xdr:col>
          <xdr:colOff>28575</xdr:colOff>
          <xdr:row>2</xdr:row>
          <xdr:rowOff>552450</xdr:rowOff>
        </xdr:to>
        <xdr:sp macro="" textlink="">
          <xdr:nvSpPr>
            <xdr:cNvPr id="3093" name="Check Box 21" descr="PO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2</xdr:row>
          <xdr:rowOff>190500</xdr:rowOff>
        </xdr:from>
        <xdr:to>
          <xdr:col>11</xdr:col>
          <xdr:colOff>485775</xdr:colOff>
          <xdr:row>2</xdr:row>
          <xdr:rowOff>552450</xdr:rowOff>
        </xdr:to>
        <xdr:sp macro="" textlink="">
          <xdr:nvSpPr>
            <xdr:cNvPr id="3094" name="Check Box 22" descr="PO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</xdr:row>
          <xdr:rowOff>190500</xdr:rowOff>
        </xdr:from>
        <xdr:to>
          <xdr:col>12</xdr:col>
          <xdr:colOff>485775</xdr:colOff>
          <xdr:row>2</xdr:row>
          <xdr:rowOff>552450</xdr:rowOff>
        </xdr:to>
        <xdr:sp macro="" textlink="">
          <xdr:nvSpPr>
            <xdr:cNvPr id="3095" name="Check Box 23" descr="PO1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2</xdr:row>
          <xdr:rowOff>190500</xdr:rowOff>
        </xdr:from>
        <xdr:to>
          <xdr:col>13</xdr:col>
          <xdr:colOff>485775</xdr:colOff>
          <xdr:row>2</xdr:row>
          <xdr:rowOff>552450</xdr:rowOff>
        </xdr:to>
        <xdr:sp macro="" textlink="">
          <xdr:nvSpPr>
            <xdr:cNvPr id="3096" name="Check Box 24" descr="PO1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</xdr:row>
          <xdr:rowOff>200025</xdr:rowOff>
        </xdr:from>
        <xdr:to>
          <xdr:col>3</xdr:col>
          <xdr:colOff>19050</xdr:colOff>
          <xdr:row>3</xdr:row>
          <xdr:rowOff>561975</xdr:rowOff>
        </xdr:to>
        <xdr:sp macro="" textlink="">
          <xdr:nvSpPr>
            <xdr:cNvPr id="3097" name="Check Box 25" descr="PO1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3</xdr:row>
          <xdr:rowOff>200025</xdr:rowOff>
        </xdr:from>
        <xdr:to>
          <xdr:col>4</xdr:col>
          <xdr:colOff>76200</xdr:colOff>
          <xdr:row>3</xdr:row>
          <xdr:rowOff>561975</xdr:rowOff>
        </xdr:to>
        <xdr:sp macro="" textlink="">
          <xdr:nvSpPr>
            <xdr:cNvPr id="3098" name="Check Box 26" descr="PO2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3</xdr:row>
          <xdr:rowOff>200025</xdr:rowOff>
        </xdr:from>
        <xdr:to>
          <xdr:col>5</xdr:col>
          <xdr:colOff>76200</xdr:colOff>
          <xdr:row>3</xdr:row>
          <xdr:rowOff>561975</xdr:rowOff>
        </xdr:to>
        <xdr:sp macro="" textlink="">
          <xdr:nvSpPr>
            <xdr:cNvPr id="3099" name="Check Box 27" descr="PO3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</xdr:row>
          <xdr:rowOff>200025</xdr:rowOff>
        </xdr:from>
        <xdr:to>
          <xdr:col>6</xdr:col>
          <xdr:colOff>47625</xdr:colOff>
          <xdr:row>3</xdr:row>
          <xdr:rowOff>561975</xdr:rowOff>
        </xdr:to>
        <xdr:sp macro="" textlink="">
          <xdr:nvSpPr>
            <xdr:cNvPr id="3100" name="Check Box 28" descr="PO1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200025</xdr:rowOff>
        </xdr:from>
        <xdr:to>
          <xdr:col>7</xdr:col>
          <xdr:colOff>66675</xdr:colOff>
          <xdr:row>3</xdr:row>
          <xdr:rowOff>561975</xdr:rowOff>
        </xdr:to>
        <xdr:sp macro="" textlink="">
          <xdr:nvSpPr>
            <xdr:cNvPr id="3101" name="Check Box 29" descr="PO1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3</xdr:row>
          <xdr:rowOff>200025</xdr:rowOff>
        </xdr:from>
        <xdr:to>
          <xdr:col>8</xdr:col>
          <xdr:colOff>66675</xdr:colOff>
          <xdr:row>3</xdr:row>
          <xdr:rowOff>561975</xdr:rowOff>
        </xdr:to>
        <xdr:sp macro="" textlink="">
          <xdr:nvSpPr>
            <xdr:cNvPr id="3102" name="Check Box 30" descr="PO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3</xdr:row>
          <xdr:rowOff>200025</xdr:rowOff>
        </xdr:from>
        <xdr:to>
          <xdr:col>9</xdr:col>
          <xdr:colOff>28575</xdr:colOff>
          <xdr:row>3</xdr:row>
          <xdr:rowOff>561975</xdr:rowOff>
        </xdr:to>
        <xdr:sp macro="" textlink="">
          <xdr:nvSpPr>
            <xdr:cNvPr id="3103" name="Check Box 31" descr="PO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3</xdr:row>
          <xdr:rowOff>200025</xdr:rowOff>
        </xdr:from>
        <xdr:to>
          <xdr:col>10</xdr:col>
          <xdr:colOff>9525</xdr:colOff>
          <xdr:row>3</xdr:row>
          <xdr:rowOff>561975</xdr:rowOff>
        </xdr:to>
        <xdr:sp macro="" textlink="">
          <xdr:nvSpPr>
            <xdr:cNvPr id="3104" name="Check Box 32" descr="PO1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</xdr:row>
          <xdr:rowOff>200025</xdr:rowOff>
        </xdr:from>
        <xdr:to>
          <xdr:col>11</xdr:col>
          <xdr:colOff>28575</xdr:colOff>
          <xdr:row>3</xdr:row>
          <xdr:rowOff>561975</xdr:rowOff>
        </xdr:to>
        <xdr:sp macro="" textlink="">
          <xdr:nvSpPr>
            <xdr:cNvPr id="3105" name="Check Box 33" descr="PO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3</xdr:row>
          <xdr:rowOff>200025</xdr:rowOff>
        </xdr:from>
        <xdr:to>
          <xdr:col>11</xdr:col>
          <xdr:colOff>485775</xdr:colOff>
          <xdr:row>3</xdr:row>
          <xdr:rowOff>561975</xdr:rowOff>
        </xdr:to>
        <xdr:sp macro="" textlink="">
          <xdr:nvSpPr>
            <xdr:cNvPr id="3106" name="Check Box 34" descr="PO1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3</xdr:row>
          <xdr:rowOff>200025</xdr:rowOff>
        </xdr:from>
        <xdr:to>
          <xdr:col>12</xdr:col>
          <xdr:colOff>485775</xdr:colOff>
          <xdr:row>3</xdr:row>
          <xdr:rowOff>561975</xdr:rowOff>
        </xdr:to>
        <xdr:sp macro="" textlink="">
          <xdr:nvSpPr>
            <xdr:cNvPr id="3107" name="Check Box 35" descr="PO1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3</xdr:row>
          <xdr:rowOff>200025</xdr:rowOff>
        </xdr:from>
        <xdr:to>
          <xdr:col>13</xdr:col>
          <xdr:colOff>485775</xdr:colOff>
          <xdr:row>3</xdr:row>
          <xdr:rowOff>561975</xdr:rowOff>
        </xdr:to>
        <xdr:sp macro="" textlink="">
          <xdr:nvSpPr>
            <xdr:cNvPr id="3108" name="Check Box 36" descr="PO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190500</xdr:rowOff>
        </xdr:from>
        <xdr:to>
          <xdr:col>3</xdr:col>
          <xdr:colOff>19050</xdr:colOff>
          <xdr:row>6</xdr:row>
          <xdr:rowOff>552450</xdr:rowOff>
        </xdr:to>
        <xdr:sp macro="" textlink="">
          <xdr:nvSpPr>
            <xdr:cNvPr id="3169" name="Check Box 97" descr="PO1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2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6</xdr:row>
          <xdr:rowOff>190500</xdr:rowOff>
        </xdr:from>
        <xdr:to>
          <xdr:col>4</xdr:col>
          <xdr:colOff>76200</xdr:colOff>
          <xdr:row>6</xdr:row>
          <xdr:rowOff>552450</xdr:rowOff>
        </xdr:to>
        <xdr:sp macro="" textlink="">
          <xdr:nvSpPr>
            <xdr:cNvPr id="3170" name="Check Box 98" descr="PO2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2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6</xdr:row>
          <xdr:rowOff>190500</xdr:rowOff>
        </xdr:from>
        <xdr:to>
          <xdr:col>5</xdr:col>
          <xdr:colOff>76200</xdr:colOff>
          <xdr:row>6</xdr:row>
          <xdr:rowOff>552450</xdr:rowOff>
        </xdr:to>
        <xdr:sp macro="" textlink="">
          <xdr:nvSpPr>
            <xdr:cNvPr id="3171" name="Check Box 99" descr="PO3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2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6</xdr:row>
          <xdr:rowOff>190500</xdr:rowOff>
        </xdr:from>
        <xdr:to>
          <xdr:col>6</xdr:col>
          <xdr:colOff>47625</xdr:colOff>
          <xdr:row>6</xdr:row>
          <xdr:rowOff>552450</xdr:rowOff>
        </xdr:to>
        <xdr:sp macro="" textlink="">
          <xdr:nvSpPr>
            <xdr:cNvPr id="3172" name="Check Box 100" descr="PO1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2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6</xdr:row>
          <xdr:rowOff>190500</xdr:rowOff>
        </xdr:from>
        <xdr:to>
          <xdr:col>7</xdr:col>
          <xdr:colOff>66675</xdr:colOff>
          <xdr:row>6</xdr:row>
          <xdr:rowOff>552450</xdr:rowOff>
        </xdr:to>
        <xdr:sp macro="" textlink="">
          <xdr:nvSpPr>
            <xdr:cNvPr id="3173" name="Check Box 101" descr="PO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2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190500</xdr:rowOff>
        </xdr:from>
        <xdr:to>
          <xdr:col>8</xdr:col>
          <xdr:colOff>66675</xdr:colOff>
          <xdr:row>6</xdr:row>
          <xdr:rowOff>552450</xdr:rowOff>
        </xdr:to>
        <xdr:sp macro="" textlink="">
          <xdr:nvSpPr>
            <xdr:cNvPr id="3174" name="Check Box 102" descr="PO1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2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190500</xdr:rowOff>
        </xdr:from>
        <xdr:to>
          <xdr:col>9</xdr:col>
          <xdr:colOff>28575</xdr:colOff>
          <xdr:row>6</xdr:row>
          <xdr:rowOff>552450</xdr:rowOff>
        </xdr:to>
        <xdr:sp macro="" textlink="">
          <xdr:nvSpPr>
            <xdr:cNvPr id="3175" name="Check Box 103" descr="PO1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2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6</xdr:row>
          <xdr:rowOff>190500</xdr:rowOff>
        </xdr:from>
        <xdr:to>
          <xdr:col>10</xdr:col>
          <xdr:colOff>9525</xdr:colOff>
          <xdr:row>6</xdr:row>
          <xdr:rowOff>552450</xdr:rowOff>
        </xdr:to>
        <xdr:sp macro="" textlink="">
          <xdr:nvSpPr>
            <xdr:cNvPr id="3176" name="Check Box 104" descr="PO1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2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6</xdr:row>
          <xdr:rowOff>190500</xdr:rowOff>
        </xdr:from>
        <xdr:to>
          <xdr:col>11</xdr:col>
          <xdr:colOff>28575</xdr:colOff>
          <xdr:row>6</xdr:row>
          <xdr:rowOff>552450</xdr:rowOff>
        </xdr:to>
        <xdr:sp macro="" textlink="">
          <xdr:nvSpPr>
            <xdr:cNvPr id="3177" name="Check Box 105" descr="PO1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2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6</xdr:row>
          <xdr:rowOff>190500</xdr:rowOff>
        </xdr:from>
        <xdr:to>
          <xdr:col>11</xdr:col>
          <xdr:colOff>485775</xdr:colOff>
          <xdr:row>6</xdr:row>
          <xdr:rowOff>552450</xdr:rowOff>
        </xdr:to>
        <xdr:sp macro="" textlink="">
          <xdr:nvSpPr>
            <xdr:cNvPr id="3178" name="Check Box 106" descr="PO1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2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6</xdr:row>
          <xdr:rowOff>190500</xdr:rowOff>
        </xdr:from>
        <xdr:to>
          <xdr:col>12</xdr:col>
          <xdr:colOff>485775</xdr:colOff>
          <xdr:row>6</xdr:row>
          <xdr:rowOff>552450</xdr:rowOff>
        </xdr:to>
        <xdr:sp macro="" textlink="">
          <xdr:nvSpPr>
            <xdr:cNvPr id="3179" name="Check Box 107" descr="PO1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2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6</xdr:row>
          <xdr:rowOff>190500</xdr:rowOff>
        </xdr:from>
        <xdr:to>
          <xdr:col>13</xdr:col>
          <xdr:colOff>485775</xdr:colOff>
          <xdr:row>6</xdr:row>
          <xdr:rowOff>552450</xdr:rowOff>
        </xdr:to>
        <xdr:sp macro="" textlink="">
          <xdr:nvSpPr>
            <xdr:cNvPr id="3180" name="Check Box 108" descr="PO1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2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200025</xdr:rowOff>
        </xdr:from>
        <xdr:to>
          <xdr:col>3</xdr:col>
          <xdr:colOff>19050</xdr:colOff>
          <xdr:row>4</xdr:row>
          <xdr:rowOff>561975</xdr:rowOff>
        </xdr:to>
        <xdr:sp macro="" textlink="">
          <xdr:nvSpPr>
            <xdr:cNvPr id="3193" name="Check Box 121" descr="PO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2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200025</xdr:rowOff>
        </xdr:from>
        <xdr:to>
          <xdr:col>4</xdr:col>
          <xdr:colOff>76200</xdr:colOff>
          <xdr:row>4</xdr:row>
          <xdr:rowOff>561975</xdr:rowOff>
        </xdr:to>
        <xdr:sp macro="" textlink="">
          <xdr:nvSpPr>
            <xdr:cNvPr id="3194" name="Check Box 122" descr="PO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2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4</xdr:row>
          <xdr:rowOff>200025</xdr:rowOff>
        </xdr:from>
        <xdr:to>
          <xdr:col>5</xdr:col>
          <xdr:colOff>76200</xdr:colOff>
          <xdr:row>4</xdr:row>
          <xdr:rowOff>561975</xdr:rowOff>
        </xdr:to>
        <xdr:sp macro="" textlink="">
          <xdr:nvSpPr>
            <xdr:cNvPr id="3195" name="Check Box 123" descr="PO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2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200025</xdr:rowOff>
        </xdr:from>
        <xdr:to>
          <xdr:col>6</xdr:col>
          <xdr:colOff>47625</xdr:colOff>
          <xdr:row>4</xdr:row>
          <xdr:rowOff>561975</xdr:rowOff>
        </xdr:to>
        <xdr:sp macro="" textlink="">
          <xdr:nvSpPr>
            <xdr:cNvPr id="3196" name="Check Box 124" descr="PO1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2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200025</xdr:rowOff>
        </xdr:from>
        <xdr:to>
          <xdr:col>7</xdr:col>
          <xdr:colOff>66675</xdr:colOff>
          <xdr:row>4</xdr:row>
          <xdr:rowOff>561975</xdr:rowOff>
        </xdr:to>
        <xdr:sp macro="" textlink="">
          <xdr:nvSpPr>
            <xdr:cNvPr id="3197" name="Check Box 125" descr="PO1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2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4</xdr:row>
          <xdr:rowOff>200025</xdr:rowOff>
        </xdr:from>
        <xdr:to>
          <xdr:col>8</xdr:col>
          <xdr:colOff>66675</xdr:colOff>
          <xdr:row>4</xdr:row>
          <xdr:rowOff>561975</xdr:rowOff>
        </xdr:to>
        <xdr:sp macro="" textlink="">
          <xdr:nvSpPr>
            <xdr:cNvPr id="3198" name="Check Box 126" descr="PO1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2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</xdr:row>
          <xdr:rowOff>200025</xdr:rowOff>
        </xdr:from>
        <xdr:to>
          <xdr:col>9</xdr:col>
          <xdr:colOff>28575</xdr:colOff>
          <xdr:row>4</xdr:row>
          <xdr:rowOff>561975</xdr:rowOff>
        </xdr:to>
        <xdr:sp macro="" textlink="">
          <xdr:nvSpPr>
            <xdr:cNvPr id="3199" name="Check Box 127" descr="PO1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2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200025</xdr:rowOff>
        </xdr:from>
        <xdr:to>
          <xdr:col>10</xdr:col>
          <xdr:colOff>9525</xdr:colOff>
          <xdr:row>4</xdr:row>
          <xdr:rowOff>561975</xdr:rowOff>
        </xdr:to>
        <xdr:sp macro="" textlink="">
          <xdr:nvSpPr>
            <xdr:cNvPr id="3200" name="Check Box 128" descr="PO1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2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</xdr:row>
          <xdr:rowOff>200025</xdr:rowOff>
        </xdr:from>
        <xdr:to>
          <xdr:col>11</xdr:col>
          <xdr:colOff>28575</xdr:colOff>
          <xdr:row>4</xdr:row>
          <xdr:rowOff>561975</xdr:rowOff>
        </xdr:to>
        <xdr:sp macro="" textlink="">
          <xdr:nvSpPr>
            <xdr:cNvPr id="3201" name="Check Box 129" descr="PO1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2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4</xdr:row>
          <xdr:rowOff>200025</xdr:rowOff>
        </xdr:from>
        <xdr:to>
          <xdr:col>11</xdr:col>
          <xdr:colOff>485775</xdr:colOff>
          <xdr:row>4</xdr:row>
          <xdr:rowOff>561975</xdr:rowOff>
        </xdr:to>
        <xdr:sp macro="" textlink="">
          <xdr:nvSpPr>
            <xdr:cNvPr id="3202" name="Check Box 130" descr="PO1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2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4</xdr:row>
          <xdr:rowOff>200025</xdr:rowOff>
        </xdr:from>
        <xdr:to>
          <xdr:col>12</xdr:col>
          <xdr:colOff>485775</xdr:colOff>
          <xdr:row>4</xdr:row>
          <xdr:rowOff>561975</xdr:rowOff>
        </xdr:to>
        <xdr:sp macro="" textlink="">
          <xdr:nvSpPr>
            <xdr:cNvPr id="3203" name="Check Box 131" descr="PO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2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</xdr:row>
          <xdr:rowOff>200025</xdr:rowOff>
        </xdr:from>
        <xdr:to>
          <xdr:col>13</xdr:col>
          <xdr:colOff>485775</xdr:colOff>
          <xdr:row>4</xdr:row>
          <xdr:rowOff>561975</xdr:rowOff>
        </xdr:to>
        <xdr:sp macro="" textlink="">
          <xdr:nvSpPr>
            <xdr:cNvPr id="3204" name="Check Box 132" descr="PO1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2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</xdr:row>
          <xdr:rowOff>200025</xdr:rowOff>
        </xdr:from>
        <xdr:to>
          <xdr:col>3</xdr:col>
          <xdr:colOff>19050</xdr:colOff>
          <xdr:row>5</xdr:row>
          <xdr:rowOff>561975</xdr:rowOff>
        </xdr:to>
        <xdr:sp macro="" textlink="">
          <xdr:nvSpPr>
            <xdr:cNvPr id="3205" name="Check Box 133" descr="PO1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2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200025</xdr:rowOff>
        </xdr:from>
        <xdr:to>
          <xdr:col>4</xdr:col>
          <xdr:colOff>76200</xdr:colOff>
          <xdr:row>5</xdr:row>
          <xdr:rowOff>561975</xdr:rowOff>
        </xdr:to>
        <xdr:sp macro="" textlink="">
          <xdr:nvSpPr>
            <xdr:cNvPr id="3206" name="Check Box 134" descr="PO2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2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5</xdr:row>
          <xdr:rowOff>200025</xdr:rowOff>
        </xdr:from>
        <xdr:to>
          <xdr:col>5</xdr:col>
          <xdr:colOff>76200</xdr:colOff>
          <xdr:row>5</xdr:row>
          <xdr:rowOff>561975</xdr:rowOff>
        </xdr:to>
        <xdr:sp macro="" textlink="">
          <xdr:nvSpPr>
            <xdr:cNvPr id="3207" name="Check Box 135" descr="PO3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2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5</xdr:row>
          <xdr:rowOff>200025</xdr:rowOff>
        </xdr:from>
        <xdr:to>
          <xdr:col>6</xdr:col>
          <xdr:colOff>47625</xdr:colOff>
          <xdr:row>5</xdr:row>
          <xdr:rowOff>561975</xdr:rowOff>
        </xdr:to>
        <xdr:sp macro="" textlink="">
          <xdr:nvSpPr>
            <xdr:cNvPr id="3208" name="Check Box 136" descr="PO1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2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5</xdr:row>
          <xdr:rowOff>200025</xdr:rowOff>
        </xdr:from>
        <xdr:to>
          <xdr:col>7</xdr:col>
          <xdr:colOff>66675</xdr:colOff>
          <xdr:row>5</xdr:row>
          <xdr:rowOff>561975</xdr:rowOff>
        </xdr:to>
        <xdr:sp macro="" textlink="">
          <xdr:nvSpPr>
            <xdr:cNvPr id="3209" name="Check Box 137" descr="PO1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2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5</xdr:row>
          <xdr:rowOff>200025</xdr:rowOff>
        </xdr:from>
        <xdr:to>
          <xdr:col>8</xdr:col>
          <xdr:colOff>66675</xdr:colOff>
          <xdr:row>5</xdr:row>
          <xdr:rowOff>561975</xdr:rowOff>
        </xdr:to>
        <xdr:sp macro="" textlink="">
          <xdr:nvSpPr>
            <xdr:cNvPr id="3210" name="Check Box 138" descr="PO1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2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5</xdr:row>
          <xdr:rowOff>200025</xdr:rowOff>
        </xdr:from>
        <xdr:to>
          <xdr:col>9</xdr:col>
          <xdr:colOff>28575</xdr:colOff>
          <xdr:row>5</xdr:row>
          <xdr:rowOff>561975</xdr:rowOff>
        </xdr:to>
        <xdr:sp macro="" textlink="">
          <xdr:nvSpPr>
            <xdr:cNvPr id="3211" name="Check Box 139" descr="PO1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2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200025</xdr:rowOff>
        </xdr:from>
        <xdr:to>
          <xdr:col>10</xdr:col>
          <xdr:colOff>9525</xdr:colOff>
          <xdr:row>5</xdr:row>
          <xdr:rowOff>561975</xdr:rowOff>
        </xdr:to>
        <xdr:sp macro="" textlink="">
          <xdr:nvSpPr>
            <xdr:cNvPr id="3212" name="Check Box 140" descr="PO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2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5</xdr:row>
          <xdr:rowOff>200025</xdr:rowOff>
        </xdr:from>
        <xdr:to>
          <xdr:col>11</xdr:col>
          <xdr:colOff>28575</xdr:colOff>
          <xdr:row>5</xdr:row>
          <xdr:rowOff>561975</xdr:rowOff>
        </xdr:to>
        <xdr:sp macro="" textlink="">
          <xdr:nvSpPr>
            <xdr:cNvPr id="3213" name="Check Box 141" descr="PO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2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5</xdr:row>
          <xdr:rowOff>200025</xdr:rowOff>
        </xdr:from>
        <xdr:to>
          <xdr:col>11</xdr:col>
          <xdr:colOff>485775</xdr:colOff>
          <xdr:row>5</xdr:row>
          <xdr:rowOff>561975</xdr:rowOff>
        </xdr:to>
        <xdr:sp macro="" textlink="">
          <xdr:nvSpPr>
            <xdr:cNvPr id="3214" name="Check Box 142" descr="PO1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2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5</xdr:row>
          <xdr:rowOff>200025</xdr:rowOff>
        </xdr:from>
        <xdr:to>
          <xdr:col>12</xdr:col>
          <xdr:colOff>485775</xdr:colOff>
          <xdr:row>5</xdr:row>
          <xdr:rowOff>561975</xdr:rowOff>
        </xdr:to>
        <xdr:sp macro="" textlink="">
          <xdr:nvSpPr>
            <xdr:cNvPr id="3215" name="Check Box 143" descr="PO1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2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5</xdr:row>
          <xdr:rowOff>200025</xdr:rowOff>
        </xdr:from>
        <xdr:to>
          <xdr:col>13</xdr:col>
          <xdr:colOff>485775</xdr:colOff>
          <xdr:row>5</xdr:row>
          <xdr:rowOff>561975</xdr:rowOff>
        </xdr:to>
        <xdr:sp macro="" textlink="">
          <xdr:nvSpPr>
            <xdr:cNvPr id="3216" name="Check Box 144" descr="PO1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2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 mc:Ignorable="a14" a14:legacySpreadsheetColorIndex="1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13</xdr:row>
          <xdr:rowOff>19050</xdr:rowOff>
        </xdr:from>
        <xdr:to>
          <xdr:col>27</xdr:col>
          <xdr:colOff>609600</xdr:colOff>
          <xdr:row>15</xdr:row>
          <xdr:rowOff>9525</xdr:rowOff>
        </xdr:to>
        <xdr:sp macro="" textlink="">
          <xdr:nvSpPr>
            <xdr:cNvPr id="3217" name="cmd_pubSheet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2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0</xdr:rowOff>
        </xdr:from>
        <xdr:to>
          <xdr:col>2</xdr:col>
          <xdr:colOff>1076325</xdr:colOff>
          <xdr:row>4</xdr:row>
          <xdr:rowOff>152400</xdr:rowOff>
        </xdr:to>
        <xdr:sp macro="" textlink="">
          <xdr:nvSpPr>
            <xdr:cNvPr id="4097" name="cmd_publis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6" Type="http://schemas.openxmlformats.org/officeDocument/2006/relationships/ctrlProp" Target="../ctrlProps/ctrlProp71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74" Type="http://schemas.openxmlformats.org/officeDocument/2006/relationships/ctrlProp" Target="../ctrlProps/ctrlProp69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61" Type="http://schemas.openxmlformats.org/officeDocument/2006/relationships/ctrlProp" Target="../ctrlProps/ctrlProp56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trlProp" Target="../ctrlProps/ctrlProp68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77" Type="http://schemas.openxmlformats.org/officeDocument/2006/relationships/ctrlProp" Target="../ctrlProps/ctrlProp72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1031"/>
  <sheetViews>
    <sheetView tabSelected="1" topLeftCell="A20" zoomScaleNormal="100" workbookViewId="0">
      <selection activeCell="E30" sqref="E30:E70"/>
    </sheetView>
  </sheetViews>
  <sheetFormatPr defaultColWidth="14.42578125" defaultRowHeight="15" customHeight="1"/>
  <cols>
    <col min="1" max="1" width="17.7109375" customWidth="1"/>
    <col min="2" max="2" width="24.42578125" style="54" customWidth="1"/>
    <col min="3" max="4" width="6.42578125" customWidth="1"/>
    <col min="5" max="5" width="6" customWidth="1"/>
    <col min="6" max="6" width="6.28515625" customWidth="1"/>
    <col min="7" max="7" width="5.28515625" bestFit="1" customWidth="1"/>
    <col min="8" max="8" width="7.28515625" customWidth="1"/>
    <col min="9" max="9" width="7" customWidth="1"/>
    <col min="10" max="14" width="5.28515625" customWidth="1"/>
    <col min="15" max="15" width="7.5703125" customWidth="1"/>
    <col min="16" max="20" width="5.28515625" customWidth="1"/>
    <col min="21" max="21" width="6" customWidth="1"/>
    <col min="22" max="22" width="7" customWidth="1"/>
    <col min="23" max="23" width="9.140625" customWidth="1"/>
    <col min="24" max="24" width="13.140625" customWidth="1"/>
    <col min="25" max="25" width="1.28515625" customWidth="1"/>
    <col min="26" max="26" width="15.28515625" customWidth="1"/>
    <col min="27" max="27" width="23.28515625" customWidth="1"/>
    <col min="28" max="28" width="6.85546875" customWidth="1"/>
    <col min="29" max="29" width="7.7109375" customWidth="1"/>
    <col min="30" max="30" width="8" customWidth="1"/>
    <col min="31" max="32" width="8.140625" customWidth="1"/>
    <col min="33" max="33" width="8" customWidth="1"/>
    <col min="34" max="34" width="8.42578125" customWidth="1"/>
    <col min="35" max="35" width="8.5703125" customWidth="1"/>
    <col min="36" max="36" width="8.7109375" customWidth="1"/>
    <col min="37" max="37" width="8.5703125" customWidth="1"/>
    <col min="38" max="38" width="8.7109375" customWidth="1"/>
    <col min="39" max="39" width="7.7109375" bestFit="1" customWidth="1"/>
    <col min="40" max="40" width="9.140625" customWidth="1"/>
    <col min="41" max="41" width="9.28515625" customWidth="1"/>
    <col min="42" max="42" width="10.28515625" customWidth="1"/>
    <col min="43" max="43" width="9.28515625" customWidth="1"/>
    <col min="44" max="44" width="9.7109375" customWidth="1"/>
    <col min="45" max="45" width="9" customWidth="1"/>
    <col min="46" max="47" width="9.85546875" customWidth="1"/>
    <col min="48" max="48" width="9" customWidth="1"/>
    <col min="49" max="49" width="8.7109375" customWidth="1"/>
    <col min="50" max="50" width="10.140625" customWidth="1"/>
    <col min="51" max="51" width="10.28515625" customWidth="1"/>
    <col min="52" max="52" width="9.7109375" customWidth="1"/>
    <col min="53" max="53" width="9.42578125" customWidth="1"/>
    <col min="54" max="54" width="10.140625" customWidth="1"/>
    <col min="55" max="55" width="9.85546875" customWidth="1"/>
    <col min="56" max="56" width="10.85546875" customWidth="1"/>
    <col min="57" max="57" width="10.28515625" customWidth="1"/>
  </cols>
  <sheetData>
    <row r="1" spans="1:48" ht="4.5" customHeight="1">
      <c r="A1" s="26"/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ht="12" customHeight="1">
      <c r="A2" s="145" t="s">
        <v>0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28"/>
      <c r="X2" s="28"/>
      <c r="Y2" s="26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</row>
    <row r="3" spans="1:48" ht="12" customHeight="1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28"/>
      <c r="X3" s="28"/>
      <c r="Y3" s="26"/>
      <c r="Z3" s="207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</row>
    <row r="4" spans="1:48" ht="12" customHeight="1">
      <c r="A4" s="145" t="s">
        <v>1</v>
      </c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28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</row>
    <row r="5" spans="1:48" ht="12" customHeight="1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28"/>
      <c r="Y5" s="26"/>
      <c r="Z5" s="162"/>
      <c r="AA5" s="184"/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184"/>
      <c r="AV5" s="184"/>
    </row>
    <row r="6" spans="1:48" ht="12" customHeight="1">
      <c r="A6" s="144" t="s">
        <v>75</v>
      </c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30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</row>
    <row r="7" spans="1:48" ht="12" customHeight="1" thickBot="1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30"/>
      <c r="Y7" s="31"/>
      <c r="Z7" s="185"/>
      <c r="AA7" s="184"/>
      <c r="AB7" s="184"/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</row>
    <row r="8" spans="1:48" ht="12" customHeight="1">
      <c r="A8" s="138" t="s">
        <v>192</v>
      </c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  <c r="R8" s="139"/>
      <c r="S8" s="139"/>
      <c r="T8" s="139"/>
      <c r="U8" s="139"/>
      <c r="V8" s="140"/>
      <c r="W8" s="32"/>
      <c r="X8" s="8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</row>
    <row r="9" spans="1:48" ht="12" customHeight="1" thickBot="1">
      <c r="A9" s="141"/>
      <c r="B9" s="142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3"/>
      <c r="W9" s="32"/>
      <c r="X9" s="8"/>
      <c r="Y9" s="26"/>
      <c r="Z9" s="162"/>
      <c r="AA9" s="184"/>
      <c r="AB9" s="184"/>
      <c r="AC9" s="184"/>
      <c r="AD9" s="184"/>
      <c r="AE9" s="184"/>
      <c r="AF9" s="184"/>
      <c r="AG9" s="184"/>
      <c r="AH9" s="184"/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</row>
    <row r="10" spans="1:48" ht="15" customHeight="1">
      <c r="A10" s="33"/>
      <c r="B10" s="34"/>
      <c r="C10" s="34"/>
      <c r="D10" s="27"/>
      <c r="E10" s="35"/>
      <c r="F10" s="35"/>
      <c r="G10" s="35"/>
      <c r="H10" s="26"/>
      <c r="I10" s="26"/>
      <c r="J10" s="26"/>
      <c r="K10" s="26"/>
      <c r="L10" s="26"/>
      <c r="M10" s="26"/>
      <c r="N10" s="26"/>
      <c r="O10" s="26"/>
      <c r="P10" s="36"/>
      <c r="Q10" s="36"/>
      <c r="R10" s="36"/>
      <c r="S10" s="36"/>
      <c r="T10" s="36"/>
      <c r="U10" s="36"/>
      <c r="V10" s="37"/>
      <c r="W10" s="37"/>
      <c r="X10" s="26"/>
      <c r="Y10" s="29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</row>
    <row r="11" spans="1:48" ht="15" customHeight="1">
      <c r="A11" s="207"/>
      <c r="B11" s="184"/>
      <c r="D11" s="27"/>
      <c r="E11" s="35"/>
      <c r="F11" s="35"/>
      <c r="G11" s="35"/>
      <c r="H11" s="26"/>
      <c r="I11" s="26"/>
      <c r="J11" s="137" t="s">
        <v>2</v>
      </c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38"/>
      <c r="X11" s="26"/>
      <c r="Y11" s="29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</row>
    <row r="12" spans="1:48" ht="28.5" customHeight="1">
      <c r="A12" s="39"/>
      <c r="B12" s="34"/>
      <c r="C12" s="34"/>
      <c r="D12" s="27"/>
      <c r="E12" s="35"/>
      <c r="F12" s="35"/>
      <c r="G12" s="35"/>
      <c r="H12" s="26"/>
      <c r="I12" s="26"/>
      <c r="J12" s="137" t="s">
        <v>3</v>
      </c>
      <c r="K12" s="176"/>
      <c r="L12" s="176"/>
      <c r="M12" s="176"/>
      <c r="N12" s="176"/>
      <c r="O12" s="176"/>
      <c r="P12" s="176"/>
      <c r="Q12" s="137" t="s">
        <v>4</v>
      </c>
      <c r="R12" s="176"/>
      <c r="S12" s="176"/>
      <c r="T12" s="176"/>
      <c r="U12" s="176"/>
      <c r="V12" s="58" t="s">
        <v>104</v>
      </c>
      <c r="W12" s="38"/>
      <c r="X12" s="26"/>
      <c r="Y12" s="29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</row>
    <row r="13" spans="1:48" ht="22.5" customHeight="1">
      <c r="A13" s="168" t="s">
        <v>5</v>
      </c>
      <c r="B13" s="168"/>
      <c r="C13" s="168"/>
      <c r="E13" s="167" t="s">
        <v>63</v>
      </c>
      <c r="F13" s="167"/>
      <c r="G13" s="167"/>
      <c r="H13" s="167"/>
      <c r="I13" s="55" t="s">
        <v>123</v>
      </c>
      <c r="J13" s="175" t="s">
        <v>6</v>
      </c>
      <c r="K13" s="176"/>
      <c r="L13" s="176"/>
      <c r="M13" s="176"/>
      <c r="N13" s="176"/>
      <c r="O13" s="176"/>
      <c r="P13" s="176"/>
      <c r="Q13" s="59" t="s">
        <v>7</v>
      </c>
      <c r="R13" s="177" t="s">
        <v>8</v>
      </c>
      <c r="S13" s="177"/>
      <c r="T13" s="177"/>
      <c r="U13" s="176"/>
      <c r="V13" s="60">
        <v>4</v>
      </c>
      <c r="W13" s="40"/>
      <c r="X13" s="26"/>
      <c r="Y13" s="29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</row>
    <row r="14" spans="1:48" ht="15" customHeight="1">
      <c r="A14" s="109" t="s">
        <v>139</v>
      </c>
      <c r="B14" s="160" t="s">
        <v>190</v>
      </c>
      <c r="C14" s="160"/>
      <c r="D14" s="11"/>
      <c r="E14" s="56" t="s">
        <v>112</v>
      </c>
      <c r="F14" s="158" t="s">
        <v>64</v>
      </c>
      <c r="G14" s="158"/>
      <c r="H14" s="158"/>
      <c r="I14" s="99">
        <v>1</v>
      </c>
      <c r="J14" s="175" t="s">
        <v>10</v>
      </c>
      <c r="K14" s="176"/>
      <c r="L14" s="176"/>
      <c r="M14" s="176"/>
      <c r="N14" s="176"/>
      <c r="O14" s="176"/>
      <c r="P14" s="176"/>
      <c r="Q14" s="59" t="s">
        <v>11</v>
      </c>
      <c r="R14" s="177" t="s">
        <v>12</v>
      </c>
      <c r="S14" s="177"/>
      <c r="T14" s="177"/>
      <c r="U14" s="176"/>
      <c r="V14" s="60">
        <v>3.75</v>
      </c>
      <c r="W14" s="40"/>
      <c r="X14" s="26"/>
      <c r="Y14" s="29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</row>
    <row r="15" spans="1:48" ht="28.5" customHeight="1">
      <c r="A15" s="109" t="s">
        <v>13</v>
      </c>
      <c r="B15" s="160" t="s">
        <v>143</v>
      </c>
      <c r="C15" s="160"/>
      <c r="D15" s="11"/>
      <c r="E15" s="56" t="s">
        <v>113</v>
      </c>
      <c r="F15" s="158" t="s">
        <v>65</v>
      </c>
      <c r="G15" s="158"/>
      <c r="H15" s="158"/>
      <c r="I15" s="99">
        <v>1</v>
      </c>
      <c r="J15" s="175" t="s">
        <v>14</v>
      </c>
      <c r="K15" s="176"/>
      <c r="L15" s="176"/>
      <c r="M15" s="176"/>
      <c r="N15" s="176"/>
      <c r="O15" s="176"/>
      <c r="P15" s="176"/>
      <c r="Q15" s="59" t="s">
        <v>15</v>
      </c>
      <c r="R15" s="177" t="s">
        <v>16</v>
      </c>
      <c r="S15" s="177"/>
      <c r="T15" s="177"/>
      <c r="U15" s="176"/>
      <c r="V15" s="60">
        <v>3.5</v>
      </c>
      <c r="W15" s="40"/>
      <c r="X15" s="26"/>
      <c r="Y15" s="29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</row>
    <row r="16" spans="1:48" ht="15" customHeight="1">
      <c r="A16" s="109" t="s">
        <v>140</v>
      </c>
      <c r="B16" s="160" t="s">
        <v>141</v>
      </c>
      <c r="C16" s="160"/>
      <c r="D16" s="11"/>
      <c r="E16" s="56" t="s">
        <v>114</v>
      </c>
      <c r="F16" s="159" t="s">
        <v>69</v>
      </c>
      <c r="G16" s="158"/>
      <c r="H16" s="158"/>
      <c r="I16" s="99"/>
      <c r="J16" s="175" t="s">
        <v>18</v>
      </c>
      <c r="K16" s="176"/>
      <c r="L16" s="176"/>
      <c r="M16" s="176"/>
      <c r="N16" s="176"/>
      <c r="O16" s="176"/>
      <c r="P16" s="176"/>
      <c r="Q16" s="59" t="s">
        <v>19</v>
      </c>
      <c r="R16" s="177" t="s">
        <v>20</v>
      </c>
      <c r="S16" s="177"/>
      <c r="T16" s="177"/>
      <c r="U16" s="176"/>
      <c r="V16" s="60">
        <v>3.25</v>
      </c>
      <c r="W16" s="40"/>
      <c r="X16" s="26"/>
      <c r="Y16" s="29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57" ht="15" customHeight="1">
      <c r="A17" s="109" t="s">
        <v>21</v>
      </c>
      <c r="B17" s="160" t="s">
        <v>189</v>
      </c>
      <c r="C17" s="160"/>
      <c r="D17" s="11"/>
      <c r="E17" s="56" t="s">
        <v>115</v>
      </c>
      <c r="F17" s="159" t="s">
        <v>101</v>
      </c>
      <c r="G17" s="159"/>
      <c r="H17" s="159"/>
      <c r="I17" s="99">
        <v>1</v>
      </c>
      <c r="J17" s="175" t="s">
        <v>22</v>
      </c>
      <c r="K17" s="176"/>
      <c r="L17" s="176"/>
      <c r="M17" s="176"/>
      <c r="N17" s="176"/>
      <c r="O17" s="176"/>
      <c r="P17" s="176"/>
      <c r="Q17" s="59" t="s">
        <v>23</v>
      </c>
      <c r="R17" s="177" t="s">
        <v>24</v>
      </c>
      <c r="S17" s="177"/>
      <c r="T17" s="177"/>
      <c r="U17" s="176"/>
      <c r="V17" s="60">
        <v>3</v>
      </c>
      <c r="W17" s="40"/>
      <c r="X17" s="26"/>
      <c r="Y17" s="29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57" ht="15" customHeight="1">
      <c r="A18" s="109" t="s">
        <v>25</v>
      </c>
      <c r="B18" s="160">
        <v>51</v>
      </c>
      <c r="C18" s="160"/>
      <c r="D18" s="11"/>
      <c r="E18" s="57" t="s">
        <v>116</v>
      </c>
      <c r="F18" s="136" t="s">
        <v>102</v>
      </c>
      <c r="G18" s="158"/>
      <c r="H18" s="158"/>
      <c r="I18" s="99"/>
      <c r="J18" s="175" t="s">
        <v>26</v>
      </c>
      <c r="K18" s="176"/>
      <c r="L18" s="176"/>
      <c r="M18" s="176"/>
      <c r="N18" s="176"/>
      <c r="O18" s="176"/>
      <c r="P18" s="176"/>
      <c r="Q18" s="59" t="s">
        <v>27</v>
      </c>
      <c r="R18" s="177" t="s">
        <v>28</v>
      </c>
      <c r="S18" s="177"/>
      <c r="T18" s="177"/>
      <c r="U18" s="176"/>
      <c r="V18" s="60">
        <v>2.75</v>
      </c>
      <c r="W18" s="40"/>
      <c r="X18" s="26"/>
      <c r="Y18" s="29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57" ht="15" customHeight="1">
      <c r="A19" s="109" t="s">
        <v>29</v>
      </c>
      <c r="B19" s="160">
        <v>5</v>
      </c>
      <c r="C19" s="160"/>
      <c r="D19" s="11"/>
      <c r="E19" s="57" t="s">
        <v>117</v>
      </c>
      <c r="F19" s="136" t="s">
        <v>103</v>
      </c>
      <c r="G19" s="158"/>
      <c r="H19" s="158"/>
      <c r="I19" s="99"/>
      <c r="J19" s="175" t="s">
        <v>30</v>
      </c>
      <c r="K19" s="176"/>
      <c r="L19" s="176"/>
      <c r="M19" s="176"/>
      <c r="N19" s="176"/>
      <c r="O19" s="176"/>
      <c r="P19" s="176"/>
      <c r="Q19" s="59" t="s">
        <v>31</v>
      </c>
      <c r="R19" s="177" t="s">
        <v>32</v>
      </c>
      <c r="S19" s="177"/>
      <c r="T19" s="177"/>
      <c r="U19" s="176"/>
      <c r="V19" s="60">
        <v>2.5</v>
      </c>
      <c r="W19" s="40"/>
      <c r="X19" s="26"/>
      <c r="Y19" s="29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57" ht="15" customHeight="1">
      <c r="A20" s="108"/>
      <c r="B20" s="148"/>
      <c r="C20" s="148"/>
      <c r="D20" s="11"/>
      <c r="E20" s="57" t="s">
        <v>118</v>
      </c>
      <c r="F20" s="136" t="s">
        <v>107</v>
      </c>
      <c r="G20" s="159"/>
      <c r="H20" s="159"/>
      <c r="I20" s="99"/>
      <c r="J20" s="175" t="s">
        <v>34</v>
      </c>
      <c r="K20" s="176"/>
      <c r="L20" s="176"/>
      <c r="M20" s="176"/>
      <c r="N20" s="176"/>
      <c r="O20" s="176"/>
      <c r="P20" s="176"/>
      <c r="Q20" s="59" t="s">
        <v>35</v>
      </c>
      <c r="R20" s="177" t="s">
        <v>36</v>
      </c>
      <c r="S20" s="177"/>
      <c r="T20" s="177"/>
      <c r="U20" s="176"/>
      <c r="V20" s="60">
        <v>2.25</v>
      </c>
      <c r="W20" s="40"/>
      <c r="X20" s="26"/>
      <c r="Y20" s="29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57" ht="15" customHeight="1">
      <c r="A21" s="29"/>
      <c r="B21" s="34"/>
      <c r="C21" s="27"/>
      <c r="D21" s="11"/>
      <c r="E21" s="57" t="s">
        <v>119</v>
      </c>
      <c r="F21" s="136" t="s">
        <v>120</v>
      </c>
      <c r="G21" s="136"/>
      <c r="H21" s="136"/>
      <c r="I21" s="99"/>
      <c r="J21" s="175" t="s">
        <v>37</v>
      </c>
      <c r="K21" s="176"/>
      <c r="L21" s="176"/>
      <c r="M21" s="176"/>
      <c r="N21" s="176"/>
      <c r="O21" s="176"/>
      <c r="P21" s="176"/>
      <c r="Q21" s="59" t="s">
        <v>38</v>
      </c>
      <c r="R21" s="178" t="s">
        <v>110</v>
      </c>
      <c r="S21" s="178"/>
      <c r="T21" s="178"/>
      <c r="U21" s="176"/>
      <c r="V21" s="60">
        <v>2</v>
      </c>
      <c r="W21" s="40"/>
      <c r="X21" s="26"/>
      <c r="Y21" s="29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</row>
    <row r="22" spans="1:57" ht="15" customHeight="1">
      <c r="D22" s="27"/>
      <c r="E22" s="57" t="s">
        <v>44</v>
      </c>
      <c r="F22" s="136" t="s">
        <v>121</v>
      </c>
      <c r="G22" s="136"/>
      <c r="H22" s="136"/>
      <c r="I22" s="99">
        <v>1</v>
      </c>
      <c r="J22" s="175" t="s">
        <v>39</v>
      </c>
      <c r="K22" s="176"/>
      <c r="L22" s="176"/>
      <c r="M22" s="176"/>
      <c r="N22" s="176"/>
      <c r="O22" s="176"/>
      <c r="P22" s="176"/>
      <c r="Q22" s="59" t="s">
        <v>40</v>
      </c>
      <c r="R22" s="178" t="s">
        <v>111</v>
      </c>
      <c r="S22" s="178"/>
      <c r="T22" s="178"/>
      <c r="U22" s="176"/>
      <c r="V22" s="60">
        <v>0</v>
      </c>
      <c r="W22" s="40"/>
      <c r="X22" s="26"/>
      <c r="Y22" s="29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1:57" ht="15" customHeight="1">
      <c r="A23" s="89" t="s">
        <v>129</v>
      </c>
      <c r="B23" s="228">
        <v>6187</v>
      </c>
      <c r="C23" s="228"/>
      <c r="D23" s="27"/>
      <c r="E23" s="57" t="s">
        <v>46</v>
      </c>
      <c r="F23" s="136" t="s">
        <v>71</v>
      </c>
      <c r="G23" s="136"/>
      <c r="H23" s="136"/>
      <c r="I23" s="99">
        <v>1</v>
      </c>
      <c r="J23" s="26"/>
      <c r="K23" s="26"/>
      <c r="L23" s="26"/>
      <c r="M23" s="26"/>
      <c r="N23" s="26"/>
      <c r="O23" s="26"/>
      <c r="P23" s="26"/>
      <c r="W23" s="35"/>
      <c r="X23" s="26"/>
      <c r="Y23" s="29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</row>
    <row r="24" spans="1:57" ht="15" customHeight="1">
      <c r="A24" s="89" t="s">
        <v>130</v>
      </c>
      <c r="B24" s="229" t="s">
        <v>142</v>
      </c>
      <c r="C24" s="228"/>
      <c r="D24" s="27"/>
      <c r="E24" s="35"/>
      <c r="F24" s="35"/>
      <c r="G24" s="35"/>
      <c r="H24" s="26"/>
      <c r="I24" s="26"/>
      <c r="J24" s="26"/>
      <c r="K24" s="26"/>
      <c r="L24" s="26"/>
      <c r="M24" s="26"/>
      <c r="N24" s="26"/>
      <c r="O24" s="26"/>
      <c r="P24" s="26"/>
      <c r="W24" s="35"/>
      <c r="X24" s="26"/>
      <c r="Y24" s="29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</row>
    <row r="25" spans="1:57" ht="15" customHeight="1">
      <c r="A25" s="26"/>
      <c r="B25" s="34"/>
      <c r="C25" s="27"/>
      <c r="D25" s="27"/>
      <c r="E25" s="35"/>
      <c r="F25" s="35"/>
      <c r="G25" s="35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7"/>
      <c r="W25" s="35"/>
      <c r="X25" s="26"/>
      <c r="Y25" s="29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</row>
    <row r="26" spans="1:57" ht="15" customHeight="1">
      <c r="A26" s="172" t="s">
        <v>82</v>
      </c>
      <c r="B26" s="199" t="s">
        <v>48</v>
      </c>
      <c r="C26" s="209" t="s">
        <v>108</v>
      </c>
      <c r="D26" s="210"/>
      <c r="E26" s="210"/>
      <c r="F26" s="210"/>
      <c r="G26" s="211"/>
      <c r="H26" s="169" t="s">
        <v>138</v>
      </c>
      <c r="I26" s="214" t="s">
        <v>43</v>
      </c>
      <c r="J26" s="215"/>
      <c r="K26" s="215"/>
      <c r="L26" s="215"/>
      <c r="M26" s="215"/>
      <c r="N26" s="216"/>
      <c r="O26" s="169" t="s">
        <v>44</v>
      </c>
      <c r="P26" s="204" t="s">
        <v>45</v>
      </c>
      <c r="Q26" s="205"/>
      <c r="R26" s="206"/>
      <c r="S26" s="206"/>
      <c r="T26" s="206"/>
      <c r="U26" s="206"/>
      <c r="V26" s="169" t="s">
        <v>46</v>
      </c>
      <c r="W26" s="169" t="s">
        <v>47</v>
      </c>
      <c r="X26" s="192" t="s">
        <v>4</v>
      </c>
      <c r="Y26" s="41"/>
      <c r="Z26" s="189" t="s">
        <v>41</v>
      </c>
      <c r="AA26" s="186" t="s">
        <v>42</v>
      </c>
      <c r="AB26" s="226" t="s">
        <v>49</v>
      </c>
      <c r="AC26" s="227"/>
      <c r="AD26" s="227"/>
      <c r="AE26" s="227"/>
      <c r="AF26" s="227"/>
      <c r="AG26" s="227"/>
      <c r="AH26" s="227"/>
      <c r="AI26" s="227"/>
      <c r="AJ26" s="227"/>
      <c r="AK26" s="227"/>
      <c r="AL26" s="227"/>
      <c r="AM26" s="227"/>
      <c r="AN26" s="227"/>
      <c r="AO26" s="227"/>
      <c r="AP26" s="227"/>
      <c r="AQ26" s="227"/>
      <c r="AR26" s="227"/>
      <c r="AS26" s="227"/>
      <c r="AT26" s="227"/>
      <c r="AU26" s="227"/>
      <c r="AV26" s="227"/>
      <c r="AW26" s="227"/>
      <c r="AX26" s="227"/>
      <c r="AY26" s="51"/>
      <c r="AZ26" s="51"/>
      <c r="BA26" s="51"/>
      <c r="BB26" s="51"/>
      <c r="BC26" s="51"/>
      <c r="BD26" s="51"/>
      <c r="BE26" s="51"/>
    </row>
    <row r="27" spans="1:57" ht="15" customHeight="1">
      <c r="A27" s="173"/>
      <c r="B27" s="200"/>
      <c r="C27" s="107" t="s">
        <v>114</v>
      </c>
      <c r="D27" s="61" t="s">
        <v>115</v>
      </c>
      <c r="E27" s="61" t="s">
        <v>191</v>
      </c>
      <c r="F27" s="61" t="s">
        <v>113</v>
      </c>
      <c r="G27" s="106"/>
      <c r="H27" s="208"/>
      <c r="I27" s="66" t="s">
        <v>124</v>
      </c>
      <c r="J27" s="66" t="s">
        <v>125</v>
      </c>
      <c r="K27" s="66" t="s">
        <v>126</v>
      </c>
      <c r="L27" s="66"/>
      <c r="M27" s="66"/>
      <c r="N27" s="66"/>
      <c r="O27" s="171"/>
      <c r="P27" s="67" t="s">
        <v>124</v>
      </c>
      <c r="Q27" s="67" t="s">
        <v>125</v>
      </c>
      <c r="R27" s="67"/>
      <c r="S27" s="67"/>
      <c r="T27" s="67"/>
      <c r="U27" s="67"/>
      <c r="V27" s="171"/>
      <c r="W27" s="170"/>
      <c r="X27" s="193"/>
      <c r="Y27" s="41"/>
      <c r="Z27" s="190"/>
      <c r="AA27" s="187"/>
      <c r="AB27" s="217" t="s">
        <v>54</v>
      </c>
      <c r="AC27" s="218"/>
      <c r="AD27" s="218"/>
      <c r="AE27" s="218"/>
      <c r="AF27" s="218"/>
      <c r="AG27" s="219"/>
      <c r="AH27" s="220" t="s">
        <v>55</v>
      </c>
      <c r="AI27" s="221"/>
      <c r="AJ27" s="221"/>
      <c r="AK27" s="221"/>
      <c r="AL27" s="221"/>
      <c r="AM27" s="222"/>
      <c r="AN27" s="163" t="s">
        <v>76</v>
      </c>
      <c r="AO27" s="164"/>
      <c r="AP27" s="164"/>
      <c r="AQ27" s="223">
        <v>50</v>
      </c>
      <c r="AR27" s="223"/>
      <c r="AS27" s="224"/>
      <c r="AT27" s="165" t="s">
        <v>77</v>
      </c>
      <c r="AU27" s="166"/>
      <c r="AV27" s="166"/>
      <c r="AW27" s="225">
        <v>50</v>
      </c>
      <c r="AX27" s="225"/>
      <c r="AY27" s="94"/>
      <c r="AZ27" s="94"/>
      <c r="BA27" s="94"/>
      <c r="BB27" s="94"/>
      <c r="BC27" s="94"/>
      <c r="BD27" s="94"/>
      <c r="BE27" s="94"/>
    </row>
    <row r="28" spans="1:57" ht="15" customHeight="1">
      <c r="A28" s="173"/>
      <c r="B28" s="200"/>
      <c r="C28" s="66" t="s">
        <v>50</v>
      </c>
      <c r="D28" s="66"/>
      <c r="E28" s="66" t="s">
        <v>50</v>
      </c>
      <c r="F28" s="66"/>
      <c r="G28" s="61"/>
      <c r="H28" s="102">
        <v>30</v>
      </c>
      <c r="I28" s="66" t="s">
        <v>50</v>
      </c>
      <c r="J28" s="66" t="s">
        <v>51</v>
      </c>
      <c r="K28" s="66" t="s">
        <v>52</v>
      </c>
      <c r="L28" s="66"/>
      <c r="M28" s="66"/>
      <c r="N28" s="66"/>
      <c r="O28" s="102">
        <v>30</v>
      </c>
      <c r="P28" s="66" t="s">
        <v>51</v>
      </c>
      <c r="Q28" s="66" t="s">
        <v>52</v>
      </c>
      <c r="R28" s="66"/>
      <c r="S28" s="66"/>
      <c r="T28" s="66"/>
      <c r="U28" s="66"/>
      <c r="V28" s="101">
        <v>40</v>
      </c>
      <c r="W28" s="63">
        <f>IF(W29=(V28+O28+H28),V28+O28+H28,"Error")</f>
        <v>100</v>
      </c>
      <c r="X28" s="193"/>
      <c r="Y28" s="41"/>
      <c r="Z28" s="190"/>
      <c r="AA28" s="187"/>
      <c r="AB28" s="100" t="s">
        <v>132</v>
      </c>
      <c r="AC28" s="100" t="s">
        <v>133</v>
      </c>
      <c r="AD28" s="100" t="s">
        <v>134</v>
      </c>
      <c r="AE28" s="100" t="s">
        <v>135</v>
      </c>
      <c r="AF28" s="100" t="s">
        <v>136</v>
      </c>
      <c r="AG28" s="100" t="s">
        <v>137</v>
      </c>
      <c r="AH28" s="91" t="s">
        <v>50</v>
      </c>
      <c r="AI28" s="91" t="s">
        <v>51</v>
      </c>
      <c r="AJ28" s="91" t="s">
        <v>52</v>
      </c>
      <c r="AK28" s="91" t="s">
        <v>53</v>
      </c>
      <c r="AL28" s="91" t="s">
        <v>127</v>
      </c>
      <c r="AM28" s="91" t="s">
        <v>128</v>
      </c>
      <c r="AN28" s="195" t="s">
        <v>50</v>
      </c>
      <c r="AO28" s="197" t="s">
        <v>51</v>
      </c>
      <c r="AP28" s="197" t="s">
        <v>52</v>
      </c>
      <c r="AQ28" s="197" t="s">
        <v>53</v>
      </c>
      <c r="AR28" s="197" t="s">
        <v>127</v>
      </c>
      <c r="AS28" s="197" t="s">
        <v>128</v>
      </c>
      <c r="AT28" s="212" t="s">
        <v>56</v>
      </c>
      <c r="AU28" s="212" t="s">
        <v>74</v>
      </c>
      <c r="AV28" s="212" t="s">
        <v>57</v>
      </c>
      <c r="AW28" s="230" t="s">
        <v>73</v>
      </c>
      <c r="AX28" s="212" t="s">
        <v>84</v>
      </c>
      <c r="AY28" s="212" t="s">
        <v>85</v>
      </c>
      <c r="AZ28" s="212" t="s">
        <v>86</v>
      </c>
      <c r="BA28" s="230" t="s">
        <v>87</v>
      </c>
      <c r="BB28" s="212" t="s">
        <v>88</v>
      </c>
      <c r="BC28" s="212" t="s">
        <v>89</v>
      </c>
      <c r="BD28" s="212" t="s">
        <v>90</v>
      </c>
      <c r="BE28" s="230" t="s">
        <v>91</v>
      </c>
    </row>
    <row r="29" spans="1:57" ht="15" customHeight="1">
      <c r="A29" s="174"/>
      <c r="B29" s="201"/>
      <c r="C29" s="62">
        <v>5</v>
      </c>
      <c r="D29" s="62"/>
      <c r="E29" s="62">
        <v>25</v>
      </c>
      <c r="F29" s="62"/>
      <c r="G29" s="62"/>
      <c r="H29" s="79">
        <f t="shared" ref="H29" si="0">SUM(C29:G29)</f>
        <v>30</v>
      </c>
      <c r="I29" s="64">
        <v>10</v>
      </c>
      <c r="J29" s="64">
        <v>10</v>
      </c>
      <c r="K29" s="64">
        <v>10</v>
      </c>
      <c r="L29" s="64"/>
      <c r="M29" s="64"/>
      <c r="N29" s="64"/>
      <c r="O29" s="80">
        <f>IF((SUM(I29:N29)=O28),O28,"Error")</f>
        <v>30</v>
      </c>
      <c r="P29" s="64">
        <v>20</v>
      </c>
      <c r="Q29" s="64">
        <v>20</v>
      </c>
      <c r="R29" s="64"/>
      <c r="S29" s="64"/>
      <c r="T29" s="64"/>
      <c r="U29" s="64"/>
      <c r="V29" s="81">
        <f>IF((SUM(P29:U29)=V28),V28,"Error")</f>
        <v>40</v>
      </c>
      <c r="W29" s="82">
        <f>SUM(H29+O29+V29)</f>
        <v>100</v>
      </c>
      <c r="X29" s="194"/>
      <c r="Y29" s="41"/>
      <c r="Z29" s="191"/>
      <c r="AA29" s="188"/>
      <c r="AB29" s="90">
        <f>SUMIF($C$28:$U$28,SUBSTITUTE(SUBSTITUTE(AB$28,"[",""),"]",""),$C29:$U29)</f>
        <v>40</v>
      </c>
      <c r="AC29" s="90">
        <f>SUMIF($C$28:$U$28,SUBSTITUTE(SUBSTITUTE(AC$28,"[",""),"]",""),$C29:$U29)</f>
        <v>30</v>
      </c>
      <c r="AD29" s="90">
        <f t="shared" ref="AD29:AG29" si="1">SUMIF($C$28:$U$28,SUBSTITUTE(SUBSTITUTE(AD$28,"[",""),"]",""),$C29:$U29)</f>
        <v>30</v>
      </c>
      <c r="AE29" s="90">
        <f t="shared" si="1"/>
        <v>0</v>
      </c>
      <c r="AF29" s="90">
        <f t="shared" si="1"/>
        <v>0</v>
      </c>
      <c r="AG29" s="90">
        <f t="shared" si="1"/>
        <v>0</v>
      </c>
      <c r="AH29" s="91" t="s">
        <v>58</v>
      </c>
      <c r="AI29" s="91" t="s">
        <v>58</v>
      </c>
      <c r="AJ29" s="91" t="s">
        <v>58</v>
      </c>
      <c r="AK29" s="91" t="s">
        <v>58</v>
      </c>
      <c r="AL29" s="91" t="s">
        <v>58</v>
      </c>
      <c r="AM29" s="91" t="s">
        <v>58</v>
      </c>
      <c r="AN29" s="196"/>
      <c r="AO29" s="198"/>
      <c r="AP29" s="198"/>
      <c r="AQ29" s="198"/>
      <c r="AR29" s="198"/>
      <c r="AS29" s="198"/>
      <c r="AT29" s="232"/>
      <c r="AU29" s="232"/>
      <c r="AV29" s="232"/>
      <c r="AW29" s="233"/>
      <c r="AX29" s="213"/>
      <c r="AY29" s="213"/>
      <c r="AZ29" s="213"/>
      <c r="BA29" s="231"/>
      <c r="BB29" s="213"/>
      <c r="BC29" s="213"/>
      <c r="BD29" s="213"/>
      <c r="BE29" s="231"/>
    </row>
    <row r="30" spans="1:57" ht="16.5" customHeight="1">
      <c r="A30" s="115">
        <v>22234103031</v>
      </c>
      <c r="B30" s="116" t="s">
        <v>147</v>
      </c>
      <c r="C30" s="68">
        <v>4</v>
      </c>
      <c r="D30" s="69"/>
      <c r="E30" s="69">
        <v>20</v>
      </c>
      <c r="F30" s="69"/>
      <c r="G30" s="69"/>
      <c r="H30" s="103">
        <f t="shared" ref="H30:H69" si="2">IF(LEN(A30)=11,IF(OR(C30&gt;C$29,D30&gt;D$29,E30&gt;E$29,F30&gt;F$29,G30&gt;G$29,C30&lt;0,D30&lt;0,E30&lt;0,F30&lt;0,G30&lt;0),"Error",SUM(C30:G30)),"-")</f>
        <v>24</v>
      </c>
      <c r="I30" s="75">
        <v>7</v>
      </c>
      <c r="J30" s="75">
        <v>7</v>
      </c>
      <c r="K30" s="75">
        <v>7</v>
      </c>
      <c r="L30" s="75"/>
      <c r="M30" s="75"/>
      <c r="N30" s="75"/>
      <c r="O30" s="105">
        <f t="shared" ref="O30:O70" si="3">IF(LEN(A30)=11,IF(OR(I30=UPPER("a"),J30=UPPER("a"),K30=UPPER("a"),L30=UPPER("a"),M30=UPPER("a"),N30=UPPER("a")),"A",IF(OR(I30&gt;I$29,J30&gt;J$29,K30&gt;K$29,L30&gt;L$29,M30&gt;M$29,N30&gt;N$29,I30&lt;0,J30&lt;0,K30&lt;0,L30&lt;0,M30&lt;0,N30&lt;0),"Error",SUM(I30:N30))),"-")</f>
        <v>21</v>
      </c>
      <c r="P30" s="75">
        <v>18</v>
      </c>
      <c r="Q30" s="75">
        <v>14</v>
      </c>
      <c r="R30" s="75"/>
      <c r="S30" s="75"/>
      <c r="T30" s="75"/>
      <c r="U30" s="75"/>
      <c r="V30" s="104">
        <f t="shared" ref="V30:V69" si="4">IF(LEN(A30)=11,IF(OR(P30=UPPER("a"),Q30=UPPER("a"),R30=UPPER("a"),S30=UPPER("a"),T30=UPPER("a"),U30=UPPER("a")),"A",IF(OR(P30&gt;P$29,Q30&gt;Q$29,R30&gt;R$29,S30&gt;S$29,T30&gt;T$29,U30&gt;U$29,P30&lt;0,Q30&lt;0,R30&lt;0,S30&lt;0,T30&lt;0,U30&lt;0),"Error",SUM(P30:U30))),"-")</f>
        <v>32</v>
      </c>
      <c r="W30" s="83">
        <f t="shared" ref="W30:W69" si="5">IF(LEN(A30)=11,IF(AND(ISNUMBER(H30),ISNUMBER(O30),ISNUMBER(V30)),SUM(H30+O30+V30),"Absent"),"-")</f>
        <v>77</v>
      </c>
      <c r="X30" s="98" t="str">
        <f>IF(ISNUMBER(W30),IF(A30&lt;&gt;"",IF(W30&gt;=80,"A (Plus)",IF(W30&gt;=75,"A",IF(W30&gt;=70,"A (Minus)",IF(W30&gt;=65,"B (Plus)",IF(W30&gt;=60,"B",IF(W30&gt;=55,"B (Minus)",IF(W30&gt;=50,"C (Plus)",IF(W30&gt;=45,"C",IF(W30&gt;=40,"D","F (Fail)"))))))))),"-"),IF(O30="A","F (Fail)",IF(V30="A","Incomplete","Error")))</f>
        <v>A</v>
      </c>
      <c r="Y30" s="41"/>
      <c r="Z30" s="42">
        <f t="shared" ref="Z30:Z61" si="6">IF(A30="","",A30)</f>
        <v>22234103031</v>
      </c>
      <c r="AA30" s="43" t="str">
        <f t="shared" ref="AA30:AA61" si="7">IF(B30="","",B30)</f>
        <v>Shamim Hossan</v>
      </c>
      <c r="AB30" s="90">
        <f>IF($W30="Absent",0,SUMIF($C$28:$U$28,SUBSTITUTE(SUBSTITUTE(AB$28,"[",""),"]",""),$C30:$U30))</f>
        <v>31</v>
      </c>
      <c r="AC30" s="90">
        <f t="shared" ref="AC30:AG45" si="8">IF($W30="Absent",0,SUMIF($C$28:$U$28,SUBSTITUTE(SUBSTITUTE(AC$28,"[",""),"]",""),$C30:$U30))</f>
        <v>25</v>
      </c>
      <c r="AD30" s="90">
        <f t="shared" si="8"/>
        <v>21</v>
      </c>
      <c r="AE30" s="90">
        <f t="shared" si="8"/>
        <v>0</v>
      </c>
      <c r="AF30" s="90">
        <f t="shared" si="8"/>
        <v>0</v>
      </c>
      <c r="AG30" s="90">
        <f t="shared" si="8"/>
        <v>0</v>
      </c>
      <c r="AH30" s="92">
        <f>IF($AB$29=0,0,AB30*100/$AB$29)</f>
        <v>77.5</v>
      </c>
      <c r="AI30" s="92">
        <f>IF($AC$29=0,0,AC30*100/$AC$29)</f>
        <v>83.333333333333329</v>
      </c>
      <c r="AJ30" s="92">
        <f>IF($AD$29=0,0,AD30*100/$AD$29)</f>
        <v>70</v>
      </c>
      <c r="AK30" s="92">
        <f>IF($AE$29=0,0,AE30*100/$AE$29)</f>
        <v>0</v>
      </c>
      <c r="AL30" s="92">
        <f>IF($AF$29=0,0,AF30*100/$AF$29)</f>
        <v>0</v>
      </c>
      <c r="AM30" s="92">
        <f>IF($AG$29=0,0,AG30*100/$AG$29)</f>
        <v>0</v>
      </c>
      <c r="AN30" s="93" t="str">
        <f t="shared" ref="AN30:AS30" si="9">IF(OR($Z30="",AND(AH30=0,$Z30="")),"-",IF(AH30&gt;=$AQ$27,"Y","N"))</f>
        <v>Y</v>
      </c>
      <c r="AO30" s="93" t="str">
        <f t="shared" si="9"/>
        <v>Y</v>
      </c>
      <c r="AP30" s="93" t="str">
        <f t="shared" si="9"/>
        <v>Y</v>
      </c>
      <c r="AQ30" s="93" t="str">
        <f t="shared" si="9"/>
        <v>N</v>
      </c>
      <c r="AR30" s="93" t="str">
        <f t="shared" si="9"/>
        <v>N</v>
      </c>
      <c r="AS30" s="93" t="str">
        <f t="shared" si="9"/>
        <v>N</v>
      </c>
      <c r="AT30" s="95" t="str">
        <f>IF('CO-PO Mapping'!O$2, IF(OR($AN30="-",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IF(OR($AP30="-", SUM( IF('CO-PO Mapping'!O$2,$AB$29,0), IF('CO-PO Mapping'!O$3,$AC$29,0), IF('CO-PO Mapping'!O$4,$AD$29,0), IF('CO-PO Mapping'!O$5,$AE$29,0), IF('CO-PO Mapping'!O$6,$AF$29,0), IF('CO-PO Mapping'!O$7,$AG$29,0) )=0), "-", IF( SUM( IF('CO-PO Mapping'!O$2,$AH30*$AB$29,0), IF('CO-PO Mapping'!O$3,$AI30*$AC$29,0), IF('CO-PO Mapping'!O$4,$AJ30*$AD$29,0), IF('CO-PO Mapping'!O$5,$AK30*$AE$29,0), IF('CO-PO Mapping'!O$6,$AL30*$AF$29,0), IF('CO-PO Mapping'!O$7,$AM30*$AG$29,0)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IF('CO-PO Mapping'!O$6, IF(OR($AR30="-",SUM(IF('CO-PO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IF('CO-PO Mapping'!O$7, IF(OR($AS30="-",SUM(IF('CO-PO Mapping'!O$2,$AB$29,0),IF('CO-PO Mapping'!O$3,$AC$29,0),IF('CO-PO Mapping'!O$4,$AD$29,0),IF('CO-PO Mapping'!O$5,$AE$29,0),IF('CO-PO Mapping'!O$6,$AF$29,0),IF('CO-PO Mapping'!O$7,$AG$29,0))=0), "-", IF(SUM(IF('CO-PO Mapping'!O$2,$AH30*$AB$29,0),IF('CO-PO Mapping'!O$3,$AI30*$AC$29,0),IF('CO-PO Mapping'!O$4,$AJ30*$AD$29,0),IF('CO-PO Mapping'!O$5,$AK30*$AE$29,0),IF('CO-PO Mapping'!O$6,$AL30*$AF$29,0),IF('CO-PO Mapping'!O$7,$AM30*$AG$29,0))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0" s="95" t="str">
        <f>IF('CO-PO Mapping'!P$2, IF(OR($AN30="-",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IF(OR($AP30="-", SUM( IF('CO-PO Mapping'!P$2,$AB$29,0), IF('CO-PO Mapping'!P$3,$AC$29,0), IF('CO-PO Mapping'!P$4,$AD$29,0), IF('CO-PO Mapping'!P$5,$AE$29,0), IF('CO-PO Mapping'!P$6,$AF$29,0), IF('CO-PO Mapping'!P$7,$AG$29,0) )=0), "-", IF( SUM( IF('CO-PO Mapping'!P$2,$AH30*$AB$29,0), IF('CO-PO Mapping'!P$3,$AI30*$AC$29,0), IF('CO-PO Mapping'!P$4,$AJ30*$AD$29,0), IF('CO-PO Mapping'!P$5,$AK30*$AE$29,0), IF('CO-PO Mapping'!P$6,$AL30*$AF$29,0), IF('CO-PO Mapping'!P$7,$AM30*$AG$29,0)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IF('CO-PO Mapping'!P$6, IF(OR($AR30="-",SUM(IF('CO-PO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IF('CO-PO Mapping'!P$7, IF(OR($AS30="-",SUM(IF('CO-PO Mapping'!P$2,$AB$29,0),IF('CO-PO Mapping'!P$3,$AC$29,0),IF('CO-PO Mapping'!P$4,$AD$29,0),IF('CO-PO Mapping'!P$5,$AE$29,0),IF('CO-PO Mapping'!P$6,$AF$29,0),IF('CO-PO Mapping'!P$7,$AG$29,0))=0), "-", IF(SUM(IF('CO-PO Mapping'!P$2,$AH30*$AB$29,0),IF('CO-PO Mapping'!P$3,$AI30*$AC$29,0),IF('CO-PO Mapping'!P$4,$AJ30*$AD$29,0),IF('CO-PO Mapping'!P$5,$AK30*$AE$29,0),IF('CO-PO Mapping'!P$6,$AL30*$AF$29,0),IF('CO-PO Mapping'!P$7,$AM30*$AG$29,0))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30" s="95" t="str">
        <f>IF('CO-PO Mapping'!Q$2, IF(OR($AN30="-",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IF(OR($AP30="-", SUM( IF('CO-PO Mapping'!Q$2,$AB$29,0), IF('CO-PO Mapping'!Q$3,$AC$29,0), IF('CO-PO Mapping'!Q$4,$AD$29,0), IF('CO-PO Mapping'!Q$5,$AE$29,0), IF('CO-PO Mapping'!Q$6,$AF$29,0), IF('CO-PO Mapping'!Q$7,$AG$29,0) )=0), "-", IF( SUM( IF('CO-PO Mapping'!Q$2,$AH30*$AB$29,0), IF('CO-PO Mapping'!Q$3,$AI30*$AC$29,0), IF('CO-PO Mapping'!Q$4,$AJ30*$AD$29,0), IF('CO-PO Mapping'!Q$5,$AK30*$AE$29,0), IF('CO-PO Mapping'!Q$6,$AL30*$AF$29,0), IF('CO-PO Mapping'!Q$7,$AM30*$AG$29,0)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IF('CO-PO Mapping'!Q$6, IF(OR($AR30="-",SUM(IF('CO-PO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IF('CO-PO Mapping'!Q$7, IF(OR($AS30="-",SUM(IF('CO-PO Mapping'!Q$2,$AB$29,0),IF('CO-PO Mapping'!Q$3,$AC$29,0),IF('CO-PO Mapping'!Q$4,$AD$29,0),IF('CO-PO Mapping'!Q$5,$AE$29,0),IF('CO-PO Mapping'!Q$6,$AF$29,0),IF('CO-PO Mapping'!Q$7,$AG$29,0))=0), "-", IF(SUM(IF('CO-PO Mapping'!Q$2,$AH30*$AB$29,0),IF('CO-PO Mapping'!Q$3,$AI30*$AC$29,0),IF('CO-PO Mapping'!Q$4,$AJ30*$AD$29,0),IF('CO-PO Mapping'!Q$5,$AK30*$AE$29,0),IF('CO-PO Mapping'!Q$6,$AL30*$AF$29,0),IF('CO-PO Mapping'!Q$7,$AM30*$AG$29,0))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30" s="95" t="str">
        <f>IF('CO-PO Mapping'!R$2, IF(OR($AN30="-",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IF(OR($AP30="-", SUM( IF('CO-PO Mapping'!R$2,$AB$29,0), IF('CO-PO Mapping'!R$3,$AC$29,0), IF('CO-PO Mapping'!R$4,$AD$29,0), IF('CO-PO Mapping'!R$5,$AE$29,0), IF('CO-PO Mapping'!R$6,$AF$29,0), IF('CO-PO Mapping'!R$7,$AG$29,0) )=0), "-", IF( SUM( IF('CO-PO Mapping'!R$2,$AH30*$AB$29,0), IF('CO-PO Mapping'!R$3,$AI30*$AC$29,0), IF('CO-PO Mapping'!R$4,$AJ30*$AD$29,0), IF('CO-PO Mapping'!R$5,$AK30*$AE$29,0), IF('CO-PO Mapping'!R$6,$AL30*$AF$29,0), IF('CO-PO Mapping'!R$7,$AM30*$AG$29,0)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IF('CO-PO Mapping'!R$6, IF(OR($AR30="-",SUM(IF('CO-PO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IF('CO-PO Mapping'!R$7, IF(OR($AS30="-",SUM(IF('CO-PO Mapping'!R$2,$AB$29,0),IF('CO-PO Mapping'!R$3,$AC$29,0),IF('CO-PO Mapping'!R$4,$AD$29,0),IF('CO-PO Mapping'!R$5,$AE$29,0),IF('CO-PO Mapping'!R$6,$AF$29,0),IF('CO-PO Mapping'!R$7,$AG$29,0))=0), "-", IF(SUM(IF('CO-PO Mapping'!R$2,$AH30*$AB$29,0),IF('CO-PO Mapping'!R$3,$AI30*$AC$29,0),IF('CO-PO Mapping'!R$4,$AJ30*$AD$29,0),IF('CO-PO Mapping'!R$5,$AK30*$AE$29,0),IF('CO-PO Mapping'!R$6,$AL30*$AF$29,0),IF('CO-PO Mapping'!R$7,$AM30*$AG$29,0))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0" s="95" t="str">
        <f>IF('CO-PO Mapping'!S$2, IF(OR($AN30="-",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IF(OR($AP30="-", SUM( IF('CO-PO Mapping'!S$2,$AB$29,0), IF('CO-PO Mapping'!S$3,$AC$29,0), IF('CO-PO Mapping'!S$4,$AD$29,0), IF('CO-PO Mapping'!S$5,$AE$29,0), IF('CO-PO Mapping'!S$6,$AF$29,0), IF('CO-PO Mapping'!S$7,$AG$29,0) )=0), "-", IF( SUM( IF('CO-PO Mapping'!S$2,$AH30*$AB$29,0), IF('CO-PO Mapping'!S$3,$AI30*$AC$29,0), IF('CO-PO Mapping'!S$4,$AJ30*$AD$29,0), IF('CO-PO Mapping'!S$5,$AK30*$AE$29,0), IF('CO-PO Mapping'!S$6,$AL30*$AF$29,0), IF('CO-PO Mapping'!S$7,$AM30*$AG$29,0)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IF('CO-PO Mapping'!S$6, IF(OR($AR30="-",SUM(IF('CO-PO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IF('CO-PO Mapping'!S$7, IF(OR($AS30="-",SUM(IF('CO-PO Mapping'!S$2,$AB$29,0),IF('CO-PO Mapping'!S$3,$AC$29,0),IF('CO-PO Mapping'!S$4,$AD$29,0),IF('CO-PO Mapping'!S$5,$AE$29,0),IF('CO-PO Mapping'!S$6,$AF$29,0),IF('CO-PO Mapping'!S$7,$AG$29,0))=0), "-", IF(SUM(IF('CO-PO Mapping'!S$2,$AH30*$AB$29,0),IF('CO-PO Mapping'!S$3,$AI30*$AC$29,0),IF('CO-PO Mapping'!S$4,$AJ30*$AD$29,0),IF('CO-PO Mapping'!S$5,$AK30*$AE$29,0),IF('CO-PO Mapping'!S$6,$AL30*$AF$29,0),IF('CO-PO Mapping'!S$7,$AM30*$AG$29,0))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0" s="95" t="str">
        <f>IF('CO-PO Mapping'!T$2, IF(OR($AN30="-",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IF(OR($AP30="-", SUM( IF('CO-PO Mapping'!T$2,$AB$29,0), IF('CO-PO Mapping'!T$3,$AC$29,0), IF('CO-PO Mapping'!T$4,$AD$29,0), IF('CO-PO Mapping'!T$5,$AE$29,0), IF('CO-PO Mapping'!T$6,$AF$29,0), IF('CO-PO Mapping'!T$7,$AG$29,0) )=0), "-", IF( SUM( IF('CO-PO Mapping'!T$2,$AH30*$AB$29,0), IF('CO-PO Mapping'!T$3,$AI30*$AC$29,0), IF('CO-PO Mapping'!T$4,$AJ30*$AD$29,0), IF('CO-PO Mapping'!T$5,$AK30*$AE$29,0), IF('CO-PO Mapping'!T$6,$AL30*$AF$29,0), IF('CO-PO Mapping'!T$7,$AM30*$AG$29,0)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IF('CO-PO Mapping'!T$6, IF(OR($AR30="-",SUM(IF('CO-PO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IF('CO-PO Mapping'!T$7, IF(OR($AS30="-",SUM(IF('CO-PO Mapping'!T$2,$AB$29,0),IF('CO-PO Mapping'!T$3,$AC$29,0),IF('CO-PO Mapping'!T$4,$AD$29,0),IF('CO-PO Mapping'!T$5,$AE$29,0),IF('CO-PO Mapping'!T$6,$AF$29,0),IF('CO-PO Mapping'!T$7,$AG$29,0))=0), "-", IF(SUM(IF('CO-PO Mapping'!T$2,$AH30*$AB$29,0),IF('CO-PO Mapping'!T$3,$AI30*$AC$29,0),IF('CO-PO Mapping'!T$4,$AJ30*$AD$29,0),IF('CO-PO Mapping'!T$5,$AK30*$AE$29,0),IF('CO-PO Mapping'!T$6,$AL30*$AF$29,0),IF('CO-PO Mapping'!T$7,$AM30*$AG$29,0))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0" s="95" t="str">
        <f>IF('CO-PO Mapping'!U$2, IF(OR($AN30="-",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IF(OR($AP30="-", SUM( IF('CO-PO Mapping'!U$2,$AB$29,0), IF('CO-PO Mapping'!U$3,$AC$29,0), IF('CO-PO Mapping'!U$4,$AD$29,0), IF('CO-PO Mapping'!U$5,$AE$29,0), IF('CO-PO Mapping'!U$6,$AF$29,0), IF('CO-PO Mapping'!U$7,$AG$29,0) )=0), "-", IF( SUM( IF('CO-PO Mapping'!U$2,$AH30*$AB$29,0), IF('CO-PO Mapping'!U$3,$AI30*$AC$29,0), IF('CO-PO Mapping'!U$4,$AJ30*$AD$29,0), IF('CO-PO Mapping'!U$5,$AK30*$AE$29,0), IF('CO-PO Mapping'!U$6,$AL30*$AF$29,0), IF('CO-PO Mapping'!U$7,$AM30*$AG$29,0)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IF('CO-PO Mapping'!U$6, IF(OR($AR30="-",SUM(IF('CO-PO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IF('CO-PO Mapping'!U$7, IF(OR($AS30="-",SUM(IF('CO-PO Mapping'!U$2,$AB$29,0),IF('CO-PO Mapping'!U$3,$AC$29,0),IF('CO-PO Mapping'!U$4,$AD$29,0),IF('CO-PO Mapping'!U$5,$AE$29,0),IF('CO-PO Mapping'!U$6,$AF$29,0),IF('CO-PO Mapping'!U$7,$AG$29,0))=0), "-", IF(SUM(IF('CO-PO Mapping'!U$2,$AH30*$AB$29,0),IF('CO-PO Mapping'!U$3,$AI30*$AC$29,0),IF('CO-PO Mapping'!U$4,$AJ30*$AD$29,0),IF('CO-PO Mapping'!U$5,$AK30*$AE$29,0),IF('CO-PO Mapping'!U$6,$AL30*$AF$29,0),IF('CO-PO Mapping'!U$7,$AM30*$AG$29,0))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0" s="95" t="str">
        <f>IF('CO-PO Mapping'!V$2, IF(OR($AN30="-",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IF(OR($AP30="-", SUM( IF('CO-PO Mapping'!V$2,$AB$29,0), IF('CO-PO Mapping'!V$3,$AC$29,0), IF('CO-PO Mapping'!V$4,$AD$29,0), IF('CO-PO Mapping'!V$5,$AE$29,0), IF('CO-PO Mapping'!V$6,$AF$29,0), IF('CO-PO Mapping'!V$7,$AG$29,0) )=0), "-", IF( SUM( IF('CO-PO Mapping'!V$2,$AH30*$AB$29,0), IF('CO-PO Mapping'!V$3,$AI30*$AC$29,0), IF('CO-PO Mapping'!V$4,$AJ30*$AD$29,0), IF('CO-PO Mapping'!V$5,$AK30*$AE$29,0), IF('CO-PO Mapping'!V$6,$AL30*$AF$29,0), IF('CO-PO Mapping'!V$7,$AM30*$AG$29,0)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IF('CO-PO Mapping'!V$6, IF(OR($AR30="-",SUM(IF('CO-PO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IF('CO-PO Mapping'!V$7, IF(OR($AS30="-",SUM(IF('CO-PO Mapping'!V$2,$AB$29,0),IF('CO-PO Mapping'!V$3,$AC$29,0),IF('CO-PO Mapping'!V$4,$AD$29,0),IF('CO-PO Mapping'!V$5,$AE$29,0),IF('CO-PO Mapping'!V$6,$AF$29,0),IF('CO-PO Mapping'!V$7,$AG$29,0))=0), "-", IF(SUM(IF('CO-PO Mapping'!V$2,$AH30*$AB$29,0),IF('CO-PO Mapping'!V$3,$AI30*$AC$29,0),IF('CO-PO Mapping'!V$4,$AJ30*$AD$29,0),IF('CO-PO Mapping'!V$5,$AK30*$AE$29,0),IF('CO-PO Mapping'!V$6,$AL30*$AF$29,0),IF('CO-PO Mapping'!V$7,$AM30*$AG$29,0))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0" s="95" t="str">
        <f>IF('CO-PO Mapping'!W$2, IF(OR($AN30="-",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IF(OR($AP30="-", SUM( IF('CO-PO Mapping'!W$2,$AB$29,0), IF('CO-PO Mapping'!W$3,$AC$29,0), IF('CO-PO Mapping'!W$4,$AD$29,0), IF('CO-PO Mapping'!W$5,$AE$29,0), IF('CO-PO Mapping'!W$6,$AF$29,0), IF('CO-PO Mapping'!W$7,$AG$29,0) )=0), "-", IF( SUM( IF('CO-PO Mapping'!W$2,$AH30*$AB$29,0), IF('CO-PO Mapping'!W$3,$AI30*$AC$29,0), IF('CO-PO Mapping'!W$4,$AJ30*$AD$29,0), IF('CO-PO Mapping'!W$5,$AK30*$AE$29,0), IF('CO-PO Mapping'!W$6,$AL30*$AF$29,0), IF('CO-PO Mapping'!W$7,$AM30*$AG$29,0)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IF('CO-PO Mapping'!W$6, IF(OR($AR30="-",SUM(IF('CO-PO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IF('CO-PO Mapping'!W$7, IF(OR($AS30="-",SUM(IF('CO-PO Mapping'!W$2,$AB$29,0),IF('CO-PO Mapping'!W$3,$AC$29,0),IF('CO-PO Mapping'!W$4,$AD$29,0),IF('CO-PO Mapping'!W$5,$AE$29,0),IF('CO-PO Mapping'!W$6,$AF$29,0),IF('CO-PO Mapping'!W$7,$AG$29,0))=0), "-", IF(SUM(IF('CO-PO Mapping'!W$2,$AH30*$AB$29,0),IF('CO-PO Mapping'!W$3,$AI30*$AC$29,0),IF('CO-PO Mapping'!W$4,$AJ30*$AD$29,0),IF('CO-PO Mapping'!W$5,$AK30*$AE$29,0),IF('CO-PO Mapping'!W$6,$AL30*$AF$29,0),IF('CO-PO Mapping'!W$7,$AM30*$AG$29,0))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0" s="95" t="str">
        <f>IF('CO-PO Mapping'!X$2, IF(OR($AN30="-",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IF(OR($AP30="-", SUM( IF('CO-PO Mapping'!X$2,$AB$29,0), IF('CO-PO Mapping'!X$3,$AC$29,0), IF('CO-PO Mapping'!X$4,$AD$29,0), IF('CO-PO Mapping'!X$5,$AE$29,0), IF('CO-PO Mapping'!X$6,$AF$29,0), IF('CO-PO Mapping'!X$7,$AG$29,0) )=0), "-", IF( SUM( IF('CO-PO Mapping'!X$2,$AH30*$AB$29,0), IF('CO-PO Mapping'!X$3,$AI30*$AC$29,0), IF('CO-PO Mapping'!X$4,$AJ30*$AD$29,0), IF('CO-PO Mapping'!X$5,$AK30*$AE$29,0), IF('CO-PO Mapping'!X$6,$AL30*$AF$29,0), IF('CO-PO Mapping'!X$7,$AM30*$AG$29,0)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IF('CO-PO Mapping'!X$6, IF(OR($AR30="-",SUM(IF('CO-PO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IF('CO-PO Mapping'!X$7, IF(OR($AS30="-",SUM(IF('CO-PO Mapping'!X$2,$AB$29,0),IF('CO-PO Mapping'!X$3,$AC$29,0),IF('CO-PO Mapping'!X$4,$AD$29,0),IF('CO-PO Mapping'!X$5,$AE$29,0),IF('CO-PO Mapping'!X$6,$AF$29,0),IF('CO-PO Mapping'!X$7,$AG$29,0))=0), "-", IF(SUM(IF('CO-PO Mapping'!X$2,$AH30*$AB$29,0),IF('CO-PO Mapping'!X$3,$AI30*$AC$29,0),IF('CO-PO Mapping'!X$4,$AJ30*$AD$29,0),IF('CO-PO Mapping'!X$5,$AK30*$AE$29,0),IF('CO-PO Mapping'!X$6,$AL30*$AF$29,0),IF('CO-PO Mapping'!X$7,$AM30*$AG$29,0))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0" s="95" t="str">
        <f>IF('CO-PO Mapping'!Y$2, IF(OR($AN30="-",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IF(OR($AP30="-", SUM( IF('CO-PO Mapping'!Y$2,$AB$29,0), IF('CO-PO Mapping'!Y$3,$AC$29,0), IF('CO-PO Mapping'!Y$4,$AD$29,0), IF('CO-PO Mapping'!Y$5,$AE$29,0), IF('CO-PO Mapping'!Y$6,$AF$29,0), IF('CO-PO Mapping'!Y$7,$AG$29,0) )=0), "-", IF( SUM( IF('CO-PO Mapping'!Y$2,$AH30*$AB$29,0), IF('CO-PO Mapping'!Y$3,$AI30*$AC$29,0), IF('CO-PO Mapping'!Y$4,$AJ30*$AD$29,0), IF('CO-PO Mapping'!Y$5,$AK30*$AE$29,0), IF('CO-PO Mapping'!Y$6,$AL30*$AF$29,0), IF('CO-PO Mapping'!Y$7,$AM30*$AG$29,0)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IF('CO-PO Mapping'!Y$6, IF(OR($AR30="-",SUM(IF('CO-PO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IF('CO-PO Mapping'!Y$7, IF(OR($AS30="-",SUM(IF('CO-PO Mapping'!Y$2,$AB$29,0),IF('CO-PO Mapping'!Y$3,$AC$29,0),IF('CO-PO Mapping'!Y$4,$AD$29,0),IF('CO-PO Mapping'!Y$5,$AE$29,0),IF('CO-PO Mapping'!Y$6,$AF$29,0),IF('CO-PO Mapping'!Y$7,$AG$29,0))=0), "-", IF(SUM(IF('CO-PO Mapping'!Y$2,$AH30*$AB$29,0),IF('CO-PO Mapping'!Y$3,$AI30*$AC$29,0),IF('CO-PO Mapping'!Y$4,$AJ30*$AD$29,0),IF('CO-PO Mapping'!Y$5,$AK30*$AE$29,0),IF('CO-PO Mapping'!Y$6,$AL30*$AF$29,0),IF('CO-PO Mapping'!Y$7,$AM30*$AG$29,0))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0" s="95" t="str">
        <f>IF('CO-PO Mapping'!Z$2, IF(OR($AN30="-",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IF(OR($AP30="-", SUM( IF('CO-PO Mapping'!Z$2,$AB$29,0), IF('CO-PO Mapping'!Z$3,$AC$29,0), IF('CO-PO Mapping'!Z$4,$AD$29,0), IF('CO-PO Mapping'!Z$5,$AE$29,0), IF('CO-PO Mapping'!Z$6,$AF$29,0), IF('CO-PO Mapping'!Z$7,$AG$29,0) )=0), "-", IF( SUM( IF('CO-PO Mapping'!Z$2,$AH30*$AB$29,0), IF('CO-PO Mapping'!Z$3,$AI30*$AC$29,0), IF('CO-PO Mapping'!Z$4,$AJ30*$AD$29,0), IF('CO-PO Mapping'!Z$5,$AK30*$AE$29,0), IF('CO-PO Mapping'!Z$6,$AL30*$AF$29,0), IF('CO-PO Mapping'!Z$7,$AM30*$AG$29,0)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IF('CO-PO Mapping'!Z$6, IF(OR($AR30="-",SUM(IF('CO-PO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IF('CO-PO Mapping'!Z$7, IF(OR($AS30="-",SUM(IF('CO-PO Mapping'!Z$2,$AB$29,0),IF('CO-PO Mapping'!Z$3,$AC$29,0),IF('CO-PO Mapping'!Z$4,$AD$29,0),IF('CO-PO Mapping'!Z$5,$AE$29,0),IF('CO-PO Mapping'!Z$6,$AF$29,0),IF('CO-PO Mapping'!Z$7,$AG$29,0))=0), "-", IF(SUM(IF('CO-PO Mapping'!Z$2,$AH30*$AB$29,0),IF('CO-PO Mapping'!Z$3,$AI30*$AC$29,0),IF('CO-PO Mapping'!Z$4,$AJ30*$AD$29,0),IF('CO-PO Mapping'!Z$5,$AK30*$AE$29,0),IF('CO-PO Mapping'!Z$6,$AL30*$AF$29,0),IF('CO-PO Mapping'!Z$7,$AM30*$AG$29,0))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1" spans="1:57" ht="16.5" customHeight="1">
      <c r="A31" s="117">
        <v>22234103342</v>
      </c>
      <c r="B31" s="118" t="s">
        <v>148</v>
      </c>
      <c r="C31" s="70">
        <v>4</v>
      </c>
      <c r="D31" s="70"/>
      <c r="E31" s="71">
        <v>20</v>
      </c>
      <c r="F31" s="70"/>
      <c r="G31" s="71"/>
      <c r="H31" s="103">
        <f t="shared" si="2"/>
        <v>24</v>
      </c>
      <c r="I31" s="75">
        <v>5</v>
      </c>
      <c r="J31" s="75">
        <v>5</v>
      </c>
      <c r="K31" s="75">
        <v>6</v>
      </c>
      <c r="L31" s="75"/>
      <c r="M31" s="75"/>
      <c r="N31" s="75"/>
      <c r="O31" s="105">
        <f t="shared" si="3"/>
        <v>16</v>
      </c>
      <c r="P31" s="77">
        <v>8</v>
      </c>
      <c r="Q31" s="75">
        <v>15</v>
      </c>
      <c r="R31" s="75"/>
      <c r="S31" s="75"/>
      <c r="T31" s="75"/>
      <c r="U31" s="75"/>
      <c r="V31" s="104">
        <f t="shared" si="4"/>
        <v>23</v>
      </c>
      <c r="W31" s="83">
        <f t="shared" si="5"/>
        <v>63</v>
      </c>
      <c r="X31" s="98" t="str">
        <f t="shared" ref="X31:X69" si="10">IF(ISNUMBER(W31),IF(A31&lt;&gt;"",IF(W31&gt;=80,"A (Plus)",IF(W31&gt;=75,"A",IF(W31&gt;=70,"A (Minus)",IF(W31&gt;=65,"B (Plus)",IF(W31&gt;=60,"B",IF(W31&gt;=55,"B (Minus)",IF(W31&gt;=50,"C (Plus)",IF(W31&gt;=45,"C",IF(W31&gt;=40,"D","F (Fail)"))))))))),"-"),IF(O31="A","F (Fail)",IF(V31="A","Incomplete","Error")))</f>
        <v>B</v>
      </c>
      <c r="Y31" s="41"/>
      <c r="Z31" s="42">
        <f t="shared" si="6"/>
        <v>22234103342</v>
      </c>
      <c r="AA31" s="43" t="str">
        <f t="shared" si="7"/>
        <v>Shajnin Akter Lorin</v>
      </c>
      <c r="AB31" s="90">
        <f t="shared" ref="AB31:AF94" si="11">IF($W31="Absent",0,SUMIF($C$28:$U$28,SUBSTITUTE(SUBSTITUTE(AB$28,"[",""),"]",""),$C31:$U31))</f>
        <v>29</v>
      </c>
      <c r="AC31" s="90">
        <f t="shared" si="8"/>
        <v>13</v>
      </c>
      <c r="AD31" s="90">
        <f t="shared" si="8"/>
        <v>21</v>
      </c>
      <c r="AE31" s="90">
        <f t="shared" si="8"/>
        <v>0</v>
      </c>
      <c r="AF31" s="90">
        <f t="shared" si="8"/>
        <v>0</v>
      </c>
      <c r="AG31" s="90">
        <f t="shared" si="8"/>
        <v>0</v>
      </c>
      <c r="AH31" s="92">
        <f t="shared" ref="AH31:AH100" si="12">IF($AB$29=0,0,AB31*100/$AB$29)</f>
        <v>72.5</v>
      </c>
      <c r="AI31" s="92">
        <f t="shared" ref="AI31:AI100" si="13">IF($AC$29=0,0,AC31*100/$AC$29)</f>
        <v>43.333333333333336</v>
      </c>
      <c r="AJ31" s="92">
        <f t="shared" ref="AJ31:AJ100" si="14">IF($AD$29=0,0,AD31*100/$AD$29)</f>
        <v>70</v>
      </c>
      <c r="AK31" s="92">
        <f>IF($AE$29=0,0,AE31*100/$AE$29)</f>
        <v>0</v>
      </c>
      <c r="AL31" s="92">
        <f t="shared" ref="AL31:AL94" si="15">IF($AF$29=0,0,AF31*100/$AF$29)</f>
        <v>0</v>
      </c>
      <c r="AM31" s="92">
        <f t="shared" ref="AM31:AM94" si="16">IF($AG$29=0,0,AG31*100/$AG$29)</f>
        <v>0</v>
      </c>
      <c r="AN31" s="93" t="str">
        <f>IF(OR($Z31="",AND(AH31=0,$Z31="")),"-",IF(AH31&gt;=$AQ$27,"Y","N"))</f>
        <v>Y</v>
      </c>
      <c r="AO31" s="93" t="str">
        <f t="shared" ref="AO31:AO100" si="17">IF(OR($Z31="",AND(AI31=0,$Z31="")),"-",IF(AI31&gt;=$AQ$27,"Y","N"))</f>
        <v>N</v>
      </c>
      <c r="AP31" s="93" t="str">
        <f t="shared" ref="AP31:AP100" si="18">IF(OR($Z31="",AND(AJ31=0,$Z31="")),"-",IF(AJ31&gt;=$AQ$27,"Y","N"))</f>
        <v>Y</v>
      </c>
      <c r="AQ31" s="93" t="str">
        <f t="shared" ref="AQ31:AS100" si="19">IF(OR($Z31="",AND(AK31=0,$Z31="")),"-",IF(AK31&gt;=$AQ$27,"Y","N"))</f>
        <v>N</v>
      </c>
      <c r="AR31" s="93" t="str">
        <f t="shared" ref="AR31:AR94" si="20">IF(OR($Z31="",AND(AL31=0,$Z31="")),"-",IF(AL31&gt;=$AQ$27,"Y","N"))</f>
        <v>N</v>
      </c>
      <c r="AS31" s="93" t="str">
        <f t="shared" ref="AS31:AS94" si="21">IF(OR($Z31="",AND(AM31=0,$Z31="")),"-",IF(AM31&gt;=$AQ$27,"Y","N"))</f>
        <v>N</v>
      </c>
      <c r="AT31" s="95" t="str">
        <f>IF('CO-PO Mapping'!O$2, IF(OR($AN31="-",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IF(OR($AP31="-", SUM( IF('CO-PO Mapping'!O$2,$AB$29,0), IF('CO-PO Mapping'!O$3,$AC$29,0), IF('CO-PO Mapping'!O$4,$AD$29,0), IF('CO-PO Mapping'!O$5,$AE$29,0), IF('CO-PO Mapping'!O$6,$AF$29,0), IF('CO-PO Mapping'!O$7,$AG$29,0) )=0), "-", IF( SUM( IF('CO-PO Mapping'!O$2,$AH31*$AB$29,0), IF('CO-PO Mapping'!O$3,$AI31*$AC$29,0), IF('CO-PO Mapping'!O$4,$AJ31*$AD$29,0), IF('CO-PO Mapping'!O$5,$AK31*$AE$29,0), IF('CO-PO Mapping'!O$6,$AL31*$AF$29,0), IF('CO-PO Mapping'!O$7,$AM31*$AG$29,0)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IF('CO-PO Mapping'!O$6, IF(OR($AR31="-",SUM(IF('CO-PO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IF('CO-PO Mapping'!O$7, IF(OR($AS31="-",SUM(IF('CO-PO Mapping'!O$2,$AB$29,0),IF('CO-PO Mapping'!O$3,$AC$29,0),IF('CO-PO Mapping'!O$4,$AD$29,0),IF('CO-PO Mapping'!O$5,$AE$29,0),IF('CO-PO Mapping'!O$6,$AF$29,0),IF('CO-PO Mapping'!O$7,$AG$29,0))=0), "-", IF(SUM(IF('CO-PO Mapping'!O$2,$AH31*$AB$29,0),IF('CO-PO Mapping'!O$3,$AI31*$AC$29,0),IF('CO-PO Mapping'!O$4,$AJ31*$AD$29,0),IF('CO-PO Mapping'!O$5,$AK31*$AE$29,0),IF('CO-PO Mapping'!O$6,$AL31*$AF$29,0),IF('CO-PO Mapping'!O$7,$AM31*$AG$29,0))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1" s="95" t="str">
        <f>IF('CO-PO Mapping'!P$2, IF(OR($AN31="-",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IF(OR($AP31="-", SUM( IF('CO-PO Mapping'!P$2,$AB$29,0), IF('CO-PO Mapping'!P$3,$AC$29,0), IF('CO-PO Mapping'!P$4,$AD$29,0), IF('CO-PO Mapping'!P$5,$AE$29,0), IF('CO-PO Mapping'!P$6,$AF$29,0), IF('CO-PO Mapping'!P$7,$AG$29,0) )=0), "-", IF( SUM( IF('CO-PO Mapping'!P$2,$AH31*$AB$29,0), IF('CO-PO Mapping'!P$3,$AI31*$AC$29,0), IF('CO-PO Mapping'!P$4,$AJ31*$AD$29,0), IF('CO-PO Mapping'!P$5,$AK31*$AE$29,0), IF('CO-PO Mapping'!P$6,$AL31*$AF$29,0), IF('CO-PO Mapping'!P$7,$AM31*$AG$29,0)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IF('CO-PO Mapping'!P$6, IF(OR($AR31="-",SUM(IF('CO-PO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IF('CO-PO Mapping'!P$7, IF(OR($AS31="-",SUM(IF('CO-PO Mapping'!P$2,$AB$29,0),IF('CO-PO Mapping'!P$3,$AC$29,0),IF('CO-PO Mapping'!P$4,$AD$29,0),IF('CO-PO Mapping'!P$5,$AE$29,0),IF('CO-PO Mapping'!P$6,$AF$29,0),IF('CO-PO Mapping'!P$7,$AG$29,0))=0), "-", IF(SUM(IF('CO-PO Mapping'!P$2,$AH31*$AB$29,0),IF('CO-PO Mapping'!P$3,$AI31*$AC$29,0),IF('CO-PO Mapping'!P$4,$AJ31*$AD$29,0),IF('CO-PO Mapping'!P$5,$AK31*$AE$29,0),IF('CO-PO Mapping'!P$6,$AL31*$AF$29,0),IF('CO-PO Mapping'!P$7,$AM31*$AG$29,0))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1" s="95" t="str">
        <f>IF('CO-PO Mapping'!Q$2, IF(OR($AN31="-",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IF(OR($AP31="-", SUM( IF('CO-PO Mapping'!Q$2,$AB$29,0), IF('CO-PO Mapping'!Q$3,$AC$29,0), IF('CO-PO Mapping'!Q$4,$AD$29,0), IF('CO-PO Mapping'!Q$5,$AE$29,0), IF('CO-PO Mapping'!Q$6,$AF$29,0), IF('CO-PO Mapping'!Q$7,$AG$29,0) )=0), "-", IF( SUM( IF('CO-PO Mapping'!Q$2,$AH31*$AB$29,0), IF('CO-PO Mapping'!Q$3,$AI31*$AC$29,0), IF('CO-PO Mapping'!Q$4,$AJ31*$AD$29,0), IF('CO-PO Mapping'!Q$5,$AK31*$AE$29,0), IF('CO-PO Mapping'!Q$6,$AL31*$AF$29,0), IF('CO-PO Mapping'!Q$7,$AM31*$AG$29,0)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IF('CO-PO Mapping'!Q$6, IF(OR($AR31="-",SUM(IF('CO-PO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IF('CO-PO Mapping'!Q$7, IF(OR($AS31="-",SUM(IF('CO-PO Mapping'!Q$2,$AB$29,0),IF('CO-PO Mapping'!Q$3,$AC$29,0),IF('CO-PO Mapping'!Q$4,$AD$29,0),IF('CO-PO Mapping'!Q$5,$AE$29,0),IF('CO-PO Mapping'!Q$6,$AF$29,0),IF('CO-PO Mapping'!Q$7,$AG$29,0))=0), "-", IF(SUM(IF('CO-PO Mapping'!Q$2,$AH31*$AB$29,0),IF('CO-PO Mapping'!Q$3,$AI31*$AC$29,0),IF('CO-PO Mapping'!Q$4,$AJ31*$AD$29,0),IF('CO-PO Mapping'!Q$5,$AK31*$AE$29,0),IF('CO-PO Mapping'!Q$6,$AL31*$AF$29,0),IF('CO-PO Mapping'!Q$7,$AM31*$AG$29,0))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31" s="95" t="str">
        <f>IF('CO-PO Mapping'!R$2, IF(OR($AN31="-",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IF(OR($AP31="-", SUM( IF('CO-PO Mapping'!R$2,$AB$29,0), IF('CO-PO Mapping'!R$3,$AC$29,0), IF('CO-PO Mapping'!R$4,$AD$29,0), IF('CO-PO Mapping'!R$5,$AE$29,0), IF('CO-PO Mapping'!R$6,$AF$29,0), IF('CO-PO Mapping'!R$7,$AG$29,0) )=0), "-", IF( SUM( IF('CO-PO Mapping'!R$2,$AH31*$AB$29,0), IF('CO-PO Mapping'!R$3,$AI31*$AC$29,0), IF('CO-PO Mapping'!R$4,$AJ31*$AD$29,0), IF('CO-PO Mapping'!R$5,$AK31*$AE$29,0), IF('CO-PO Mapping'!R$6,$AL31*$AF$29,0), IF('CO-PO Mapping'!R$7,$AM31*$AG$29,0)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IF('CO-PO Mapping'!R$6, IF(OR($AR31="-",SUM(IF('CO-PO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IF('CO-PO Mapping'!R$7, IF(OR($AS31="-",SUM(IF('CO-PO Mapping'!R$2,$AB$29,0),IF('CO-PO Mapping'!R$3,$AC$29,0),IF('CO-PO Mapping'!R$4,$AD$29,0),IF('CO-PO Mapping'!R$5,$AE$29,0),IF('CO-PO Mapping'!R$6,$AF$29,0),IF('CO-PO Mapping'!R$7,$AG$29,0))=0), "-", IF(SUM(IF('CO-PO Mapping'!R$2,$AH31*$AB$29,0),IF('CO-PO Mapping'!R$3,$AI31*$AC$29,0),IF('CO-PO Mapping'!R$4,$AJ31*$AD$29,0),IF('CO-PO Mapping'!R$5,$AK31*$AE$29,0),IF('CO-PO Mapping'!R$6,$AL31*$AF$29,0),IF('CO-PO Mapping'!R$7,$AM31*$AG$29,0))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1" s="95" t="str">
        <f>IF('CO-PO Mapping'!S$2, IF(OR($AN31="-",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IF(OR($AP31="-", SUM( IF('CO-PO Mapping'!S$2,$AB$29,0), IF('CO-PO Mapping'!S$3,$AC$29,0), IF('CO-PO Mapping'!S$4,$AD$29,0), IF('CO-PO Mapping'!S$5,$AE$29,0), IF('CO-PO Mapping'!S$6,$AF$29,0), IF('CO-PO Mapping'!S$7,$AG$29,0) )=0), "-", IF( SUM( IF('CO-PO Mapping'!S$2,$AH31*$AB$29,0), IF('CO-PO Mapping'!S$3,$AI31*$AC$29,0), IF('CO-PO Mapping'!S$4,$AJ31*$AD$29,0), IF('CO-PO Mapping'!S$5,$AK31*$AE$29,0), IF('CO-PO Mapping'!S$6,$AL31*$AF$29,0), IF('CO-PO Mapping'!S$7,$AM31*$AG$29,0)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IF('CO-PO Mapping'!S$6, IF(OR($AR31="-",SUM(IF('CO-PO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IF('CO-PO Mapping'!S$7, IF(OR($AS31="-",SUM(IF('CO-PO Mapping'!S$2,$AB$29,0),IF('CO-PO Mapping'!S$3,$AC$29,0),IF('CO-PO Mapping'!S$4,$AD$29,0),IF('CO-PO Mapping'!S$5,$AE$29,0),IF('CO-PO Mapping'!S$6,$AF$29,0),IF('CO-PO Mapping'!S$7,$AG$29,0))=0), "-", IF(SUM(IF('CO-PO Mapping'!S$2,$AH31*$AB$29,0),IF('CO-PO Mapping'!S$3,$AI31*$AC$29,0),IF('CO-PO Mapping'!S$4,$AJ31*$AD$29,0),IF('CO-PO Mapping'!S$5,$AK31*$AE$29,0),IF('CO-PO Mapping'!S$6,$AL31*$AF$29,0),IF('CO-PO Mapping'!S$7,$AM31*$AG$29,0))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1" s="95" t="str">
        <f>IF('CO-PO Mapping'!T$2, IF(OR($AN31="-",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IF(OR($AP31="-", SUM( IF('CO-PO Mapping'!T$2,$AB$29,0), IF('CO-PO Mapping'!T$3,$AC$29,0), IF('CO-PO Mapping'!T$4,$AD$29,0), IF('CO-PO Mapping'!T$5,$AE$29,0), IF('CO-PO Mapping'!T$6,$AF$29,0), IF('CO-PO Mapping'!T$7,$AG$29,0) )=0), "-", IF( SUM( IF('CO-PO Mapping'!T$2,$AH31*$AB$29,0), IF('CO-PO Mapping'!T$3,$AI31*$AC$29,0), IF('CO-PO Mapping'!T$4,$AJ31*$AD$29,0), IF('CO-PO Mapping'!T$5,$AK31*$AE$29,0), IF('CO-PO Mapping'!T$6,$AL31*$AF$29,0), IF('CO-PO Mapping'!T$7,$AM31*$AG$29,0)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IF('CO-PO Mapping'!T$6, IF(OR($AR31="-",SUM(IF('CO-PO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IF('CO-PO Mapping'!T$7, IF(OR($AS31="-",SUM(IF('CO-PO Mapping'!T$2,$AB$29,0),IF('CO-PO Mapping'!T$3,$AC$29,0),IF('CO-PO Mapping'!T$4,$AD$29,0),IF('CO-PO Mapping'!T$5,$AE$29,0),IF('CO-PO Mapping'!T$6,$AF$29,0),IF('CO-PO Mapping'!T$7,$AG$29,0))=0), "-", IF(SUM(IF('CO-PO Mapping'!T$2,$AH31*$AB$29,0),IF('CO-PO Mapping'!T$3,$AI31*$AC$29,0),IF('CO-PO Mapping'!T$4,$AJ31*$AD$29,0),IF('CO-PO Mapping'!T$5,$AK31*$AE$29,0),IF('CO-PO Mapping'!T$6,$AL31*$AF$29,0),IF('CO-PO Mapping'!T$7,$AM31*$AG$29,0))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1" s="95" t="str">
        <f>IF('CO-PO Mapping'!U$2, IF(OR($AN31="-",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IF(OR($AP31="-", SUM( IF('CO-PO Mapping'!U$2,$AB$29,0), IF('CO-PO Mapping'!U$3,$AC$29,0), IF('CO-PO Mapping'!U$4,$AD$29,0), IF('CO-PO Mapping'!U$5,$AE$29,0), IF('CO-PO Mapping'!U$6,$AF$29,0), IF('CO-PO Mapping'!U$7,$AG$29,0) )=0), "-", IF( SUM( IF('CO-PO Mapping'!U$2,$AH31*$AB$29,0), IF('CO-PO Mapping'!U$3,$AI31*$AC$29,0), IF('CO-PO Mapping'!U$4,$AJ31*$AD$29,0), IF('CO-PO Mapping'!U$5,$AK31*$AE$29,0), IF('CO-PO Mapping'!U$6,$AL31*$AF$29,0), IF('CO-PO Mapping'!U$7,$AM31*$AG$29,0)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IF('CO-PO Mapping'!U$6, IF(OR($AR31="-",SUM(IF('CO-PO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IF('CO-PO Mapping'!U$7, IF(OR($AS31="-",SUM(IF('CO-PO Mapping'!U$2,$AB$29,0),IF('CO-PO Mapping'!U$3,$AC$29,0),IF('CO-PO Mapping'!U$4,$AD$29,0),IF('CO-PO Mapping'!U$5,$AE$29,0),IF('CO-PO Mapping'!U$6,$AF$29,0),IF('CO-PO Mapping'!U$7,$AG$29,0))=0), "-", IF(SUM(IF('CO-PO Mapping'!U$2,$AH31*$AB$29,0),IF('CO-PO Mapping'!U$3,$AI31*$AC$29,0),IF('CO-PO Mapping'!U$4,$AJ31*$AD$29,0),IF('CO-PO Mapping'!U$5,$AK31*$AE$29,0),IF('CO-PO Mapping'!U$6,$AL31*$AF$29,0),IF('CO-PO Mapping'!U$7,$AM31*$AG$29,0))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1" s="95" t="str">
        <f>IF('CO-PO Mapping'!V$2, IF(OR($AN31="-",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IF(OR($AP31="-", SUM( IF('CO-PO Mapping'!V$2,$AB$29,0), IF('CO-PO Mapping'!V$3,$AC$29,0), IF('CO-PO Mapping'!V$4,$AD$29,0), IF('CO-PO Mapping'!V$5,$AE$29,0), IF('CO-PO Mapping'!V$6,$AF$29,0), IF('CO-PO Mapping'!V$7,$AG$29,0) )=0), "-", IF( SUM( IF('CO-PO Mapping'!V$2,$AH31*$AB$29,0), IF('CO-PO Mapping'!V$3,$AI31*$AC$29,0), IF('CO-PO Mapping'!V$4,$AJ31*$AD$29,0), IF('CO-PO Mapping'!V$5,$AK31*$AE$29,0), IF('CO-PO Mapping'!V$6,$AL31*$AF$29,0), IF('CO-PO Mapping'!V$7,$AM31*$AG$29,0)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IF('CO-PO Mapping'!V$6, IF(OR($AR31="-",SUM(IF('CO-PO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IF('CO-PO Mapping'!V$7, IF(OR($AS31="-",SUM(IF('CO-PO Mapping'!V$2,$AB$29,0),IF('CO-PO Mapping'!V$3,$AC$29,0),IF('CO-PO Mapping'!V$4,$AD$29,0),IF('CO-PO Mapping'!V$5,$AE$29,0),IF('CO-PO Mapping'!V$6,$AF$29,0),IF('CO-PO Mapping'!V$7,$AG$29,0))=0), "-", IF(SUM(IF('CO-PO Mapping'!V$2,$AH31*$AB$29,0),IF('CO-PO Mapping'!V$3,$AI31*$AC$29,0),IF('CO-PO Mapping'!V$4,$AJ31*$AD$29,0),IF('CO-PO Mapping'!V$5,$AK31*$AE$29,0),IF('CO-PO Mapping'!V$6,$AL31*$AF$29,0),IF('CO-PO Mapping'!V$7,$AM31*$AG$29,0))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1" s="95" t="str">
        <f>IF('CO-PO Mapping'!W$2, IF(OR($AN31="-",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IF(OR($AP31="-", SUM( IF('CO-PO Mapping'!W$2,$AB$29,0), IF('CO-PO Mapping'!W$3,$AC$29,0), IF('CO-PO Mapping'!W$4,$AD$29,0), IF('CO-PO Mapping'!W$5,$AE$29,0), IF('CO-PO Mapping'!W$6,$AF$29,0), IF('CO-PO Mapping'!W$7,$AG$29,0) )=0), "-", IF( SUM( IF('CO-PO Mapping'!W$2,$AH31*$AB$29,0), IF('CO-PO Mapping'!W$3,$AI31*$AC$29,0), IF('CO-PO Mapping'!W$4,$AJ31*$AD$29,0), IF('CO-PO Mapping'!W$5,$AK31*$AE$29,0), IF('CO-PO Mapping'!W$6,$AL31*$AF$29,0), IF('CO-PO Mapping'!W$7,$AM31*$AG$29,0)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IF('CO-PO Mapping'!W$6, IF(OR($AR31="-",SUM(IF('CO-PO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IF('CO-PO Mapping'!W$7, IF(OR($AS31="-",SUM(IF('CO-PO Mapping'!W$2,$AB$29,0),IF('CO-PO Mapping'!W$3,$AC$29,0),IF('CO-PO Mapping'!W$4,$AD$29,0),IF('CO-PO Mapping'!W$5,$AE$29,0),IF('CO-PO Mapping'!W$6,$AF$29,0),IF('CO-PO Mapping'!W$7,$AG$29,0))=0), "-", IF(SUM(IF('CO-PO Mapping'!W$2,$AH31*$AB$29,0),IF('CO-PO Mapping'!W$3,$AI31*$AC$29,0),IF('CO-PO Mapping'!W$4,$AJ31*$AD$29,0),IF('CO-PO Mapping'!W$5,$AK31*$AE$29,0),IF('CO-PO Mapping'!W$6,$AL31*$AF$29,0),IF('CO-PO Mapping'!W$7,$AM31*$AG$29,0))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1" s="95" t="str">
        <f>IF('CO-PO Mapping'!X$2, IF(OR($AN31="-",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IF(OR($AP31="-", SUM( IF('CO-PO Mapping'!X$2,$AB$29,0), IF('CO-PO Mapping'!X$3,$AC$29,0), IF('CO-PO Mapping'!X$4,$AD$29,0), IF('CO-PO Mapping'!X$5,$AE$29,0), IF('CO-PO Mapping'!X$6,$AF$29,0), IF('CO-PO Mapping'!X$7,$AG$29,0) )=0), "-", IF( SUM( IF('CO-PO Mapping'!X$2,$AH31*$AB$29,0), IF('CO-PO Mapping'!X$3,$AI31*$AC$29,0), IF('CO-PO Mapping'!X$4,$AJ31*$AD$29,0), IF('CO-PO Mapping'!X$5,$AK31*$AE$29,0), IF('CO-PO Mapping'!X$6,$AL31*$AF$29,0), IF('CO-PO Mapping'!X$7,$AM31*$AG$29,0)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IF('CO-PO Mapping'!X$6, IF(OR($AR31="-",SUM(IF('CO-PO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IF('CO-PO Mapping'!X$7, IF(OR($AS31="-",SUM(IF('CO-PO Mapping'!X$2,$AB$29,0),IF('CO-PO Mapping'!X$3,$AC$29,0),IF('CO-PO Mapping'!X$4,$AD$29,0),IF('CO-PO Mapping'!X$5,$AE$29,0),IF('CO-PO Mapping'!X$6,$AF$29,0),IF('CO-PO Mapping'!X$7,$AG$29,0))=0), "-", IF(SUM(IF('CO-PO Mapping'!X$2,$AH31*$AB$29,0),IF('CO-PO Mapping'!X$3,$AI31*$AC$29,0),IF('CO-PO Mapping'!X$4,$AJ31*$AD$29,0),IF('CO-PO Mapping'!X$5,$AK31*$AE$29,0),IF('CO-PO Mapping'!X$6,$AL31*$AF$29,0),IF('CO-PO Mapping'!X$7,$AM31*$AG$29,0))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1" s="95" t="str">
        <f>IF('CO-PO Mapping'!Y$2, IF(OR($AN31="-",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IF(OR($AP31="-", SUM( IF('CO-PO Mapping'!Y$2,$AB$29,0), IF('CO-PO Mapping'!Y$3,$AC$29,0), IF('CO-PO Mapping'!Y$4,$AD$29,0), IF('CO-PO Mapping'!Y$5,$AE$29,0), IF('CO-PO Mapping'!Y$6,$AF$29,0), IF('CO-PO Mapping'!Y$7,$AG$29,0) )=0), "-", IF( SUM( IF('CO-PO Mapping'!Y$2,$AH31*$AB$29,0), IF('CO-PO Mapping'!Y$3,$AI31*$AC$29,0), IF('CO-PO Mapping'!Y$4,$AJ31*$AD$29,0), IF('CO-PO Mapping'!Y$5,$AK31*$AE$29,0), IF('CO-PO Mapping'!Y$6,$AL31*$AF$29,0), IF('CO-PO Mapping'!Y$7,$AM31*$AG$29,0)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IF('CO-PO Mapping'!Y$6, IF(OR($AR31="-",SUM(IF('CO-PO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IF('CO-PO Mapping'!Y$7, IF(OR($AS31="-",SUM(IF('CO-PO Mapping'!Y$2,$AB$29,0),IF('CO-PO Mapping'!Y$3,$AC$29,0),IF('CO-PO Mapping'!Y$4,$AD$29,0),IF('CO-PO Mapping'!Y$5,$AE$29,0),IF('CO-PO Mapping'!Y$6,$AF$29,0),IF('CO-PO Mapping'!Y$7,$AG$29,0))=0), "-", IF(SUM(IF('CO-PO Mapping'!Y$2,$AH31*$AB$29,0),IF('CO-PO Mapping'!Y$3,$AI31*$AC$29,0),IF('CO-PO Mapping'!Y$4,$AJ31*$AD$29,0),IF('CO-PO Mapping'!Y$5,$AK31*$AE$29,0),IF('CO-PO Mapping'!Y$6,$AL31*$AF$29,0),IF('CO-PO Mapping'!Y$7,$AM31*$AG$29,0))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1" s="95" t="str">
        <f>IF('CO-PO Mapping'!Z$2, IF(OR($AN31="-",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IF(OR($AP31="-", SUM( IF('CO-PO Mapping'!Z$2,$AB$29,0), IF('CO-PO Mapping'!Z$3,$AC$29,0), IF('CO-PO Mapping'!Z$4,$AD$29,0), IF('CO-PO Mapping'!Z$5,$AE$29,0), IF('CO-PO Mapping'!Z$6,$AF$29,0), IF('CO-PO Mapping'!Z$7,$AG$29,0) )=0), "-", IF( SUM( IF('CO-PO Mapping'!Z$2,$AH31*$AB$29,0), IF('CO-PO Mapping'!Z$3,$AI31*$AC$29,0), IF('CO-PO Mapping'!Z$4,$AJ31*$AD$29,0), IF('CO-PO Mapping'!Z$5,$AK31*$AE$29,0), IF('CO-PO Mapping'!Z$6,$AL31*$AF$29,0), IF('CO-PO Mapping'!Z$7,$AM31*$AG$29,0)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IF('CO-PO Mapping'!Z$6, IF(OR($AR31="-",SUM(IF('CO-PO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IF('CO-PO Mapping'!Z$7, IF(OR($AS31="-",SUM(IF('CO-PO Mapping'!Z$2,$AB$29,0),IF('CO-PO Mapping'!Z$3,$AC$29,0),IF('CO-PO Mapping'!Z$4,$AD$29,0),IF('CO-PO Mapping'!Z$5,$AE$29,0),IF('CO-PO Mapping'!Z$6,$AF$29,0),IF('CO-PO Mapping'!Z$7,$AG$29,0))=0), "-", IF(SUM(IF('CO-PO Mapping'!Z$2,$AH31*$AB$29,0),IF('CO-PO Mapping'!Z$3,$AI31*$AC$29,0),IF('CO-PO Mapping'!Z$4,$AJ31*$AD$29,0),IF('CO-PO Mapping'!Z$5,$AK31*$AE$29,0),IF('CO-PO Mapping'!Z$6,$AL31*$AF$29,0),IF('CO-PO Mapping'!Z$7,$AM31*$AG$29,0))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2" spans="1:57" ht="16.5" customHeight="1">
      <c r="A32" s="117">
        <v>22235103060</v>
      </c>
      <c r="B32" s="118" t="s">
        <v>149</v>
      </c>
      <c r="C32" s="70">
        <v>4</v>
      </c>
      <c r="D32" s="71"/>
      <c r="E32" s="71">
        <v>20</v>
      </c>
      <c r="F32" s="71"/>
      <c r="G32" s="71"/>
      <c r="H32" s="103">
        <f t="shared" si="2"/>
        <v>24</v>
      </c>
      <c r="I32" s="75">
        <v>8</v>
      </c>
      <c r="J32" s="75">
        <v>8</v>
      </c>
      <c r="K32" s="75">
        <v>7</v>
      </c>
      <c r="L32" s="75"/>
      <c r="M32" s="75"/>
      <c r="N32" s="75"/>
      <c r="O32" s="105">
        <f t="shared" si="3"/>
        <v>23</v>
      </c>
      <c r="P32" s="75">
        <v>19</v>
      </c>
      <c r="Q32" s="75">
        <v>14</v>
      </c>
      <c r="R32" s="75"/>
      <c r="S32" s="75"/>
      <c r="T32" s="75"/>
      <c r="U32" s="75"/>
      <c r="V32" s="104">
        <f t="shared" si="4"/>
        <v>33</v>
      </c>
      <c r="W32" s="83">
        <f t="shared" si="5"/>
        <v>80</v>
      </c>
      <c r="X32" s="98" t="str">
        <f t="shared" si="10"/>
        <v>A (Plus)</v>
      </c>
      <c r="Y32" s="41"/>
      <c r="Z32" s="42">
        <f t="shared" si="6"/>
        <v>22235103060</v>
      </c>
      <c r="AA32" s="43" t="str">
        <f t="shared" si="7"/>
        <v>Md. Arifur Rahman</v>
      </c>
      <c r="AB32" s="90">
        <f t="shared" si="11"/>
        <v>32</v>
      </c>
      <c r="AC32" s="90">
        <f t="shared" si="8"/>
        <v>27</v>
      </c>
      <c r="AD32" s="90">
        <f t="shared" si="8"/>
        <v>21</v>
      </c>
      <c r="AE32" s="90">
        <f t="shared" si="8"/>
        <v>0</v>
      </c>
      <c r="AF32" s="90">
        <f t="shared" si="8"/>
        <v>0</v>
      </c>
      <c r="AG32" s="90">
        <f t="shared" si="8"/>
        <v>0</v>
      </c>
      <c r="AH32" s="92">
        <f t="shared" si="12"/>
        <v>80</v>
      </c>
      <c r="AI32" s="92">
        <f t="shared" si="13"/>
        <v>90</v>
      </c>
      <c r="AJ32" s="92">
        <f t="shared" si="14"/>
        <v>70</v>
      </c>
      <c r="AK32" s="92">
        <f t="shared" ref="AK32:AK100" si="22">IF($AE$29=0,0,AE32*100/$AE$29)</f>
        <v>0</v>
      </c>
      <c r="AL32" s="92">
        <f t="shared" si="15"/>
        <v>0</v>
      </c>
      <c r="AM32" s="92">
        <f t="shared" si="16"/>
        <v>0</v>
      </c>
      <c r="AN32" s="93" t="str">
        <f t="shared" ref="AN32:AN100" si="23">IF(OR($Z32="",AND(AH32=0,$Z32="")),"-",IF(AH32&gt;=$AQ$27,"Y","N"))</f>
        <v>Y</v>
      </c>
      <c r="AO32" s="93" t="str">
        <f t="shared" si="17"/>
        <v>Y</v>
      </c>
      <c r="AP32" s="93" t="str">
        <f t="shared" si="18"/>
        <v>Y</v>
      </c>
      <c r="AQ32" s="93" t="str">
        <f t="shared" si="19"/>
        <v>N</v>
      </c>
      <c r="AR32" s="93" t="str">
        <f t="shared" si="20"/>
        <v>N</v>
      </c>
      <c r="AS32" s="93" t="str">
        <f t="shared" si="21"/>
        <v>N</v>
      </c>
      <c r="AT32" s="95" t="str">
        <f>IF('CO-PO Mapping'!O$2, IF(OR($AN32="-",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IF(OR($AP32="-", SUM( IF('CO-PO Mapping'!O$2,$AB$29,0), IF('CO-PO Mapping'!O$3,$AC$29,0), IF('CO-PO Mapping'!O$4,$AD$29,0), IF('CO-PO Mapping'!O$5,$AE$29,0), IF('CO-PO Mapping'!O$6,$AF$29,0), IF('CO-PO Mapping'!O$7,$AG$29,0) )=0), "-", IF( SUM( IF('CO-PO Mapping'!O$2,$AH32*$AB$29,0), IF('CO-PO Mapping'!O$3,$AI32*$AC$29,0), IF('CO-PO Mapping'!O$4,$AJ32*$AD$29,0), IF('CO-PO Mapping'!O$5,$AK32*$AE$29,0), IF('CO-PO Mapping'!O$6,$AL32*$AF$29,0), IF('CO-PO Mapping'!O$7,$AM32*$AG$29,0)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IF('CO-PO Mapping'!O$6, IF(OR($AR32="-",SUM(IF('CO-PO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IF('CO-PO Mapping'!O$7, IF(OR($AS32="-",SUM(IF('CO-PO Mapping'!O$2,$AB$29,0),IF('CO-PO Mapping'!O$3,$AC$29,0),IF('CO-PO Mapping'!O$4,$AD$29,0),IF('CO-PO Mapping'!O$5,$AE$29,0),IF('CO-PO Mapping'!O$6,$AF$29,0),IF('CO-PO Mapping'!O$7,$AG$29,0))=0), "-", IF(SUM(IF('CO-PO Mapping'!O$2,$AH32*$AB$29,0),IF('CO-PO Mapping'!O$3,$AI32*$AC$29,0),IF('CO-PO Mapping'!O$4,$AJ32*$AD$29,0),IF('CO-PO Mapping'!O$5,$AK32*$AE$29,0),IF('CO-PO Mapping'!O$6,$AL32*$AF$29,0),IF('CO-PO Mapping'!O$7,$AM32*$AG$29,0))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2" s="95" t="str">
        <f>IF('CO-PO Mapping'!P$2, IF(OR($AN32="-",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IF(OR($AP32="-", SUM( IF('CO-PO Mapping'!P$2,$AB$29,0), IF('CO-PO Mapping'!P$3,$AC$29,0), IF('CO-PO Mapping'!P$4,$AD$29,0), IF('CO-PO Mapping'!P$5,$AE$29,0), IF('CO-PO Mapping'!P$6,$AF$29,0), IF('CO-PO Mapping'!P$7,$AG$29,0) )=0), "-", IF( SUM( IF('CO-PO Mapping'!P$2,$AH32*$AB$29,0), IF('CO-PO Mapping'!P$3,$AI32*$AC$29,0), IF('CO-PO Mapping'!P$4,$AJ32*$AD$29,0), IF('CO-PO Mapping'!P$5,$AK32*$AE$29,0), IF('CO-PO Mapping'!P$6,$AL32*$AF$29,0), IF('CO-PO Mapping'!P$7,$AM32*$AG$29,0)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IF('CO-PO Mapping'!P$6, IF(OR($AR32="-",SUM(IF('CO-PO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IF('CO-PO Mapping'!P$7, IF(OR($AS32="-",SUM(IF('CO-PO Mapping'!P$2,$AB$29,0),IF('CO-PO Mapping'!P$3,$AC$29,0),IF('CO-PO Mapping'!P$4,$AD$29,0),IF('CO-PO Mapping'!P$5,$AE$29,0),IF('CO-PO Mapping'!P$6,$AF$29,0),IF('CO-PO Mapping'!P$7,$AG$29,0))=0), "-", IF(SUM(IF('CO-PO Mapping'!P$2,$AH32*$AB$29,0),IF('CO-PO Mapping'!P$3,$AI32*$AC$29,0),IF('CO-PO Mapping'!P$4,$AJ32*$AD$29,0),IF('CO-PO Mapping'!P$5,$AK32*$AE$29,0),IF('CO-PO Mapping'!P$6,$AL32*$AF$29,0),IF('CO-PO Mapping'!P$7,$AM32*$AG$29,0))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32" s="95" t="str">
        <f>IF('CO-PO Mapping'!Q$2, IF(OR($AN32="-",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IF(OR($AP32="-", SUM( IF('CO-PO Mapping'!Q$2,$AB$29,0), IF('CO-PO Mapping'!Q$3,$AC$29,0), IF('CO-PO Mapping'!Q$4,$AD$29,0), IF('CO-PO Mapping'!Q$5,$AE$29,0), IF('CO-PO Mapping'!Q$6,$AF$29,0), IF('CO-PO Mapping'!Q$7,$AG$29,0) )=0), "-", IF( SUM( IF('CO-PO Mapping'!Q$2,$AH32*$AB$29,0), IF('CO-PO Mapping'!Q$3,$AI32*$AC$29,0), IF('CO-PO Mapping'!Q$4,$AJ32*$AD$29,0), IF('CO-PO Mapping'!Q$5,$AK32*$AE$29,0), IF('CO-PO Mapping'!Q$6,$AL32*$AF$29,0), IF('CO-PO Mapping'!Q$7,$AM32*$AG$29,0)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IF('CO-PO Mapping'!Q$6, IF(OR($AR32="-",SUM(IF('CO-PO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IF('CO-PO Mapping'!Q$7, IF(OR($AS32="-",SUM(IF('CO-PO Mapping'!Q$2,$AB$29,0),IF('CO-PO Mapping'!Q$3,$AC$29,0),IF('CO-PO Mapping'!Q$4,$AD$29,0),IF('CO-PO Mapping'!Q$5,$AE$29,0),IF('CO-PO Mapping'!Q$6,$AF$29,0),IF('CO-PO Mapping'!Q$7,$AG$29,0))=0), "-", IF(SUM(IF('CO-PO Mapping'!Q$2,$AH32*$AB$29,0),IF('CO-PO Mapping'!Q$3,$AI32*$AC$29,0),IF('CO-PO Mapping'!Q$4,$AJ32*$AD$29,0),IF('CO-PO Mapping'!Q$5,$AK32*$AE$29,0),IF('CO-PO Mapping'!Q$6,$AL32*$AF$29,0),IF('CO-PO Mapping'!Q$7,$AM32*$AG$29,0))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32" s="95" t="str">
        <f>IF('CO-PO Mapping'!R$2, IF(OR($AN32="-",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IF(OR($AP32="-", SUM( IF('CO-PO Mapping'!R$2,$AB$29,0), IF('CO-PO Mapping'!R$3,$AC$29,0), IF('CO-PO Mapping'!R$4,$AD$29,0), IF('CO-PO Mapping'!R$5,$AE$29,0), IF('CO-PO Mapping'!R$6,$AF$29,0), IF('CO-PO Mapping'!R$7,$AG$29,0) )=0), "-", IF( SUM( IF('CO-PO Mapping'!R$2,$AH32*$AB$29,0), IF('CO-PO Mapping'!R$3,$AI32*$AC$29,0), IF('CO-PO Mapping'!R$4,$AJ32*$AD$29,0), IF('CO-PO Mapping'!R$5,$AK32*$AE$29,0), IF('CO-PO Mapping'!R$6,$AL32*$AF$29,0), IF('CO-PO Mapping'!R$7,$AM32*$AG$29,0)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IF('CO-PO Mapping'!R$6, IF(OR($AR32="-",SUM(IF('CO-PO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IF('CO-PO Mapping'!R$7, IF(OR($AS32="-",SUM(IF('CO-PO Mapping'!R$2,$AB$29,0),IF('CO-PO Mapping'!R$3,$AC$29,0),IF('CO-PO Mapping'!R$4,$AD$29,0),IF('CO-PO Mapping'!R$5,$AE$29,0),IF('CO-PO Mapping'!R$6,$AF$29,0),IF('CO-PO Mapping'!R$7,$AG$29,0))=0), "-", IF(SUM(IF('CO-PO Mapping'!R$2,$AH32*$AB$29,0),IF('CO-PO Mapping'!R$3,$AI32*$AC$29,0),IF('CO-PO Mapping'!R$4,$AJ32*$AD$29,0),IF('CO-PO Mapping'!R$5,$AK32*$AE$29,0),IF('CO-PO Mapping'!R$6,$AL32*$AF$29,0),IF('CO-PO Mapping'!R$7,$AM32*$AG$29,0))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2" s="95" t="str">
        <f>IF('CO-PO Mapping'!S$2, IF(OR($AN32="-",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IF(OR($AP32="-", SUM( IF('CO-PO Mapping'!S$2,$AB$29,0), IF('CO-PO Mapping'!S$3,$AC$29,0), IF('CO-PO Mapping'!S$4,$AD$29,0), IF('CO-PO Mapping'!S$5,$AE$29,0), IF('CO-PO Mapping'!S$6,$AF$29,0), IF('CO-PO Mapping'!S$7,$AG$29,0) )=0), "-", IF( SUM( IF('CO-PO Mapping'!S$2,$AH32*$AB$29,0), IF('CO-PO Mapping'!S$3,$AI32*$AC$29,0), IF('CO-PO Mapping'!S$4,$AJ32*$AD$29,0), IF('CO-PO Mapping'!S$5,$AK32*$AE$29,0), IF('CO-PO Mapping'!S$6,$AL32*$AF$29,0), IF('CO-PO Mapping'!S$7,$AM32*$AG$29,0)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IF('CO-PO Mapping'!S$6, IF(OR($AR32="-",SUM(IF('CO-PO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IF('CO-PO Mapping'!S$7, IF(OR($AS32="-",SUM(IF('CO-PO Mapping'!S$2,$AB$29,0),IF('CO-PO Mapping'!S$3,$AC$29,0),IF('CO-PO Mapping'!S$4,$AD$29,0),IF('CO-PO Mapping'!S$5,$AE$29,0),IF('CO-PO Mapping'!S$6,$AF$29,0),IF('CO-PO Mapping'!S$7,$AG$29,0))=0), "-", IF(SUM(IF('CO-PO Mapping'!S$2,$AH32*$AB$29,0),IF('CO-PO Mapping'!S$3,$AI32*$AC$29,0),IF('CO-PO Mapping'!S$4,$AJ32*$AD$29,0),IF('CO-PO Mapping'!S$5,$AK32*$AE$29,0),IF('CO-PO Mapping'!S$6,$AL32*$AF$29,0),IF('CO-PO Mapping'!S$7,$AM32*$AG$29,0))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2" s="95" t="str">
        <f>IF('CO-PO Mapping'!T$2, IF(OR($AN32="-",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IF(OR($AP32="-", SUM( IF('CO-PO Mapping'!T$2,$AB$29,0), IF('CO-PO Mapping'!T$3,$AC$29,0), IF('CO-PO Mapping'!T$4,$AD$29,0), IF('CO-PO Mapping'!T$5,$AE$29,0), IF('CO-PO Mapping'!T$6,$AF$29,0), IF('CO-PO Mapping'!T$7,$AG$29,0) )=0), "-", IF( SUM( IF('CO-PO Mapping'!T$2,$AH32*$AB$29,0), IF('CO-PO Mapping'!T$3,$AI32*$AC$29,0), IF('CO-PO Mapping'!T$4,$AJ32*$AD$29,0), IF('CO-PO Mapping'!T$5,$AK32*$AE$29,0), IF('CO-PO Mapping'!T$6,$AL32*$AF$29,0), IF('CO-PO Mapping'!T$7,$AM32*$AG$29,0)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IF('CO-PO Mapping'!T$6, IF(OR($AR32="-",SUM(IF('CO-PO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IF('CO-PO Mapping'!T$7, IF(OR($AS32="-",SUM(IF('CO-PO Mapping'!T$2,$AB$29,0),IF('CO-PO Mapping'!T$3,$AC$29,0),IF('CO-PO Mapping'!T$4,$AD$29,0),IF('CO-PO Mapping'!T$5,$AE$29,0),IF('CO-PO Mapping'!T$6,$AF$29,0),IF('CO-PO Mapping'!T$7,$AG$29,0))=0), "-", IF(SUM(IF('CO-PO Mapping'!T$2,$AH32*$AB$29,0),IF('CO-PO Mapping'!T$3,$AI32*$AC$29,0),IF('CO-PO Mapping'!T$4,$AJ32*$AD$29,0),IF('CO-PO Mapping'!T$5,$AK32*$AE$29,0),IF('CO-PO Mapping'!T$6,$AL32*$AF$29,0),IF('CO-PO Mapping'!T$7,$AM32*$AG$29,0))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2" s="95" t="str">
        <f>IF('CO-PO Mapping'!U$2, IF(OR($AN32="-",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IF(OR($AP32="-", SUM( IF('CO-PO Mapping'!U$2,$AB$29,0), IF('CO-PO Mapping'!U$3,$AC$29,0), IF('CO-PO Mapping'!U$4,$AD$29,0), IF('CO-PO Mapping'!U$5,$AE$29,0), IF('CO-PO Mapping'!U$6,$AF$29,0), IF('CO-PO Mapping'!U$7,$AG$29,0) )=0), "-", IF( SUM( IF('CO-PO Mapping'!U$2,$AH32*$AB$29,0), IF('CO-PO Mapping'!U$3,$AI32*$AC$29,0), IF('CO-PO Mapping'!U$4,$AJ32*$AD$29,0), IF('CO-PO Mapping'!U$5,$AK32*$AE$29,0), IF('CO-PO Mapping'!U$6,$AL32*$AF$29,0), IF('CO-PO Mapping'!U$7,$AM32*$AG$29,0)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IF('CO-PO Mapping'!U$6, IF(OR($AR32="-",SUM(IF('CO-PO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IF('CO-PO Mapping'!U$7, IF(OR($AS32="-",SUM(IF('CO-PO Mapping'!U$2,$AB$29,0),IF('CO-PO Mapping'!U$3,$AC$29,0),IF('CO-PO Mapping'!U$4,$AD$29,0),IF('CO-PO Mapping'!U$5,$AE$29,0),IF('CO-PO Mapping'!U$6,$AF$29,0),IF('CO-PO Mapping'!U$7,$AG$29,0))=0), "-", IF(SUM(IF('CO-PO Mapping'!U$2,$AH32*$AB$29,0),IF('CO-PO Mapping'!U$3,$AI32*$AC$29,0),IF('CO-PO Mapping'!U$4,$AJ32*$AD$29,0),IF('CO-PO Mapping'!U$5,$AK32*$AE$29,0),IF('CO-PO Mapping'!U$6,$AL32*$AF$29,0),IF('CO-PO Mapping'!U$7,$AM32*$AG$29,0))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2" s="95" t="str">
        <f>IF('CO-PO Mapping'!V$2, IF(OR($AN32="-",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IF(OR($AP32="-", SUM( IF('CO-PO Mapping'!V$2,$AB$29,0), IF('CO-PO Mapping'!V$3,$AC$29,0), IF('CO-PO Mapping'!V$4,$AD$29,0), IF('CO-PO Mapping'!V$5,$AE$29,0), IF('CO-PO Mapping'!V$6,$AF$29,0), IF('CO-PO Mapping'!V$7,$AG$29,0) )=0), "-", IF( SUM( IF('CO-PO Mapping'!V$2,$AH32*$AB$29,0), IF('CO-PO Mapping'!V$3,$AI32*$AC$29,0), IF('CO-PO Mapping'!V$4,$AJ32*$AD$29,0), IF('CO-PO Mapping'!V$5,$AK32*$AE$29,0), IF('CO-PO Mapping'!V$6,$AL32*$AF$29,0), IF('CO-PO Mapping'!V$7,$AM32*$AG$29,0)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IF('CO-PO Mapping'!V$6, IF(OR($AR32="-",SUM(IF('CO-PO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IF('CO-PO Mapping'!V$7, IF(OR($AS32="-",SUM(IF('CO-PO Mapping'!V$2,$AB$29,0),IF('CO-PO Mapping'!V$3,$AC$29,0),IF('CO-PO Mapping'!V$4,$AD$29,0),IF('CO-PO Mapping'!V$5,$AE$29,0),IF('CO-PO Mapping'!V$6,$AF$29,0),IF('CO-PO Mapping'!V$7,$AG$29,0))=0), "-", IF(SUM(IF('CO-PO Mapping'!V$2,$AH32*$AB$29,0),IF('CO-PO Mapping'!V$3,$AI32*$AC$29,0),IF('CO-PO Mapping'!V$4,$AJ32*$AD$29,0),IF('CO-PO Mapping'!V$5,$AK32*$AE$29,0),IF('CO-PO Mapping'!V$6,$AL32*$AF$29,0),IF('CO-PO Mapping'!V$7,$AM32*$AG$29,0))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2" s="95" t="str">
        <f>IF('CO-PO Mapping'!W$2, IF(OR($AN32="-",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IF(OR($AP32="-", SUM( IF('CO-PO Mapping'!W$2,$AB$29,0), IF('CO-PO Mapping'!W$3,$AC$29,0), IF('CO-PO Mapping'!W$4,$AD$29,0), IF('CO-PO Mapping'!W$5,$AE$29,0), IF('CO-PO Mapping'!W$6,$AF$29,0), IF('CO-PO Mapping'!W$7,$AG$29,0) )=0), "-", IF( SUM( IF('CO-PO Mapping'!W$2,$AH32*$AB$29,0), IF('CO-PO Mapping'!W$3,$AI32*$AC$29,0), IF('CO-PO Mapping'!W$4,$AJ32*$AD$29,0), IF('CO-PO Mapping'!W$5,$AK32*$AE$29,0), IF('CO-PO Mapping'!W$6,$AL32*$AF$29,0), IF('CO-PO Mapping'!W$7,$AM32*$AG$29,0)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IF('CO-PO Mapping'!W$6, IF(OR($AR32="-",SUM(IF('CO-PO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IF('CO-PO Mapping'!W$7, IF(OR($AS32="-",SUM(IF('CO-PO Mapping'!W$2,$AB$29,0),IF('CO-PO Mapping'!W$3,$AC$29,0),IF('CO-PO Mapping'!W$4,$AD$29,0),IF('CO-PO Mapping'!W$5,$AE$29,0),IF('CO-PO Mapping'!W$6,$AF$29,0),IF('CO-PO Mapping'!W$7,$AG$29,0))=0), "-", IF(SUM(IF('CO-PO Mapping'!W$2,$AH32*$AB$29,0),IF('CO-PO Mapping'!W$3,$AI32*$AC$29,0),IF('CO-PO Mapping'!W$4,$AJ32*$AD$29,0),IF('CO-PO Mapping'!W$5,$AK32*$AE$29,0),IF('CO-PO Mapping'!W$6,$AL32*$AF$29,0),IF('CO-PO Mapping'!W$7,$AM32*$AG$29,0))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2" s="95" t="str">
        <f>IF('CO-PO Mapping'!X$2, IF(OR($AN32="-",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IF(OR($AP32="-", SUM( IF('CO-PO Mapping'!X$2,$AB$29,0), IF('CO-PO Mapping'!X$3,$AC$29,0), IF('CO-PO Mapping'!X$4,$AD$29,0), IF('CO-PO Mapping'!X$5,$AE$29,0), IF('CO-PO Mapping'!X$6,$AF$29,0), IF('CO-PO Mapping'!X$7,$AG$29,0) )=0), "-", IF( SUM( IF('CO-PO Mapping'!X$2,$AH32*$AB$29,0), IF('CO-PO Mapping'!X$3,$AI32*$AC$29,0), IF('CO-PO Mapping'!X$4,$AJ32*$AD$29,0), IF('CO-PO Mapping'!X$5,$AK32*$AE$29,0), IF('CO-PO Mapping'!X$6,$AL32*$AF$29,0), IF('CO-PO Mapping'!X$7,$AM32*$AG$29,0)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IF('CO-PO Mapping'!X$6, IF(OR($AR32="-",SUM(IF('CO-PO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IF('CO-PO Mapping'!X$7, IF(OR($AS32="-",SUM(IF('CO-PO Mapping'!X$2,$AB$29,0),IF('CO-PO Mapping'!X$3,$AC$29,0),IF('CO-PO Mapping'!X$4,$AD$29,0),IF('CO-PO Mapping'!X$5,$AE$29,0),IF('CO-PO Mapping'!X$6,$AF$29,0),IF('CO-PO Mapping'!X$7,$AG$29,0))=0), "-", IF(SUM(IF('CO-PO Mapping'!X$2,$AH32*$AB$29,0),IF('CO-PO Mapping'!X$3,$AI32*$AC$29,0),IF('CO-PO Mapping'!X$4,$AJ32*$AD$29,0),IF('CO-PO Mapping'!X$5,$AK32*$AE$29,0),IF('CO-PO Mapping'!X$6,$AL32*$AF$29,0),IF('CO-PO Mapping'!X$7,$AM32*$AG$29,0))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2" s="95" t="str">
        <f>IF('CO-PO Mapping'!Y$2, IF(OR($AN32="-",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IF(OR($AP32="-", SUM( IF('CO-PO Mapping'!Y$2,$AB$29,0), IF('CO-PO Mapping'!Y$3,$AC$29,0), IF('CO-PO Mapping'!Y$4,$AD$29,0), IF('CO-PO Mapping'!Y$5,$AE$29,0), IF('CO-PO Mapping'!Y$6,$AF$29,0), IF('CO-PO Mapping'!Y$7,$AG$29,0) )=0), "-", IF( SUM( IF('CO-PO Mapping'!Y$2,$AH32*$AB$29,0), IF('CO-PO Mapping'!Y$3,$AI32*$AC$29,0), IF('CO-PO Mapping'!Y$4,$AJ32*$AD$29,0), IF('CO-PO Mapping'!Y$5,$AK32*$AE$29,0), IF('CO-PO Mapping'!Y$6,$AL32*$AF$29,0), IF('CO-PO Mapping'!Y$7,$AM32*$AG$29,0)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IF('CO-PO Mapping'!Y$6, IF(OR($AR32="-",SUM(IF('CO-PO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IF('CO-PO Mapping'!Y$7, IF(OR($AS32="-",SUM(IF('CO-PO Mapping'!Y$2,$AB$29,0),IF('CO-PO Mapping'!Y$3,$AC$29,0),IF('CO-PO Mapping'!Y$4,$AD$29,0),IF('CO-PO Mapping'!Y$5,$AE$29,0),IF('CO-PO Mapping'!Y$6,$AF$29,0),IF('CO-PO Mapping'!Y$7,$AG$29,0))=0), "-", IF(SUM(IF('CO-PO Mapping'!Y$2,$AH32*$AB$29,0),IF('CO-PO Mapping'!Y$3,$AI32*$AC$29,0),IF('CO-PO Mapping'!Y$4,$AJ32*$AD$29,0),IF('CO-PO Mapping'!Y$5,$AK32*$AE$29,0),IF('CO-PO Mapping'!Y$6,$AL32*$AF$29,0),IF('CO-PO Mapping'!Y$7,$AM32*$AG$29,0))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2" s="95" t="str">
        <f>IF('CO-PO Mapping'!Z$2, IF(OR($AN32="-",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IF(OR($AP32="-", SUM( IF('CO-PO Mapping'!Z$2,$AB$29,0), IF('CO-PO Mapping'!Z$3,$AC$29,0), IF('CO-PO Mapping'!Z$4,$AD$29,0), IF('CO-PO Mapping'!Z$5,$AE$29,0), IF('CO-PO Mapping'!Z$6,$AF$29,0), IF('CO-PO Mapping'!Z$7,$AG$29,0) )=0), "-", IF( SUM( IF('CO-PO Mapping'!Z$2,$AH32*$AB$29,0), IF('CO-PO Mapping'!Z$3,$AI32*$AC$29,0), IF('CO-PO Mapping'!Z$4,$AJ32*$AD$29,0), IF('CO-PO Mapping'!Z$5,$AK32*$AE$29,0), IF('CO-PO Mapping'!Z$6,$AL32*$AF$29,0), IF('CO-PO Mapping'!Z$7,$AM32*$AG$29,0)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IF('CO-PO Mapping'!Z$6, IF(OR($AR32="-",SUM(IF('CO-PO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IF('CO-PO Mapping'!Z$7, IF(OR($AS32="-",SUM(IF('CO-PO Mapping'!Z$2,$AB$29,0),IF('CO-PO Mapping'!Z$3,$AC$29,0),IF('CO-PO Mapping'!Z$4,$AD$29,0),IF('CO-PO Mapping'!Z$5,$AE$29,0),IF('CO-PO Mapping'!Z$6,$AF$29,0),IF('CO-PO Mapping'!Z$7,$AG$29,0))=0), "-", IF(SUM(IF('CO-PO Mapping'!Z$2,$AH32*$AB$29,0),IF('CO-PO Mapping'!Z$3,$AI32*$AC$29,0),IF('CO-PO Mapping'!Z$4,$AJ32*$AD$29,0),IF('CO-PO Mapping'!Z$5,$AK32*$AE$29,0),IF('CO-PO Mapping'!Z$6,$AL32*$AF$29,0),IF('CO-PO Mapping'!Z$7,$AM32*$AG$29,0))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3" spans="1:57" ht="16.5" customHeight="1">
      <c r="A33" s="117">
        <v>22235103061</v>
      </c>
      <c r="B33" s="118" t="s">
        <v>150</v>
      </c>
      <c r="C33" s="70">
        <v>4</v>
      </c>
      <c r="D33" s="69"/>
      <c r="E33" s="69">
        <v>20</v>
      </c>
      <c r="F33" s="69"/>
      <c r="G33" s="69"/>
      <c r="H33" s="103">
        <f t="shared" si="2"/>
        <v>24</v>
      </c>
      <c r="I33" s="75">
        <v>4</v>
      </c>
      <c r="J33" s="75">
        <v>4</v>
      </c>
      <c r="K33" s="75">
        <v>4</v>
      </c>
      <c r="L33" s="75"/>
      <c r="M33" s="75"/>
      <c r="N33" s="75"/>
      <c r="O33" s="105">
        <f t="shared" si="3"/>
        <v>12</v>
      </c>
      <c r="P33" s="75">
        <v>8</v>
      </c>
      <c r="Q33" s="75">
        <v>10</v>
      </c>
      <c r="R33" s="75"/>
      <c r="S33" s="75"/>
      <c r="T33" s="75"/>
      <c r="U33" s="75"/>
      <c r="V33" s="104">
        <f t="shared" si="4"/>
        <v>18</v>
      </c>
      <c r="W33" s="83">
        <f t="shared" si="5"/>
        <v>54</v>
      </c>
      <c r="X33" s="98" t="str">
        <f t="shared" si="10"/>
        <v>C (Plus)</v>
      </c>
      <c r="Y33" s="41"/>
      <c r="Z33" s="42">
        <f t="shared" si="6"/>
        <v>22235103061</v>
      </c>
      <c r="AA33" s="43" t="str">
        <f t="shared" si="7"/>
        <v>Tusty Das</v>
      </c>
      <c r="AB33" s="90">
        <f t="shared" si="11"/>
        <v>28</v>
      </c>
      <c r="AC33" s="90">
        <f t="shared" si="8"/>
        <v>12</v>
      </c>
      <c r="AD33" s="90">
        <f t="shared" si="8"/>
        <v>14</v>
      </c>
      <c r="AE33" s="90">
        <f t="shared" si="8"/>
        <v>0</v>
      </c>
      <c r="AF33" s="90">
        <f t="shared" si="8"/>
        <v>0</v>
      </c>
      <c r="AG33" s="90">
        <f t="shared" si="8"/>
        <v>0</v>
      </c>
      <c r="AH33" s="92">
        <f t="shared" si="12"/>
        <v>70</v>
      </c>
      <c r="AI33" s="92">
        <f t="shared" si="13"/>
        <v>40</v>
      </c>
      <c r="AJ33" s="92">
        <f t="shared" si="14"/>
        <v>46.666666666666664</v>
      </c>
      <c r="AK33" s="92">
        <f t="shared" si="22"/>
        <v>0</v>
      </c>
      <c r="AL33" s="92">
        <f t="shared" si="15"/>
        <v>0</v>
      </c>
      <c r="AM33" s="92">
        <f t="shared" si="16"/>
        <v>0</v>
      </c>
      <c r="AN33" s="93" t="str">
        <f t="shared" si="23"/>
        <v>Y</v>
      </c>
      <c r="AO33" s="93" t="str">
        <f t="shared" si="17"/>
        <v>N</v>
      </c>
      <c r="AP33" s="93" t="str">
        <f t="shared" si="18"/>
        <v>N</v>
      </c>
      <c r="AQ33" s="93" t="str">
        <f t="shared" si="19"/>
        <v>N</v>
      </c>
      <c r="AR33" s="93" t="str">
        <f t="shared" si="20"/>
        <v>N</v>
      </c>
      <c r="AS33" s="93" t="str">
        <f t="shared" si="21"/>
        <v>N</v>
      </c>
      <c r="AT33" s="95" t="str">
        <f>IF('CO-PO Mapping'!O$2, IF(OR($AN33="-",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IF(OR($AP33="-", SUM( IF('CO-PO Mapping'!O$2,$AB$29,0), IF('CO-PO Mapping'!O$3,$AC$29,0), IF('CO-PO Mapping'!O$4,$AD$29,0), IF('CO-PO Mapping'!O$5,$AE$29,0), IF('CO-PO Mapping'!O$6,$AF$29,0), IF('CO-PO Mapping'!O$7,$AG$29,0) )=0), "-", IF( SUM( IF('CO-PO Mapping'!O$2,$AH33*$AB$29,0), IF('CO-PO Mapping'!O$3,$AI33*$AC$29,0), IF('CO-PO Mapping'!O$4,$AJ33*$AD$29,0), IF('CO-PO Mapping'!O$5,$AK33*$AE$29,0), IF('CO-PO Mapping'!O$6,$AL33*$AF$29,0), IF('CO-PO Mapping'!O$7,$AM33*$AG$29,0)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IF('CO-PO Mapping'!O$6, IF(OR($AR33="-",SUM(IF('CO-PO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IF('CO-PO Mapping'!O$7, IF(OR($AS33="-",SUM(IF('CO-PO Mapping'!O$2,$AB$29,0),IF('CO-PO Mapping'!O$3,$AC$29,0),IF('CO-PO Mapping'!O$4,$AD$29,0),IF('CO-PO Mapping'!O$5,$AE$29,0),IF('CO-PO Mapping'!O$6,$AF$29,0),IF('CO-PO Mapping'!O$7,$AG$29,0))=0), "-", IF(SUM(IF('CO-PO Mapping'!O$2,$AH33*$AB$29,0),IF('CO-PO Mapping'!O$3,$AI33*$AC$29,0),IF('CO-PO Mapping'!O$4,$AJ33*$AD$29,0),IF('CO-PO Mapping'!O$5,$AK33*$AE$29,0),IF('CO-PO Mapping'!O$6,$AL33*$AF$29,0),IF('CO-PO Mapping'!O$7,$AM33*$AG$29,0))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3" s="95" t="str">
        <f>IF('CO-PO Mapping'!P$2, IF(OR($AN33="-",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IF(OR($AP33="-", SUM( IF('CO-PO Mapping'!P$2,$AB$29,0), IF('CO-PO Mapping'!P$3,$AC$29,0), IF('CO-PO Mapping'!P$4,$AD$29,0), IF('CO-PO Mapping'!P$5,$AE$29,0), IF('CO-PO Mapping'!P$6,$AF$29,0), IF('CO-PO Mapping'!P$7,$AG$29,0) )=0), "-", IF( SUM( IF('CO-PO Mapping'!P$2,$AH33*$AB$29,0), IF('CO-PO Mapping'!P$3,$AI33*$AC$29,0), IF('CO-PO Mapping'!P$4,$AJ33*$AD$29,0), IF('CO-PO Mapping'!P$5,$AK33*$AE$29,0), IF('CO-PO Mapping'!P$6,$AL33*$AF$29,0), IF('CO-PO Mapping'!P$7,$AM33*$AG$29,0)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IF('CO-PO Mapping'!P$6, IF(OR($AR33="-",SUM(IF('CO-PO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IF('CO-PO Mapping'!P$7, IF(OR($AS33="-",SUM(IF('CO-PO Mapping'!P$2,$AB$29,0),IF('CO-PO Mapping'!P$3,$AC$29,0),IF('CO-PO Mapping'!P$4,$AD$29,0),IF('CO-PO Mapping'!P$5,$AE$29,0),IF('CO-PO Mapping'!P$6,$AF$29,0),IF('CO-PO Mapping'!P$7,$AG$29,0))=0), "-", IF(SUM(IF('CO-PO Mapping'!P$2,$AH33*$AB$29,0),IF('CO-PO Mapping'!P$3,$AI33*$AC$29,0),IF('CO-PO Mapping'!P$4,$AJ33*$AD$29,0),IF('CO-PO Mapping'!P$5,$AK33*$AE$29,0),IF('CO-PO Mapping'!P$6,$AL33*$AF$29,0),IF('CO-PO Mapping'!P$7,$AM33*$AG$29,0))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33" s="95" t="str">
        <f>IF('CO-PO Mapping'!Q$2, IF(OR($AN33="-",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IF(OR($AP33="-", SUM( IF('CO-PO Mapping'!Q$2,$AB$29,0), IF('CO-PO Mapping'!Q$3,$AC$29,0), IF('CO-PO Mapping'!Q$4,$AD$29,0), IF('CO-PO Mapping'!Q$5,$AE$29,0), IF('CO-PO Mapping'!Q$6,$AF$29,0), IF('CO-PO Mapping'!Q$7,$AG$29,0) )=0), "-", IF( SUM( IF('CO-PO Mapping'!Q$2,$AH33*$AB$29,0), IF('CO-PO Mapping'!Q$3,$AI33*$AC$29,0), IF('CO-PO Mapping'!Q$4,$AJ33*$AD$29,0), IF('CO-PO Mapping'!Q$5,$AK33*$AE$29,0), IF('CO-PO Mapping'!Q$6,$AL33*$AF$29,0), IF('CO-PO Mapping'!Q$7,$AM33*$AG$29,0)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IF('CO-PO Mapping'!Q$6, IF(OR($AR33="-",SUM(IF('CO-PO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IF('CO-PO Mapping'!Q$7, IF(OR($AS33="-",SUM(IF('CO-PO Mapping'!Q$2,$AB$29,0),IF('CO-PO Mapping'!Q$3,$AC$29,0),IF('CO-PO Mapping'!Q$4,$AD$29,0),IF('CO-PO Mapping'!Q$5,$AE$29,0),IF('CO-PO Mapping'!Q$6,$AF$29,0),IF('CO-PO Mapping'!Q$7,$AG$29,0))=0), "-", IF(SUM(IF('CO-PO Mapping'!Q$2,$AH33*$AB$29,0),IF('CO-PO Mapping'!Q$3,$AI33*$AC$29,0),IF('CO-PO Mapping'!Q$4,$AJ33*$AD$29,0),IF('CO-PO Mapping'!Q$5,$AK33*$AE$29,0),IF('CO-PO Mapping'!Q$6,$AL33*$AF$29,0),IF('CO-PO Mapping'!Q$7,$AM33*$AG$29,0)) / SUM(IF('CO-PO Mapping'!Q$2,$AB$29,0),IF('CO-PO Mapping'!Q$3,$AC$29,0),IF('CO-PO Mapping'!Q$4,$AD$29,0),IF('CO-PO Mapping'!Q$5,$AE$29,0),IF('CO-PO Mapping'!Q$6,$AF$29,0),IF('CO-PO Mapping'!Q$7,$AG$29,0)) &gt;=$AW$27,"Y","N" ) ), "-"))))))</f>
        <v>N</v>
      </c>
      <c r="AW33" s="95" t="str">
        <f>IF('CO-PO Mapping'!R$2, IF(OR($AN33="-",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IF(OR($AP33="-", SUM( IF('CO-PO Mapping'!R$2,$AB$29,0), IF('CO-PO Mapping'!R$3,$AC$29,0), IF('CO-PO Mapping'!R$4,$AD$29,0), IF('CO-PO Mapping'!R$5,$AE$29,0), IF('CO-PO Mapping'!R$6,$AF$29,0), IF('CO-PO Mapping'!R$7,$AG$29,0) )=0), "-", IF( SUM( IF('CO-PO Mapping'!R$2,$AH33*$AB$29,0), IF('CO-PO Mapping'!R$3,$AI33*$AC$29,0), IF('CO-PO Mapping'!R$4,$AJ33*$AD$29,0), IF('CO-PO Mapping'!R$5,$AK33*$AE$29,0), IF('CO-PO Mapping'!R$6,$AL33*$AF$29,0), IF('CO-PO Mapping'!R$7,$AM33*$AG$29,0)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IF('CO-PO Mapping'!R$6, IF(OR($AR33="-",SUM(IF('CO-PO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IF('CO-PO Mapping'!R$7, IF(OR($AS33="-",SUM(IF('CO-PO Mapping'!R$2,$AB$29,0),IF('CO-PO Mapping'!R$3,$AC$29,0),IF('CO-PO Mapping'!R$4,$AD$29,0),IF('CO-PO Mapping'!R$5,$AE$29,0),IF('CO-PO Mapping'!R$6,$AF$29,0),IF('CO-PO Mapping'!R$7,$AG$29,0))=0), "-", IF(SUM(IF('CO-PO Mapping'!R$2,$AH33*$AB$29,0),IF('CO-PO Mapping'!R$3,$AI33*$AC$29,0),IF('CO-PO Mapping'!R$4,$AJ33*$AD$29,0),IF('CO-PO Mapping'!R$5,$AK33*$AE$29,0),IF('CO-PO Mapping'!R$6,$AL33*$AF$29,0),IF('CO-PO Mapping'!R$7,$AM33*$AG$29,0))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3" s="95" t="str">
        <f>IF('CO-PO Mapping'!S$2, IF(OR($AN33="-",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IF(OR($AP33="-", SUM( IF('CO-PO Mapping'!S$2,$AB$29,0), IF('CO-PO Mapping'!S$3,$AC$29,0), IF('CO-PO Mapping'!S$4,$AD$29,0), IF('CO-PO Mapping'!S$5,$AE$29,0), IF('CO-PO Mapping'!S$6,$AF$29,0), IF('CO-PO Mapping'!S$7,$AG$29,0) )=0), "-", IF( SUM( IF('CO-PO Mapping'!S$2,$AH33*$AB$29,0), IF('CO-PO Mapping'!S$3,$AI33*$AC$29,0), IF('CO-PO Mapping'!S$4,$AJ33*$AD$29,0), IF('CO-PO Mapping'!S$5,$AK33*$AE$29,0), IF('CO-PO Mapping'!S$6,$AL33*$AF$29,0), IF('CO-PO Mapping'!S$7,$AM33*$AG$29,0)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IF('CO-PO Mapping'!S$6, IF(OR($AR33="-",SUM(IF('CO-PO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IF('CO-PO Mapping'!S$7, IF(OR($AS33="-",SUM(IF('CO-PO Mapping'!S$2,$AB$29,0),IF('CO-PO Mapping'!S$3,$AC$29,0),IF('CO-PO Mapping'!S$4,$AD$29,0),IF('CO-PO Mapping'!S$5,$AE$29,0),IF('CO-PO Mapping'!S$6,$AF$29,0),IF('CO-PO Mapping'!S$7,$AG$29,0))=0), "-", IF(SUM(IF('CO-PO Mapping'!S$2,$AH33*$AB$29,0),IF('CO-PO Mapping'!S$3,$AI33*$AC$29,0),IF('CO-PO Mapping'!S$4,$AJ33*$AD$29,0),IF('CO-PO Mapping'!S$5,$AK33*$AE$29,0),IF('CO-PO Mapping'!S$6,$AL33*$AF$29,0),IF('CO-PO Mapping'!S$7,$AM33*$AG$29,0))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3" s="95" t="str">
        <f>IF('CO-PO Mapping'!T$2, IF(OR($AN33="-",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IF(OR($AP33="-", SUM( IF('CO-PO Mapping'!T$2,$AB$29,0), IF('CO-PO Mapping'!T$3,$AC$29,0), IF('CO-PO Mapping'!T$4,$AD$29,0), IF('CO-PO Mapping'!T$5,$AE$29,0), IF('CO-PO Mapping'!T$6,$AF$29,0), IF('CO-PO Mapping'!T$7,$AG$29,0) )=0), "-", IF( SUM( IF('CO-PO Mapping'!T$2,$AH33*$AB$29,0), IF('CO-PO Mapping'!T$3,$AI33*$AC$29,0), IF('CO-PO Mapping'!T$4,$AJ33*$AD$29,0), IF('CO-PO Mapping'!T$5,$AK33*$AE$29,0), IF('CO-PO Mapping'!T$6,$AL33*$AF$29,0), IF('CO-PO Mapping'!T$7,$AM33*$AG$29,0)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IF('CO-PO Mapping'!T$6, IF(OR($AR33="-",SUM(IF('CO-PO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IF('CO-PO Mapping'!T$7, IF(OR($AS33="-",SUM(IF('CO-PO Mapping'!T$2,$AB$29,0),IF('CO-PO Mapping'!T$3,$AC$29,0),IF('CO-PO Mapping'!T$4,$AD$29,0),IF('CO-PO Mapping'!T$5,$AE$29,0),IF('CO-PO Mapping'!T$6,$AF$29,0),IF('CO-PO Mapping'!T$7,$AG$29,0))=0), "-", IF(SUM(IF('CO-PO Mapping'!T$2,$AH33*$AB$29,0),IF('CO-PO Mapping'!T$3,$AI33*$AC$29,0),IF('CO-PO Mapping'!T$4,$AJ33*$AD$29,0),IF('CO-PO Mapping'!T$5,$AK33*$AE$29,0),IF('CO-PO Mapping'!T$6,$AL33*$AF$29,0),IF('CO-PO Mapping'!T$7,$AM33*$AG$29,0))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3" s="95" t="str">
        <f>IF('CO-PO Mapping'!U$2, IF(OR($AN33="-",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IF(OR($AP33="-", SUM( IF('CO-PO Mapping'!U$2,$AB$29,0), IF('CO-PO Mapping'!U$3,$AC$29,0), IF('CO-PO Mapping'!U$4,$AD$29,0), IF('CO-PO Mapping'!U$5,$AE$29,0), IF('CO-PO Mapping'!U$6,$AF$29,0), IF('CO-PO Mapping'!U$7,$AG$29,0) )=0), "-", IF( SUM( IF('CO-PO Mapping'!U$2,$AH33*$AB$29,0), IF('CO-PO Mapping'!U$3,$AI33*$AC$29,0), IF('CO-PO Mapping'!U$4,$AJ33*$AD$29,0), IF('CO-PO Mapping'!U$5,$AK33*$AE$29,0), IF('CO-PO Mapping'!U$6,$AL33*$AF$29,0), IF('CO-PO Mapping'!U$7,$AM33*$AG$29,0)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IF('CO-PO Mapping'!U$6, IF(OR($AR33="-",SUM(IF('CO-PO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IF('CO-PO Mapping'!U$7, IF(OR($AS33="-",SUM(IF('CO-PO Mapping'!U$2,$AB$29,0),IF('CO-PO Mapping'!U$3,$AC$29,0),IF('CO-PO Mapping'!U$4,$AD$29,0),IF('CO-PO Mapping'!U$5,$AE$29,0),IF('CO-PO Mapping'!U$6,$AF$29,0),IF('CO-PO Mapping'!U$7,$AG$29,0))=0), "-", IF(SUM(IF('CO-PO Mapping'!U$2,$AH33*$AB$29,0),IF('CO-PO Mapping'!U$3,$AI33*$AC$29,0),IF('CO-PO Mapping'!U$4,$AJ33*$AD$29,0),IF('CO-PO Mapping'!U$5,$AK33*$AE$29,0),IF('CO-PO Mapping'!U$6,$AL33*$AF$29,0),IF('CO-PO Mapping'!U$7,$AM33*$AG$29,0))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3" s="95" t="str">
        <f>IF('CO-PO Mapping'!V$2, IF(OR($AN33="-",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IF(OR($AP33="-", SUM( IF('CO-PO Mapping'!V$2,$AB$29,0), IF('CO-PO Mapping'!V$3,$AC$29,0), IF('CO-PO Mapping'!V$4,$AD$29,0), IF('CO-PO Mapping'!V$5,$AE$29,0), IF('CO-PO Mapping'!V$6,$AF$29,0), IF('CO-PO Mapping'!V$7,$AG$29,0) )=0), "-", IF( SUM( IF('CO-PO Mapping'!V$2,$AH33*$AB$29,0), IF('CO-PO Mapping'!V$3,$AI33*$AC$29,0), IF('CO-PO Mapping'!V$4,$AJ33*$AD$29,0), IF('CO-PO Mapping'!V$5,$AK33*$AE$29,0), IF('CO-PO Mapping'!V$6,$AL33*$AF$29,0), IF('CO-PO Mapping'!V$7,$AM33*$AG$29,0)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IF('CO-PO Mapping'!V$6, IF(OR($AR33="-",SUM(IF('CO-PO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IF('CO-PO Mapping'!V$7, IF(OR($AS33="-",SUM(IF('CO-PO Mapping'!V$2,$AB$29,0),IF('CO-PO Mapping'!V$3,$AC$29,0),IF('CO-PO Mapping'!V$4,$AD$29,0),IF('CO-PO Mapping'!V$5,$AE$29,0),IF('CO-PO Mapping'!V$6,$AF$29,0),IF('CO-PO Mapping'!V$7,$AG$29,0))=0), "-", IF(SUM(IF('CO-PO Mapping'!V$2,$AH33*$AB$29,0),IF('CO-PO Mapping'!V$3,$AI33*$AC$29,0),IF('CO-PO Mapping'!V$4,$AJ33*$AD$29,0),IF('CO-PO Mapping'!V$5,$AK33*$AE$29,0),IF('CO-PO Mapping'!V$6,$AL33*$AF$29,0),IF('CO-PO Mapping'!V$7,$AM33*$AG$29,0))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3" s="95" t="str">
        <f>IF('CO-PO Mapping'!W$2, IF(OR($AN33="-",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IF(OR($AP33="-", SUM( IF('CO-PO Mapping'!W$2,$AB$29,0), IF('CO-PO Mapping'!W$3,$AC$29,0), IF('CO-PO Mapping'!W$4,$AD$29,0), IF('CO-PO Mapping'!W$5,$AE$29,0), IF('CO-PO Mapping'!W$6,$AF$29,0), IF('CO-PO Mapping'!W$7,$AG$29,0) )=0), "-", IF( SUM( IF('CO-PO Mapping'!W$2,$AH33*$AB$29,0), IF('CO-PO Mapping'!W$3,$AI33*$AC$29,0), IF('CO-PO Mapping'!W$4,$AJ33*$AD$29,0), IF('CO-PO Mapping'!W$5,$AK33*$AE$29,0), IF('CO-PO Mapping'!W$6,$AL33*$AF$29,0), IF('CO-PO Mapping'!W$7,$AM33*$AG$29,0)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IF('CO-PO Mapping'!W$6, IF(OR($AR33="-",SUM(IF('CO-PO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IF('CO-PO Mapping'!W$7, IF(OR($AS33="-",SUM(IF('CO-PO Mapping'!W$2,$AB$29,0),IF('CO-PO Mapping'!W$3,$AC$29,0),IF('CO-PO Mapping'!W$4,$AD$29,0),IF('CO-PO Mapping'!W$5,$AE$29,0),IF('CO-PO Mapping'!W$6,$AF$29,0),IF('CO-PO Mapping'!W$7,$AG$29,0))=0), "-", IF(SUM(IF('CO-PO Mapping'!W$2,$AH33*$AB$29,0),IF('CO-PO Mapping'!W$3,$AI33*$AC$29,0),IF('CO-PO Mapping'!W$4,$AJ33*$AD$29,0),IF('CO-PO Mapping'!W$5,$AK33*$AE$29,0),IF('CO-PO Mapping'!W$6,$AL33*$AF$29,0),IF('CO-PO Mapping'!W$7,$AM33*$AG$29,0))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3" s="95" t="str">
        <f>IF('CO-PO Mapping'!X$2, IF(OR($AN33="-",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IF(OR($AP33="-", SUM( IF('CO-PO Mapping'!X$2,$AB$29,0), IF('CO-PO Mapping'!X$3,$AC$29,0), IF('CO-PO Mapping'!X$4,$AD$29,0), IF('CO-PO Mapping'!X$5,$AE$29,0), IF('CO-PO Mapping'!X$6,$AF$29,0), IF('CO-PO Mapping'!X$7,$AG$29,0) )=0), "-", IF( SUM( IF('CO-PO Mapping'!X$2,$AH33*$AB$29,0), IF('CO-PO Mapping'!X$3,$AI33*$AC$29,0), IF('CO-PO Mapping'!X$4,$AJ33*$AD$29,0), IF('CO-PO Mapping'!X$5,$AK33*$AE$29,0), IF('CO-PO Mapping'!X$6,$AL33*$AF$29,0), IF('CO-PO Mapping'!X$7,$AM33*$AG$29,0)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IF('CO-PO Mapping'!X$6, IF(OR($AR33="-",SUM(IF('CO-PO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IF('CO-PO Mapping'!X$7, IF(OR($AS33="-",SUM(IF('CO-PO Mapping'!X$2,$AB$29,0),IF('CO-PO Mapping'!X$3,$AC$29,0),IF('CO-PO Mapping'!X$4,$AD$29,0),IF('CO-PO Mapping'!X$5,$AE$29,0),IF('CO-PO Mapping'!X$6,$AF$29,0),IF('CO-PO Mapping'!X$7,$AG$29,0))=0), "-", IF(SUM(IF('CO-PO Mapping'!X$2,$AH33*$AB$29,0),IF('CO-PO Mapping'!X$3,$AI33*$AC$29,0),IF('CO-PO Mapping'!X$4,$AJ33*$AD$29,0),IF('CO-PO Mapping'!X$5,$AK33*$AE$29,0),IF('CO-PO Mapping'!X$6,$AL33*$AF$29,0),IF('CO-PO Mapping'!X$7,$AM33*$AG$29,0))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3" s="95" t="str">
        <f>IF('CO-PO Mapping'!Y$2, IF(OR($AN33="-",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IF(OR($AP33="-", SUM( IF('CO-PO Mapping'!Y$2,$AB$29,0), IF('CO-PO Mapping'!Y$3,$AC$29,0), IF('CO-PO Mapping'!Y$4,$AD$29,0), IF('CO-PO Mapping'!Y$5,$AE$29,0), IF('CO-PO Mapping'!Y$6,$AF$29,0), IF('CO-PO Mapping'!Y$7,$AG$29,0) )=0), "-", IF( SUM( IF('CO-PO Mapping'!Y$2,$AH33*$AB$29,0), IF('CO-PO Mapping'!Y$3,$AI33*$AC$29,0), IF('CO-PO Mapping'!Y$4,$AJ33*$AD$29,0), IF('CO-PO Mapping'!Y$5,$AK33*$AE$29,0), IF('CO-PO Mapping'!Y$6,$AL33*$AF$29,0), IF('CO-PO Mapping'!Y$7,$AM33*$AG$29,0)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IF('CO-PO Mapping'!Y$6, IF(OR($AR33="-",SUM(IF('CO-PO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IF('CO-PO Mapping'!Y$7, IF(OR($AS33="-",SUM(IF('CO-PO Mapping'!Y$2,$AB$29,0),IF('CO-PO Mapping'!Y$3,$AC$29,0),IF('CO-PO Mapping'!Y$4,$AD$29,0),IF('CO-PO Mapping'!Y$5,$AE$29,0),IF('CO-PO Mapping'!Y$6,$AF$29,0),IF('CO-PO Mapping'!Y$7,$AG$29,0))=0), "-", IF(SUM(IF('CO-PO Mapping'!Y$2,$AH33*$AB$29,0),IF('CO-PO Mapping'!Y$3,$AI33*$AC$29,0),IF('CO-PO Mapping'!Y$4,$AJ33*$AD$29,0),IF('CO-PO Mapping'!Y$5,$AK33*$AE$29,0),IF('CO-PO Mapping'!Y$6,$AL33*$AF$29,0),IF('CO-PO Mapping'!Y$7,$AM33*$AG$29,0))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3" s="95" t="str">
        <f>IF('CO-PO Mapping'!Z$2, IF(OR($AN33="-",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IF(OR($AP33="-", SUM( IF('CO-PO Mapping'!Z$2,$AB$29,0), IF('CO-PO Mapping'!Z$3,$AC$29,0), IF('CO-PO Mapping'!Z$4,$AD$29,0), IF('CO-PO Mapping'!Z$5,$AE$29,0), IF('CO-PO Mapping'!Z$6,$AF$29,0), IF('CO-PO Mapping'!Z$7,$AG$29,0) )=0), "-", IF( SUM( IF('CO-PO Mapping'!Z$2,$AH33*$AB$29,0), IF('CO-PO Mapping'!Z$3,$AI33*$AC$29,0), IF('CO-PO Mapping'!Z$4,$AJ33*$AD$29,0), IF('CO-PO Mapping'!Z$5,$AK33*$AE$29,0), IF('CO-PO Mapping'!Z$6,$AL33*$AF$29,0), IF('CO-PO Mapping'!Z$7,$AM33*$AG$29,0)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IF('CO-PO Mapping'!Z$6, IF(OR($AR33="-",SUM(IF('CO-PO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IF('CO-PO Mapping'!Z$7, IF(OR($AS33="-",SUM(IF('CO-PO Mapping'!Z$2,$AB$29,0),IF('CO-PO Mapping'!Z$3,$AC$29,0),IF('CO-PO Mapping'!Z$4,$AD$29,0),IF('CO-PO Mapping'!Z$5,$AE$29,0),IF('CO-PO Mapping'!Z$6,$AF$29,0),IF('CO-PO Mapping'!Z$7,$AG$29,0))=0), "-", IF(SUM(IF('CO-PO Mapping'!Z$2,$AH33*$AB$29,0),IF('CO-PO Mapping'!Z$3,$AI33*$AC$29,0),IF('CO-PO Mapping'!Z$4,$AJ33*$AD$29,0),IF('CO-PO Mapping'!Z$5,$AK33*$AE$29,0),IF('CO-PO Mapping'!Z$6,$AL33*$AF$29,0),IF('CO-PO Mapping'!Z$7,$AM33*$AG$29,0))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4" spans="1:57" ht="16.5" customHeight="1">
      <c r="A34" s="117">
        <v>22235103067</v>
      </c>
      <c r="B34" s="118" t="s">
        <v>151</v>
      </c>
      <c r="C34" s="70">
        <v>4</v>
      </c>
      <c r="D34" s="70"/>
      <c r="E34" s="71">
        <v>20</v>
      </c>
      <c r="F34" s="70"/>
      <c r="G34" s="71"/>
      <c r="H34" s="103">
        <f t="shared" si="2"/>
        <v>24</v>
      </c>
      <c r="I34" s="77">
        <v>5</v>
      </c>
      <c r="J34" s="75">
        <v>5</v>
      </c>
      <c r="K34" s="75">
        <v>8</v>
      </c>
      <c r="L34" s="75"/>
      <c r="M34" s="75"/>
      <c r="N34" s="75"/>
      <c r="O34" s="105">
        <f t="shared" si="3"/>
        <v>18</v>
      </c>
      <c r="P34" s="75">
        <v>11</v>
      </c>
      <c r="Q34" s="75">
        <v>14</v>
      </c>
      <c r="R34" s="75"/>
      <c r="S34" s="75"/>
      <c r="T34" s="75"/>
      <c r="U34" s="75"/>
      <c r="V34" s="104">
        <f t="shared" si="4"/>
        <v>25</v>
      </c>
      <c r="W34" s="83">
        <f t="shared" si="5"/>
        <v>67</v>
      </c>
      <c r="X34" s="98" t="str">
        <f t="shared" si="10"/>
        <v>B (Plus)</v>
      </c>
      <c r="Y34" s="41"/>
      <c r="Z34" s="42">
        <f t="shared" si="6"/>
        <v>22235103067</v>
      </c>
      <c r="AA34" s="43" t="str">
        <f t="shared" si="7"/>
        <v>Md. Redwan Hossain Rakib</v>
      </c>
      <c r="AB34" s="90">
        <f t="shared" si="11"/>
        <v>29</v>
      </c>
      <c r="AC34" s="90">
        <f t="shared" si="8"/>
        <v>16</v>
      </c>
      <c r="AD34" s="90">
        <f t="shared" si="8"/>
        <v>22</v>
      </c>
      <c r="AE34" s="90">
        <f t="shared" si="8"/>
        <v>0</v>
      </c>
      <c r="AF34" s="90">
        <f t="shared" si="8"/>
        <v>0</v>
      </c>
      <c r="AG34" s="90">
        <f t="shared" si="8"/>
        <v>0</v>
      </c>
      <c r="AH34" s="92">
        <f t="shared" si="12"/>
        <v>72.5</v>
      </c>
      <c r="AI34" s="92">
        <f t="shared" si="13"/>
        <v>53.333333333333336</v>
      </c>
      <c r="AJ34" s="92">
        <f t="shared" si="14"/>
        <v>73.333333333333329</v>
      </c>
      <c r="AK34" s="92">
        <f t="shared" si="22"/>
        <v>0</v>
      </c>
      <c r="AL34" s="92">
        <f t="shared" si="15"/>
        <v>0</v>
      </c>
      <c r="AM34" s="92">
        <f t="shared" si="16"/>
        <v>0</v>
      </c>
      <c r="AN34" s="93" t="str">
        <f t="shared" si="23"/>
        <v>Y</v>
      </c>
      <c r="AO34" s="93" t="str">
        <f t="shared" si="17"/>
        <v>Y</v>
      </c>
      <c r="AP34" s="93" t="str">
        <f t="shared" si="18"/>
        <v>Y</v>
      </c>
      <c r="AQ34" s="93" t="str">
        <f t="shared" si="19"/>
        <v>N</v>
      </c>
      <c r="AR34" s="93" t="str">
        <f t="shared" si="20"/>
        <v>N</v>
      </c>
      <c r="AS34" s="93" t="str">
        <f t="shared" si="21"/>
        <v>N</v>
      </c>
      <c r="AT34" s="95" t="str">
        <f>IF('CO-PO Mapping'!O$2, IF(OR($AN34="-",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IF(OR($AP34="-", SUM( IF('CO-PO Mapping'!O$2,$AB$29,0), IF('CO-PO Mapping'!O$3,$AC$29,0), IF('CO-PO Mapping'!O$4,$AD$29,0), IF('CO-PO Mapping'!O$5,$AE$29,0), IF('CO-PO Mapping'!O$6,$AF$29,0), IF('CO-PO Mapping'!O$7,$AG$29,0) )=0), "-", IF( SUM( IF('CO-PO Mapping'!O$2,$AH34*$AB$29,0), IF('CO-PO Mapping'!O$3,$AI34*$AC$29,0), IF('CO-PO Mapping'!O$4,$AJ34*$AD$29,0), IF('CO-PO Mapping'!O$5,$AK34*$AE$29,0), IF('CO-PO Mapping'!O$6,$AL34*$AF$29,0), IF('CO-PO Mapping'!O$7,$AM34*$AG$29,0)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IF('CO-PO Mapping'!O$6, IF(OR($AR34="-",SUM(IF('CO-PO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IF('CO-PO Mapping'!O$7, IF(OR($AS34="-",SUM(IF('CO-PO Mapping'!O$2,$AB$29,0),IF('CO-PO Mapping'!O$3,$AC$29,0),IF('CO-PO Mapping'!O$4,$AD$29,0),IF('CO-PO Mapping'!O$5,$AE$29,0),IF('CO-PO Mapping'!O$6,$AF$29,0),IF('CO-PO Mapping'!O$7,$AG$29,0))=0), "-", IF(SUM(IF('CO-PO Mapping'!O$2,$AH34*$AB$29,0),IF('CO-PO Mapping'!O$3,$AI34*$AC$29,0),IF('CO-PO Mapping'!O$4,$AJ34*$AD$29,0),IF('CO-PO Mapping'!O$5,$AK34*$AE$29,0),IF('CO-PO Mapping'!O$6,$AL34*$AF$29,0),IF('CO-PO Mapping'!O$7,$AM34*$AG$29,0))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4" s="95" t="str">
        <f>IF('CO-PO Mapping'!P$2, IF(OR($AN34="-",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IF(OR($AP34="-", SUM( IF('CO-PO Mapping'!P$2,$AB$29,0), IF('CO-PO Mapping'!P$3,$AC$29,0), IF('CO-PO Mapping'!P$4,$AD$29,0), IF('CO-PO Mapping'!P$5,$AE$29,0), IF('CO-PO Mapping'!P$6,$AF$29,0), IF('CO-PO Mapping'!P$7,$AG$29,0) )=0), "-", IF( SUM( IF('CO-PO Mapping'!P$2,$AH34*$AB$29,0), IF('CO-PO Mapping'!P$3,$AI34*$AC$29,0), IF('CO-PO Mapping'!P$4,$AJ34*$AD$29,0), IF('CO-PO Mapping'!P$5,$AK34*$AE$29,0), IF('CO-PO Mapping'!P$6,$AL34*$AF$29,0), IF('CO-PO Mapping'!P$7,$AM34*$AG$29,0)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IF('CO-PO Mapping'!P$6, IF(OR($AR34="-",SUM(IF('CO-PO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IF('CO-PO Mapping'!P$7, IF(OR($AS34="-",SUM(IF('CO-PO Mapping'!P$2,$AB$29,0),IF('CO-PO Mapping'!P$3,$AC$29,0),IF('CO-PO Mapping'!P$4,$AD$29,0),IF('CO-PO Mapping'!P$5,$AE$29,0),IF('CO-PO Mapping'!P$6,$AF$29,0),IF('CO-PO Mapping'!P$7,$AG$29,0))=0), "-", IF(SUM(IF('CO-PO Mapping'!P$2,$AH34*$AB$29,0),IF('CO-PO Mapping'!P$3,$AI34*$AC$29,0),IF('CO-PO Mapping'!P$4,$AJ34*$AD$29,0),IF('CO-PO Mapping'!P$5,$AK34*$AE$29,0),IF('CO-PO Mapping'!P$6,$AL34*$AF$29,0),IF('CO-PO Mapping'!P$7,$AM34*$AG$29,0))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34" s="95" t="str">
        <f>IF('CO-PO Mapping'!Q$2, IF(OR($AN34="-",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IF(OR($AP34="-", SUM( IF('CO-PO Mapping'!Q$2,$AB$29,0), IF('CO-PO Mapping'!Q$3,$AC$29,0), IF('CO-PO Mapping'!Q$4,$AD$29,0), IF('CO-PO Mapping'!Q$5,$AE$29,0), IF('CO-PO Mapping'!Q$6,$AF$29,0), IF('CO-PO Mapping'!Q$7,$AG$29,0) )=0), "-", IF( SUM( IF('CO-PO Mapping'!Q$2,$AH34*$AB$29,0), IF('CO-PO Mapping'!Q$3,$AI34*$AC$29,0), IF('CO-PO Mapping'!Q$4,$AJ34*$AD$29,0), IF('CO-PO Mapping'!Q$5,$AK34*$AE$29,0), IF('CO-PO Mapping'!Q$6,$AL34*$AF$29,0), IF('CO-PO Mapping'!Q$7,$AM34*$AG$29,0)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IF('CO-PO Mapping'!Q$6, IF(OR($AR34="-",SUM(IF('CO-PO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IF('CO-PO Mapping'!Q$7, IF(OR($AS34="-",SUM(IF('CO-PO Mapping'!Q$2,$AB$29,0),IF('CO-PO Mapping'!Q$3,$AC$29,0),IF('CO-PO Mapping'!Q$4,$AD$29,0),IF('CO-PO Mapping'!Q$5,$AE$29,0),IF('CO-PO Mapping'!Q$6,$AF$29,0),IF('CO-PO Mapping'!Q$7,$AG$29,0))=0), "-", IF(SUM(IF('CO-PO Mapping'!Q$2,$AH34*$AB$29,0),IF('CO-PO Mapping'!Q$3,$AI34*$AC$29,0),IF('CO-PO Mapping'!Q$4,$AJ34*$AD$29,0),IF('CO-PO Mapping'!Q$5,$AK34*$AE$29,0),IF('CO-PO Mapping'!Q$6,$AL34*$AF$29,0),IF('CO-PO Mapping'!Q$7,$AM34*$AG$29,0))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34" s="95" t="str">
        <f>IF('CO-PO Mapping'!R$2, IF(OR($AN34="-",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IF(OR($AP34="-", SUM( IF('CO-PO Mapping'!R$2,$AB$29,0), IF('CO-PO Mapping'!R$3,$AC$29,0), IF('CO-PO Mapping'!R$4,$AD$29,0), IF('CO-PO Mapping'!R$5,$AE$29,0), IF('CO-PO Mapping'!R$6,$AF$29,0), IF('CO-PO Mapping'!R$7,$AG$29,0) )=0), "-", IF( SUM( IF('CO-PO Mapping'!R$2,$AH34*$AB$29,0), IF('CO-PO Mapping'!R$3,$AI34*$AC$29,0), IF('CO-PO Mapping'!R$4,$AJ34*$AD$29,0), IF('CO-PO Mapping'!R$5,$AK34*$AE$29,0), IF('CO-PO Mapping'!R$6,$AL34*$AF$29,0), IF('CO-PO Mapping'!R$7,$AM34*$AG$29,0)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IF('CO-PO Mapping'!R$6, IF(OR($AR34="-",SUM(IF('CO-PO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IF('CO-PO Mapping'!R$7, IF(OR($AS34="-",SUM(IF('CO-PO Mapping'!R$2,$AB$29,0),IF('CO-PO Mapping'!R$3,$AC$29,0),IF('CO-PO Mapping'!R$4,$AD$29,0),IF('CO-PO Mapping'!R$5,$AE$29,0),IF('CO-PO Mapping'!R$6,$AF$29,0),IF('CO-PO Mapping'!R$7,$AG$29,0))=0), "-", IF(SUM(IF('CO-PO Mapping'!R$2,$AH34*$AB$29,0),IF('CO-PO Mapping'!R$3,$AI34*$AC$29,0),IF('CO-PO Mapping'!R$4,$AJ34*$AD$29,0),IF('CO-PO Mapping'!R$5,$AK34*$AE$29,0),IF('CO-PO Mapping'!R$6,$AL34*$AF$29,0),IF('CO-PO Mapping'!R$7,$AM34*$AG$29,0))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4" s="95" t="str">
        <f>IF('CO-PO Mapping'!S$2, IF(OR($AN34="-",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IF(OR($AP34="-", SUM( IF('CO-PO Mapping'!S$2,$AB$29,0), IF('CO-PO Mapping'!S$3,$AC$29,0), IF('CO-PO Mapping'!S$4,$AD$29,0), IF('CO-PO Mapping'!S$5,$AE$29,0), IF('CO-PO Mapping'!S$6,$AF$29,0), IF('CO-PO Mapping'!S$7,$AG$29,0) )=0), "-", IF( SUM( IF('CO-PO Mapping'!S$2,$AH34*$AB$29,0), IF('CO-PO Mapping'!S$3,$AI34*$AC$29,0), IF('CO-PO Mapping'!S$4,$AJ34*$AD$29,0), IF('CO-PO Mapping'!S$5,$AK34*$AE$29,0), IF('CO-PO Mapping'!S$6,$AL34*$AF$29,0), IF('CO-PO Mapping'!S$7,$AM34*$AG$29,0)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IF('CO-PO Mapping'!S$6, IF(OR($AR34="-",SUM(IF('CO-PO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IF('CO-PO Mapping'!S$7, IF(OR($AS34="-",SUM(IF('CO-PO Mapping'!S$2,$AB$29,0),IF('CO-PO Mapping'!S$3,$AC$29,0),IF('CO-PO Mapping'!S$4,$AD$29,0),IF('CO-PO Mapping'!S$5,$AE$29,0),IF('CO-PO Mapping'!S$6,$AF$29,0),IF('CO-PO Mapping'!S$7,$AG$29,0))=0), "-", IF(SUM(IF('CO-PO Mapping'!S$2,$AH34*$AB$29,0),IF('CO-PO Mapping'!S$3,$AI34*$AC$29,0),IF('CO-PO Mapping'!S$4,$AJ34*$AD$29,0),IF('CO-PO Mapping'!S$5,$AK34*$AE$29,0),IF('CO-PO Mapping'!S$6,$AL34*$AF$29,0),IF('CO-PO Mapping'!S$7,$AM34*$AG$29,0))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4" s="95" t="str">
        <f>IF('CO-PO Mapping'!T$2, IF(OR($AN34="-",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IF(OR($AP34="-", SUM( IF('CO-PO Mapping'!T$2,$AB$29,0), IF('CO-PO Mapping'!T$3,$AC$29,0), IF('CO-PO Mapping'!T$4,$AD$29,0), IF('CO-PO Mapping'!T$5,$AE$29,0), IF('CO-PO Mapping'!T$6,$AF$29,0), IF('CO-PO Mapping'!T$7,$AG$29,0) )=0), "-", IF( SUM( IF('CO-PO Mapping'!T$2,$AH34*$AB$29,0), IF('CO-PO Mapping'!T$3,$AI34*$AC$29,0), IF('CO-PO Mapping'!T$4,$AJ34*$AD$29,0), IF('CO-PO Mapping'!T$5,$AK34*$AE$29,0), IF('CO-PO Mapping'!T$6,$AL34*$AF$29,0), IF('CO-PO Mapping'!T$7,$AM34*$AG$29,0)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IF('CO-PO Mapping'!T$6, IF(OR($AR34="-",SUM(IF('CO-PO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IF('CO-PO Mapping'!T$7, IF(OR($AS34="-",SUM(IF('CO-PO Mapping'!T$2,$AB$29,0),IF('CO-PO Mapping'!T$3,$AC$29,0),IF('CO-PO Mapping'!T$4,$AD$29,0),IF('CO-PO Mapping'!T$5,$AE$29,0),IF('CO-PO Mapping'!T$6,$AF$29,0),IF('CO-PO Mapping'!T$7,$AG$29,0))=0), "-", IF(SUM(IF('CO-PO Mapping'!T$2,$AH34*$AB$29,0),IF('CO-PO Mapping'!T$3,$AI34*$AC$29,0),IF('CO-PO Mapping'!T$4,$AJ34*$AD$29,0),IF('CO-PO Mapping'!T$5,$AK34*$AE$29,0),IF('CO-PO Mapping'!T$6,$AL34*$AF$29,0),IF('CO-PO Mapping'!T$7,$AM34*$AG$29,0))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4" s="95" t="str">
        <f>IF('CO-PO Mapping'!U$2, IF(OR($AN34="-",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IF(OR($AP34="-", SUM( IF('CO-PO Mapping'!U$2,$AB$29,0), IF('CO-PO Mapping'!U$3,$AC$29,0), IF('CO-PO Mapping'!U$4,$AD$29,0), IF('CO-PO Mapping'!U$5,$AE$29,0), IF('CO-PO Mapping'!U$6,$AF$29,0), IF('CO-PO Mapping'!U$7,$AG$29,0) )=0), "-", IF( SUM( IF('CO-PO Mapping'!U$2,$AH34*$AB$29,0), IF('CO-PO Mapping'!U$3,$AI34*$AC$29,0), IF('CO-PO Mapping'!U$4,$AJ34*$AD$29,0), IF('CO-PO Mapping'!U$5,$AK34*$AE$29,0), IF('CO-PO Mapping'!U$6,$AL34*$AF$29,0), IF('CO-PO Mapping'!U$7,$AM34*$AG$29,0)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IF('CO-PO Mapping'!U$6, IF(OR($AR34="-",SUM(IF('CO-PO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IF('CO-PO Mapping'!U$7, IF(OR($AS34="-",SUM(IF('CO-PO Mapping'!U$2,$AB$29,0),IF('CO-PO Mapping'!U$3,$AC$29,0),IF('CO-PO Mapping'!U$4,$AD$29,0),IF('CO-PO Mapping'!U$5,$AE$29,0),IF('CO-PO Mapping'!U$6,$AF$29,0),IF('CO-PO Mapping'!U$7,$AG$29,0))=0), "-", IF(SUM(IF('CO-PO Mapping'!U$2,$AH34*$AB$29,0),IF('CO-PO Mapping'!U$3,$AI34*$AC$29,0),IF('CO-PO Mapping'!U$4,$AJ34*$AD$29,0),IF('CO-PO Mapping'!U$5,$AK34*$AE$29,0),IF('CO-PO Mapping'!U$6,$AL34*$AF$29,0),IF('CO-PO Mapping'!U$7,$AM34*$AG$29,0))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4" s="95" t="str">
        <f>IF('CO-PO Mapping'!V$2, IF(OR($AN34="-",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IF(OR($AP34="-", SUM( IF('CO-PO Mapping'!V$2,$AB$29,0), IF('CO-PO Mapping'!V$3,$AC$29,0), IF('CO-PO Mapping'!V$4,$AD$29,0), IF('CO-PO Mapping'!V$5,$AE$29,0), IF('CO-PO Mapping'!V$6,$AF$29,0), IF('CO-PO Mapping'!V$7,$AG$29,0) )=0), "-", IF( SUM( IF('CO-PO Mapping'!V$2,$AH34*$AB$29,0), IF('CO-PO Mapping'!V$3,$AI34*$AC$29,0), IF('CO-PO Mapping'!V$4,$AJ34*$AD$29,0), IF('CO-PO Mapping'!V$5,$AK34*$AE$29,0), IF('CO-PO Mapping'!V$6,$AL34*$AF$29,0), IF('CO-PO Mapping'!V$7,$AM34*$AG$29,0)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IF('CO-PO Mapping'!V$6, IF(OR($AR34="-",SUM(IF('CO-PO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IF('CO-PO Mapping'!V$7, IF(OR($AS34="-",SUM(IF('CO-PO Mapping'!V$2,$AB$29,0),IF('CO-PO Mapping'!V$3,$AC$29,0),IF('CO-PO Mapping'!V$4,$AD$29,0),IF('CO-PO Mapping'!V$5,$AE$29,0),IF('CO-PO Mapping'!V$6,$AF$29,0),IF('CO-PO Mapping'!V$7,$AG$29,0))=0), "-", IF(SUM(IF('CO-PO Mapping'!V$2,$AH34*$AB$29,0),IF('CO-PO Mapping'!V$3,$AI34*$AC$29,0),IF('CO-PO Mapping'!V$4,$AJ34*$AD$29,0),IF('CO-PO Mapping'!V$5,$AK34*$AE$29,0),IF('CO-PO Mapping'!V$6,$AL34*$AF$29,0),IF('CO-PO Mapping'!V$7,$AM34*$AG$29,0))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4" s="95" t="str">
        <f>IF('CO-PO Mapping'!W$2, IF(OR($AN34="-",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IF(OR($AP34="-", SUM( IF('CO-PO Mapping'!W$2,$AB$29,0), IF('CO-PO Mapping'!W$3,$AC$29,0), IF('CO-PO Mapping'!W$4,$AD$29,0), IF('CO-PO Mapping'!W$5,$AE$29,0), IF('CO-PO Mapping'!W$6,$AF$29,0), IF('CO-PO Mapping'!W$7,$AG$29,0) )=0), "-", IF( SUM( IF('CO-PO Mapping'!W$2,$AH34*$AB$29,0), IF('CO-PO Mapping'!W$3,$AI34*$AC$29,0), IF('CO-PO Mapping'!W$4,$AJ34*$AD$29,0), IF('CO-PO Mapping'!W$5,$AK34*$AE$29,0), IF('CO-PO Mapping'!W$6,$AL34*$AF$29,0), IF('CO-PO Mapping'!W$7,$AM34*$AG$29,0)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IF('CO-PO Mapping'!W$6, IF(OR($AR34="-",SUM(IF('CO-PO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IF('CO-PO Mapping'!W$7, IF(OR($AS34="-",SUM(IF('CO-PO Mapping'!W$2,$AB$29,0),IF('CO-PO Mapping'!W$3,$AC$29,0),IF('CO-PO Mapping'!W$4,$AD$29,0),IF('CO-PO Mapping'!W$5,$AE$29,0),IF('CO-PO Mapping'!W$6,$AF$29,0),IF('CO-PO Mapping'!W$7,$AG$29,0))=0), "-", IF(SUM(IF('CO-PO Mapping'!W$2,$AH34*$AB$29,0),IF('CO-PO Mapping'!W$3,$AI34*$AC$29,0),IF('CO-PO Mapping'!W$4,$AJ34*$AD$29,0),IF('CO-PO Mapping'!W$5,$AK34*$AE$29,0),IF('CO-PO Mapping'!W$6,$AL34*$AF$29,0),IF('CO-PO Mapping'!W$7,$AM34*$AG$29,0))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4" s="95" t="str">
        <f>IF('CO-PO Mapping'!X$2, IF(OR($AN34="-",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IF(OR($AP34="-", SUM( IF('CO-PO Mapping'!X$2,$AB$29,0), IF('CO-PO Mapping'!X$3,$AC$29,0), IF('CO-PO Mapping'!X$4,$AD$29,0), IF('CO-PO Mapping'!X$5,$AE$29,0), IF('CO-PO Mapping'!X$6,$AF$29,0), IF('CO-PO Mapping'!X$7,$AG$29,0) )=0), "-", IF( SUM( IF('CO-PO Mapping'!X$2,$AH34*$AB$29,0), IF('CO-PO Mapping'!X$3,$AI34*$AC$29,0), IF('CO-PO Mapping'!X$4,$AJ34*$AD$29,0), IF('CO-PO Mapping'!X$5,$AK34*$AE$29,0), IF('CO-PO Mapping'!X$6,$AL34*$AF$29,0), IF('CO-PO Mapping'!X$7,$AM34*$AG$29,0)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IF('CO-PO Mapping'!X$6, IF(OR($AR34="-",SUM(IF('CO-PO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IF('CO-PO Mapping'!X$7, IF(OR($AS34="-",SUM(IF('CO-PO Mapping'!X$2,$AB$29,0),IF('CO-PO Mapping'!X$3,$AC$29,0),IF('CO-PO Mapping'!X$4,$AD$29,0),IF('CO-PO Mapping'!X$5,$AE$29,0),IF('CO-PO Mapping'!X$6,$AF$29,0),IF('CO-PO Mapping'!X$7,$AG$29,0))=0), "-", IF(SUM(IF('CO-PO Mapping'!X$2,$AH34*$AB$29,0),IF('CO-PO Mapping'!X$3,$AI34*$AC$29,0),IF('CO-PO Mapping'!X$4,$AJ34*$AD$29,0),IF('CO-PO Mapping'!X$5,$AK34*$AE$29,0),IF('CO-PO Mapping'!X$6,$AL34*$AF$29,0),IF('CO-PO Mapping'!X$7,$AM34*$AG$29,0))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4" s="95" t="str">
        <f>IF('CO-PO Mapping'!Y$2, IF(OR($AN34="-",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IF(OR($AP34="-", SUM( IF('CO-PO Mapping'!Y$2,$AB$29,0), IF('CO-PO Mapping'!Y$3,$AC$29,0), IF('CO-PO Mapping'!Y$4,$AD$29,0), IF('CO-PO Mapping'!Y$5,$AE$29,0), IF('CO-PO Mapping'!Y$6,$AF$29,0), IF('CO-PO Mapping'!Y$7,$AG$29,0) )=0), "-", IF( SUM( IF('CO-PO Mapping'!Y$2,$AH34*$AB$29,0), IF('CO-PO Mapping'!Y$3,$AI34*$AC$29,0), IF('CO-PO Mapping'!Y$4,$AJ34*$AD$29,0), IF('CO-PO Mapping'!Y$5,$AK34*$AE$29,0), IF('CO-PO Mapping'!Y$6,$AL34*$AF$29,0), IF('CO-PO Mapping'!Y$7,$AM34*$AG$29,0)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IF('CO-PO Mapping'!Y$6, IF(OR($AR34="-",SUM(IF('CO-PO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IF('CO-PO Mapping'!Y$7, IF(OR($AS34="-",SUM(IF('CO-PO Mapping'!Y$2,$AB$29,0),IF('CO-PO Mapping'!Y$3,$AC$29,0),IF('CO-PO Mapping'!Y$4,$AD$29,0),IF('CO-PO Mapping'!Y$5,$AE$29,0),IF('CO-PO Mapping'!Y$6,$AF$29,0),IF('CO-PO Mapping'!Y$7,$AG$29,0))=0), "-", IF(SUM(IF('CO-PO Mapping'!Y$2,$AH34*$AB$29,0),IF('CO-PO Mapping'!Y$3,$AI34*$AC$29,0),IF('CO-PO Mapping'!Y$4,$AJ34*$AD$29,0),IF('CO-PO Mapping'!Y$5,$AK34*$AE$29,0),IF('CO-PO Mapping'!Y$6,$AL34*$AF$29,0),IF('CO-PO Mapping'!Y$7,$AM34*$AG$29,0))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4" s="95" t="str">
        <f>IF('CO-PO Mapping'!Z$2, IF(OR($AN34="-",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IF(OR($AP34="-", SUM( IF('CO-PO Mapping'!Z$2,$AB$29,0), IF('CO-PO Mapping'!Z$3,$AC$29,0), IF('CO-PO Mapping'!Z$4,$AD$29,0), IF('CO-PO Mapping'!Z$5,$AE$29,0), IF('CO-PO Mapping'!Z$6,$AF$29,0), IF('CO-PO Mapping'!Z$7,$AG$29,0) )=0), "-", IF( SUM( IF('CO-PO Mapping'!Z$2,$AH34*$AB$29,0), IF('CO-PO Mapping'!Z$3,$AI34*$AC$29,0), IF('CO-PO Mapping'!Z$4,$AJ34*$AD$29,0), IF('CO-PO Mapping'!Z$5,$AK34*$AE$29,0), IF('CO-PO Mapping'!Z$6,$AL34*$AF$29,0), IF('CO-PO Mapping'!Z$7,$AM34*$AG$29,0)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IF('CO-PO Mapping'!Z$6, IF(OR($AR34="-",SUM(IF('CO-PO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IF('CO-PO Mapping'!Z$7, IF(OR($AS34="-",SUM(IF('CO-PO Mapping'!Z$2,$AB$29,0),IF('CO-PO Mapping'!Z$3,$AC$29,0),IF('CO-PO Mapping'!Z$4,$AD$29,0),IF('CO-PO Mapping'!Z$5,$AE$29,0),IF('CO-PO Mapping'!Z$6,$AF$29,0),IF('CO-PO Mapping'!Z$7,$AG$29,0))=0), "-", IF(SUM(IF('CO-PO Mapping'!Z$2,$AH34*$AB$29,0),IF('CO-PO Mapping'!Z$3,$AI34*$AC$29,0),IF('CO-PO Mapping'!Z$4,$AJ34*$AD$29,0),IF('CO-PO Mapping'!Z$5,$AK34*$AE$29,0),IF('CO-PO Mapping'!Z$6,$AL34*$AF$29,0),IF('CO-PO Mapping'!Z$7,$AM34*$AG$29,0))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5" spans="1:57" ht="16.5" customHeight="1">
      <c r="A35" s="117">
        <v>22235103075</v>
      </c>
      <c r="B35" s="118" t="s">
        <v>152</v>
      </c>
      <c r="C35" s="70">
        <v>4</v>
      </c>
      <c r="D35" s="71"/>
      <c r="E35" s="71">
        <v>20</v>
      </c>
      <c r="F35" s="71"/>
      <c r="G35" s="71"/>
      <c r="H35" s="103">
        <f t="shared" si="2"/>
        <v>24</v>
      </c>
      <c r="I35" s="75">
        <v>8</v>
      </c>
      <c r="J35" s="75">
        <v>9</v>
      </c>
      <c r="K35" s="75">
        <v>0</v>
      </c>
      <c r="L35" s="75"/>
      <c r="M35" s="75"/>
      <c r="N35" s="75"/>
      <c r="O35" s="105">
        <f t="shared" si="3"/>
        <v>17</v>
      </c>
      <c r="P35" s="75">
        <v>12</v>
      </c>
      <c r="Q35" s="75">
        <v>13</v>
      </c>
      <c r="R35" s="75"/>
      <c r="S35" s="75"/>
      <c r="T35" s="75"/>
      <c r="U35" s="75"/>
      <c r="V35" s="104">
        <f t="shared" si="4"/>
        <v>25</v>
      </c>
      <c r="W35" s="83">
        <f t="shared" si="5"/>
        <v>66</v>
      </c>
      <c r="X35" s="98" t="str">
        <f t="shared" si="10"/>
        <v>B (Plus)</v>
      </c>
      <c r="Y35" s="45"/>
      <c r="Z35" s="42">
        <f t="shared" si="6"/>
        <v>22235103075</v>
      </c>
      <c r="AA35" s="43" t="str">
        <f t="shared" si="7"/>
        <v>Ehasanul Haque</v>
      </c>
      <c r="AB35" s="90">
        <f t="shared" si="11"/>
        <v>32</v>
      </c>
      <c r="AC35" s="90">
        <f t="shared" si="8"/>
        <v>21</v>
      </c>
      <c r="AD35" s="90">
        <f t="shared" si="8"/>
        <v>13</v>
      </c>
      <c r="AE35" s="90">
        <f t="shared" si="8"/>
        <v>0</v>
      </c>
      <c r="AF35" s="90">
        <f t="shared" si="8"/>
        <v>0</v>
      </c>
      <c r="AG35" s="90">
        <f t="shared" si="8"/>
        <v>0</v>
      </c>
      <c r="AH35" s="92">
        <f t="shared" si="12"/>
        <v>80</v>
      </c>
      <c r="AI35" s="92">
        <f t="shared" si="13"/>
        <v>70</v>
      </c>
      <c r="AJ35" s="92">
        <f t="shared" si="14"/>
        <v>43.333333333333336</v>
      </c>
      <c r="AK35" s="92">
        <f t="shared" si="22"/>
        <v>0</v>
      </c>
      <c r="AL35" s="92">
        <f t="shared" si="15"/>
        <v>0</v>
      </c>
      <c r="AM35" s="92">
        <f t="shared" si="16"/>
        <v>0</v>
      </c>
      <c r="AN35" s="93" t="str">
        <f t="shared" si="23"/>
        <v>Y</v>
      </c>
      <c r="AO35" s="93" t="str">
        <f t="shared" si="17"/>
        <v>Y</v>
      </c>
      <c r="AP35" s="93" t="str">
        <f t="shared" si="18"/>
        <v>N</v>
      </c>
      <c r="AQ35" s="93" t="str">
        <f t="shared" si="19"/>
        <v>N</v>
      </c>
      <c r="AR35" s="93" t="str">
        <f t="shared" si="20"/>
        <v>N</v>
      </c>
      <c r="AS35" s="93" t="str">
        <f t="shared" si="21"/>
        <v>N</v>
      </c>
      <c r="AT35" s="95" t="str">
        <f>IF('CO-PO Mapping'!O$2, IF(OR($AN35="-",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IF(OR($AP35="-", SUM( IF('CO-PO Mapping'!O$2,$AB$29,0), IF('CO-PO Mapping'!O$3,$AC$29,0), IF('CO-PO Mapping'!O$4,$AD$29,0), IF('CO-PO Mapping'!O$5,$AE$29,0), IF('CO-PO Mapping'!O$6,$AF$29,0), IF('CO-PO Mapping'!O$7,$AG$29,0) )=0), "-", IF( SUM( IF('CO-PO Mapping'!O$2,$AH35*$AB$29,0), IF('CO-PO Mapping'!O$3,$AI35*$AC$29,0), IF('CO-PO Mapping'!O$4,$AJ35*$AD$29,0), IF('CO-PO Mapping'!O$5,$AK35*$AE$29,0), IF('CO-PO Mapping'!O$6,$AL35*$AF$29,0), IF('CO-PO Mapping'!O$7,$AM35*$AG$29,0)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IF('CO-PO Mapping'!O$6, IF(OR($AR35="-",SUM(IF('CO-PO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IF('CO-PO Mapping'!O$7, IF(OR($AS35="-",SUM(IF('CO-PO Mapping'!O$2,$AB$29,0),IF('CO-PO Mapping'!O$3,$AC$29,0),IF('CO-PO Mapping'!O$4,$AD$29,0),IF('CO-PO Mapping'!O$5,$AE$29,0),IF('CO-PO Mapping'!O$6,$AF$29,0),IF('CO-PO Mapping'!O$7,$AG$29,0))=0), "-", IF(SUM(IF('CO-PO Mapping'!O$2,$AH35*$AB$29,0),IF('CO-PO Mapping'!O$3,$AI35*$AC$29,0),IF('CO-PO Mapping'!O$4,$AJ35*$AD$29,0),IF('CO-PO Mapping'!O$5,$AK35*$AE$29,0),IF('CO-PO Mapping'!O$6,$AL35*$AF$29,0),IF('CO-PO Mapping'!O$7,$AM35*$AG$29,0))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5" s="95" t="str">
        <f>IF('CO-PO Mapping'!P$2, IF(OR($AN35="-",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IF(OR($AP35="-", SUM( IF('CO-PO Mapping'!P$2,$AB$29,0), IF('CO-PO Mapping'!P$3,$AC$29,0), IF('CO-PO Mapping'!P$4,$AD$29,0), IF('CO-PO Mapping'!P$5,$AE$29,0), IF('CO-PO Mapping'!P$6,$AF$29,0), IF('CO-PO Mapping'!P$7,$AG$29,0) )=0), "-", IF( SUM( IF('CO-PO Mapping'!P$2,$AH35*$AB$29,0), IF('CO-PO Mapping'!P$3,$AI35*$AC$29,0), IF('CO-PO Mapping'!P$4,$AJ35*$AD$29,0), IF('CO-PO Mapping'!P$5,$AK35*$AE$29,0), IF('CO-PO Mapping'!P$6,$AL35*$AF$29,0), IF('CO-PO Mapping'!P$7,$AM35*$AG$29,0)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IF('CO-PO Mapping'!P$6, IF(OR($AR35="-",SUM(IF('CO-PO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IF('CO-PO Mapping'!P$7, IF(OR($AS35="-",SUM(IF('CO-PO Mapping'!P$2,$AB$29,0),IF('CO-PO Mapping'!P$3,$AC$29,0),IF('CO-PO Mapping'!P$4,$AD$29,0),IF('CO-PO Mapping'!P$5,$AE$29,0),IF('CO-PO Mapping'!P$6,$AF$29,0),IF('CO-PO Mapping'!P$7,$AG$29,0))=0), "-", IF(SUM(IF('CO-PO Mapping'!P$2,$AH35*$AB$29,0),IF('CO-PO Mapping'!P$3,$AI35*$AC$29,0),IF('CO-PO Mapping'!P$4,$AJ35*$AD$29,0),IF('CO-PO Mapping'!P$5,$AK35*$AE$29,0),IF('CO-PO Mapping'!P$6,$AL35*$AF$29,0),IF('CO-PO Mapping'!P$7,$AM35*$AG$29,0))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35" s="95" t="str">
        <f>IF('CO-PO Mapping'!Q$2, IF(OR($AN35="-",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IF(OR($AP35="-", SUM( IF('CO-PO Mapping'!Q$2,$AB$29,0), IF('CO-PO Mapping'!Q$3,$AC$29,0), IF('CO-PO Mapping'!Q$4,$AD$29,0), IF('CO-PO Mapping'!Q$5,$AE$29,0), IF('CO-PO Mapping'!Q$6,$AF$29,0), IF('CO-PO Mapping'!Q$7,$AG$29,0) )=0), "-", IF( SUM( IF('CO-PO Mapping'!Q$2,$AH35*$AB$29,0), IF('CO-PO Mapping'!Q$3,$AI35*$AC$29,0), IF('CO-PO Mapping'!Q$4,$AJ35*$AD$29,0), IF('CO-PO Mapping'!Q$5,$AK35*$AE$29,0), IF('CO-PO Mapping'!Q$6,$AL35*$AF$29,0), IF('CO-PO Mapping'!Q$7,$AM35*$AG$29,0)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IF('CO-PO Mapping'!Q$6, IF(OR($AR35="-",SUM(IF('CO-PO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IF('CO-PO Mapping'!Q$7, IF(OR($AS35="-",SUM(IF('CO-PO Mapping'!Q$2,$AB$29,0),IF('CO-PO Mapping'!Q$3,$AC$29,0),IF('CO-PO Mapping'!Q$4,$AD$29,0),IF('CO-PO Mapping'!Q$5,$AE$29,0),IF('CO-PO Mapping'!Q$6,$AF$29,0),IF('CO-PO Mapping'!Q$7,$AG$29,0))=0), "-", IF(SUM(IF('CO-PO Mapping'!Q$2,$AH35*$AB$29,0),IF('CO-PO Mapping'!Q$3,$AI35*$AC$29,0),IF('CO-PO Mapping'!Q$4,$AJ35*$AD$29,0),IF('CO-PO Mapping'!Q$5,$AK35*$AE$29,0),IF('CO-PO Mapping'!Q$6,$AL35*$AF$29,0),IF('CO-PO Mapping'!Q$7,$AM35*$AG$29,0)) / SUM(IF('CO-PO Mapping'!Q$2,$AB$29,0),IF('CO-PO Mapping'!Q$3,$AC$29,0),IF('CO-PO Mapping'!Q$4,$AD$29,0),IF('CO-PO Mapping'!Q$5,$AE$29,0),IF('CO-PO Mapping'!Q$6,$AF$29,0),IF('CO-PO Mapping'!Q$7,$AG$29,0)) &gt;=$AW$27,"Y","N" ) ), "-"))))))</f>
        <v>N</v>
      </c>
      <c r="AW35" s="95" t="str">
        <f>IF('CO-PO Mapping'!R$2, IF(OR($AN35="-",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IF(OR($AP35="-", SUM( IF('CO-PO Mapping'!R$2,$AB$29,0), IF('CO-PO Mapping'!R$3,$AC$29,0), IF('CO-PO Mapping'!R$4,$AD$29,0), IF('CO-PO Mapping'!R$5,$AE$29,0), IF('CO-PO Mapping'!R$6,$AF$29,0), IF('CO-PO Mapping'!R$7,$AG$29,0) )=0), "-", IF( SUM( IF('CO-PO Mapping'!R$2,$AH35*$AB$29,0), IF('CO-PO Mapping'!R$3,$AI35*$AC$29,0), IF('CO-PO Mapping'!R$4,$AJ35*$AD$29,0), IF('CO-PO Mapping'!R$5,$AK35*$AE$29,0), IF('CO-PO Mapping'!R$6,$AL35*$AF$29,0), IF('CO-PO Mapping'!R$7,$AM35*$AG$29,0)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IF('CO-PO Mapping'!R$6, IF(OR($AR35="-",SUM(IF('CO-PO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IF('CO-PO Mapping'!R$7, IF(OR($AS35="-",SUM(IF('CO-PO Mapping'!R$2,$AB$29,0),IF('CO-PO Mapping'!R$3,$AC$29,0),IF('CO-PO Mapping'!R$4,$AD$29,0),IF('CO-PO Mapping'!R$5,$AE$29,0),IF('CO-PO Mapping'!R$6,$AF$29,0),IF('CO-PO Mapping'!R$7,$AG$29,0))=0), "-", IF(SUM(IF('CO-PO Mapping'!R$2,$AH35*$AB$29,0),IF('CO-PO Mapping'!R$3,$AI35*$AC$29,0),IF('CO-PO Mapping'!R$4,$AJ35*$AD$29,0),IF('CO-PO Mapping'!R$5,$AK35*$AE$29,0),IF('CO-PO Mapping'!R$6,$AL35*$AF$29,0),IF('CO-PO Mapping'!R$7,$AM35*$AG$29,0))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5" s="95" t="str">
        <f>IF('CO-PO Mapping'!S$2, IF(OR($AN35="-",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IF(OR($AP35="-", SUM( IF('CO-PO Mapping'!S$2,$AB$29,0), IF('CO-PO Mapping'!S$3,$AC$29,0), IF('CO-PO Mapping'!S$4,$AD$29,0), IF('CO-PO Mapping'!S$5,$AE$29,0), IF('CO-PO Mapping'!S$6,$AF$29,0), IF('CO-PO Mapping'!S$7,$AG$29,0) )=0), "-", IF( SUM( IF('CO-PO Mapping'!S$2,$AH35*$AB$29,0), IF('CO-PO Mapping'!S$3,$AI35*$AC$29,0), IF('CO-PO Mapping'!S$4,$AJ35*$AD$29,0), IF('CO-PO Mapping'!S$5,$AK35*$AE$29,0), IF('CO-PO Mapping'!S$6,$AL35*$AF$29,0), IF('CO-PO Mapping'!S$7,$AM35*$AG$29,0)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IF('CO-PO Mapping'!S$6, IF(OR($AR35="-",SUM(IF('CO-PO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IF('CO-PO Mapping'!S$7, IF(OR($AS35="-",SUM(IF('CO-PO Mapping'!S$2,$AB$29,0),IF('CO-PO Mapping'!S$3,$AC$29,0),IF('CO-PO Mapping'!S$4,$AD$29,0),IF('CO-PO Mapping'!S$5,$AE$29,0),IF('CO-PO Mapping'!S$6,$AF$29,0),IF('CO-PO Mapping'!S$7,$AG$29,0))=0), "-", IF(SUM(IF('CO-PO Mapping'!S$2,$AH35*$AB$29,0),IF('CO-PO Mapping'!S$3,$AI35*$AC$29,0),IF('CO-PO Mapping'!S$4,$AJ35*$AD$29,0),IF('CO-PO Mapping'!S$5,$AK35*$AE$29,0),IF('CO-PO Mapping'!S$6,$AL35*$AF$29,0),IF('CO-PO Mapping'!S$7,$AM35*$AG$29,0))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5" s="95" t="str">
        <f>IF('CO-PO Mapping'!T$2, IF(OR($AN35="-",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IF(OR($AP35="-", SUM( IF('CO-PO Mapping'!T$2,$AB$29,0), IF('CO-PO Mapping'!T$3,$AC$29,0), IF('CO-PO Mapping'!T$4,$AD$29,0), IF('CO-PO Mapping'!T$5,$AE$29,0), IF('CO-PO Mapping'!T$6,$AF$29,0), IF('CO-PO Mapping'!T$7,$AG$29,0) )=0), "-", IF( SUM( IF('CO-PO Mapping'!T$2,$AH35*$AB$29,0), IF('CO-PO Mapping'!T$3,$AI35*$AC$29,0), IF('CO-PO Mapping'!T$4,$AJ35*$AD$29,0), IF('CO-PO Mapping'!T$5,$AK35*$AE$29,0), IF('CO-PO Mapping'!T$6,$AL35*$AF$29,0), IF('CO-PO Mapping'!T$7,$AM35*$AG$29,0)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IF('CO-PO Mapping'!T$6, IF(OR($AR35="-",SUM(IF('CO-PO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IF('CO-PO Mapping'!T$7, IF(OR($AS35="-",SUM(IF('CO-PO Mapping'!T$2,$AB$29,0),IF('CO-PO Mapping'!T$3,$AC$29,0),IF('CO-PO Mapping'!T$4,$AD$29,0),IF('CO-PO Mapping'!T$5,$AE$29,0),IF('CO-PO Mapping'!T$6,$AF$29,0),IF('CO-PO Mapping'!T$7,$AG$29,0))=0), "-", IF(SUM(IF('CO-PO Mapping'!T$2,$AH35*$AB$29,0),IF('CO-PO Mapping'!T$3,$AI35*$AC$29,0),IF('CO-PO Mapping'!T$4,$AJ35*$AD$29,0),IF('CO-PO Mapping'!T$5,$AK35*$AE$29,0),IF('CO-PO Mapping'!T$6,$AL35*$AF$29,0),IF('CO-PO Mapping'!T$7,$AM35*$AG$29,0))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5" s="95" t="str">
        <f>IF('CO-PO Mapping'!U$2, IF(OR($AN35="-",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IF(OR($AP35="-", SUM( IF('CO-PO Mapping'!U$2,$AB$29,0), IF('CO-PO Mapping'!U$3,$AC$29,0), IF('CO-PO Mapping'!U$4,$AD$29,0), IF('CO-PO Mapping'!U$5,$AE$29,0), IF('CO-PO Mapping'!U$6,$AF$29,0), IF('CO-PO Mapping'!U$7,$AG$29,0) )=0), "-", IF( SUM( IF('CO-PO Mapping'!U$2,$AH35*$AB$29,0), IF('CO-PO Mapping'!U$3,$AI35*$AC$29,0), IF('CO-PO Mapping'!U$4,$AJ35*$AD$29,0), IF('CO-PO Mapping'!U$5,$AK35*$AE$29,0), IF('CO-PO Mapping'!U$6,$AL35*$AF$29,0), IF('CO-PO Mapping'!U$7,$AM35*$AG$29,0)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IF('CO-PO Mapping'!U$6, IF(OR($AR35="-",SUM(IF('CO-PO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IF('CO-PO Mapping'!U$7, IF(OR($AS35="-",SUM(IF('CO-PO Mapping'!U$2,$AB$29,0),IF('CO-PO Mapping'!U$3,$AC$29,0),IF('CO-PO Mapping'!U$4,$AD$29,0),IF('CO-PO Mapping'!U$5,$AE$29,0),IF('CO-PO Mapping'!U$6,$AF$29,0),IF('CO-PO Mapping'!U$7,$AG$29,0))=0), "-", IF(SUM(IF('CO-PO Mapping'!U$2,$AH35*$AB$29,0),IF('CO-PO Mapping'!U$3,$AI35*$AC$29,0),IF('CO-PO Mapping'!U$4,$AJ35*$AD$29,0),IF('CO-PO Mapping'!U$5,$AK35*$AE$29,0),IF('CO-PO Mapping'!U$6,$AL35*$AF$29,0),IF('CO-PO Mapping'!U$7,$AM35*$AG$29,0))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5" s="95" t="str">
        <f>IF('CO-PO Mapping'!V$2, IF(OR($AN35="-",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IF(OR($AP35="-", SUM( IF('CO-PO Mapping'!V$2,$AB$29,0), IF('CO-PO Mapping'!V$3,$AC$29,0), IF('CO-PO Mapping'!V$4,$AD$29,0), IF('CO-PO Mapping'!V$5,$AE$29,0), IF('CO-PO Mapping'!V$6,$AF$29,0), IF('CO-PO Mapping'!V$7,$AG$29,0) )=0), "-", IF( SUM( IF('CO-PO Mapping'!V$2,$AH35*$AB$29,0), IF('CO-PO Mapping'!V$3,$AI35*$AC$29,0), IF('CO-PO Mapping'!V$4,$AJ35*$AD$29,0), IF('CO-PO Mapping'!V$5,$AK35*$AE$29,0), IF('CO-PO Mapping'!V$6,$AL35*$AF$29,0), IF('CO-PO Mapping'!V$7,$AM35*$AG$29,0)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IF('CO-PO Mapping'!V$6, IF(OR($AR35="-",SUM(IF('CO-PO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IF('CO-PO Mapping'!V$7, IF(OR($AS35="-",SUM(IF('CO-PO Mapping'!V$2,$AB$29,0),IF('CO-PO Mapping'!V$3,$AC$29,0),IF('CO-PO Mapping'!V$4,$AD$29,0),IF('CO-PO Mapping'!V$5,$AE$29,0),IF('CO-PO Mapping'!V$6,$AF$29,0),IF('CO-PO Mapping'!V$7,$AG$29,0))=0), "-", IF(SUM(IF('CO-PO Mapping'!V$2,$AH35*$AB$29,0),IF('CO-PO Mapping'!V$3,$AI35*$AC$29,0),IF('CO-PO Mapping'!V$4,$AJ35*$AD$29,0),IF('CO-PO Mapping'!V$5,$AK35*$AE$29,0),IF('CO-PO Mapping'!V$6,$AL35*$AF$29,0),IF('CO-PO Mapping'!V$7,$AM35*$AG$29,0))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5" s="95" t="str">
        <f>IF('CO-PO Mapping'!W$2, IF(OR($AN35="-",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IF(OR($AP35="-", SUM( IF('CO-PO Mapping'!W$2,$AB$29,0), IF('CO-PO Mapping'!W$3,$AC$29,0), IF('CO-PO Mapping'!W$4,$AD$29,0), IF('CO-PO Mapping'!W$5,$AE$29,0), IF('CO-PO Mapping'!W$6,$AF$29,0), IF('CO-PO Mapping'!W$7,$AG$29,0) )=0), "-", IF( SUM( IF('CO-PO Mapping'!W$2,$AH35*$AB$29,0), IF('CO-PO Mapping'!W$3,$AI35*$AC$29,0), IF('CO-PO Mapping'!W$4,$AJ35*$AD$29,0), IF('CO-PO Mapping'!W$5,$AK35*$AE$29,0), IF('CO-PO Mapping'!W$6,$AL35*$AF$29,0), IF('CO-PO Mapping'!W$7,$AM35*$AG$29,0)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IF('CO-PO Mapping'!W$6, IF(OR($AR35="-",SUM(IF('CO-PO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IF('CO-PO Mapping'!W$7, IF(OR($AS35="-",SUM(IF('CO-PO Mapping'!W$2,$AB$29,0),IF('CO-PO Mapping'!W$3,$AC$29,0),IF('CO-PO Mapping'!W$4,$AD$29,0),IF('CO-PO Mapping'!W$5,$AE$29,0),IF('CO-PO Mapping'!W$6,$AF$29,0),IF('CO-PO Mapping'!W$7,$AG$29,0))=0), "-", IF(SUM(IF('CO-PO Mapping'!W$2,$AH35*$AB$29,0),IF('CO-PO Mapping'!W$3,$AI35*$AC$29,0),IF('CO-PO Mapping'!W$4,$AJ35*$AD$29,0),IF('CO-PO Mapping'!W$5,$AK35*$AE$29,0),IF('CO-PO Mapping'!W$6,$AL35*$AF$29,0),IF('CO-PO Mapping'!W$7,$AM35*$AG$29,0))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5" s="95" t="str">
        <f>IF('CO-PO Mapping'!X$2, IF(OR($AN35="-",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IF(OR($AP35="-", SUM( IF('CO-PO Mapping'!X$2,$AB$29,0), IF('CO-PO Mapping'!X$3,$AC$29,0), IF('CO-PO Mapping'!X$4,$AD$29,0), IF('CO-PO Mapping'!X$5,$AE$29,0), IF('CO-PO Mapping'!X$6,$AF$29,0), IF('CO-PO Mapping'!X$7,$AG$29,0) )=0), "-", IF( SUM( IF('CO-PO Mapping'!X$2,$AH35*$AB$29,0), IF('CO-PO Mapping'!X$3,$AI35*$AC$29,0), IF('CO-PO Mapping'!X$4,$AJ35*$AD$29,0), IF('CO-PO Mapping'!X$5,$AK35*$AE$29,0), IF('CO-PO Mapping'!X$6,$AL35*$AF$29,0), IF('CO-PO Mapping'!X$7,$AM35*$AG$29,0)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IF('CO-PO Mapping'!X$6, IF(OR($AR35="-",SUM(IF('CO-PO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IF('CO-PO Mapping'!X$7, IF(OR($AS35="-",SUM(IF('CO-PO Mapping'!X$2,$AB$29,0),IF('CO-PO Mapping'!X$3,$AC$29,0),IF('CO-PO Mapping'!X$4,$AD$29,0),IF('CO-PO Mapping'!X$5,$AE$29,0),IF('CO-PO Mapping'!X$6,$AF$29,0),IF('CO-PO Mapping'!X$7,$AG$29,0))=0), "-", IF(SUM(IF('CO-PO Mapping'!X$2,$AH35*$AB$29,0),IF('CO-PO Mapping'!X$3,$AI35*$AC$29,0),IF('CO-PO Mapping'!X$4,$AJ35*$AD$29,0),IF('CO-PO Mapping'!X$5,$AK35*$AE$29,0),IF('CO-PO Mapping'!X$6,$AL35*$AF$29,0),IF('CO-PO Mapping'!X$7,$AM35*$AG$29,0))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5" s="95" t="str">
        <f>IF('CO-PO Mapping'!Y$2, IF(OR($AN35="-",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IF(OR($AP35="-", SUM( IF('CO-PO Mapping'!Y$2,$AB$29,0), IF('CO-PO Mapping'!Y$3,$AC$29,0), IF('CO-PO Mapping'!Y$4,$AD$29,0), IF('CO-PO Mapping'!Y$5,$AE$29,0), IF('CO-PO Mapping'!Y$6,$AF$29,0), IF('CO-PO Mapping'!Y$7,$AG$29,0) )=0), "-", IF( SUM( IF('CO-PO Mapping'!Y$2,$AH35*$AB$29,0), IF('CO-PO Mapping'!Y$3,$AI35*$AC$29,0), IF('CO-PO Mapping'!Y$4,$AJ35*$AD$29,0), IF('CO-PO Mapping'!Y$5,$AK35*$AE$29,0), IF('CO-PO Mapping'!Y$6,$AL35*$AF$29,0), IF('CO-PO Mapping'!Y$7,$AM35*$AG$29,0)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IF('CO-PO Mapping'!Y$6, IF(OR($AR35="-",SUM(IF('CO-PO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IF('CO-PO Mapping'!Y$7, IF(OR($AS35="-",SUM(IF('CO-PO Mapping'!Y$2,$AB$29,0),IF('CO-PO Mapping'!Y$3,$AC$29,0),IF('CO-PO Mapping'!Y$4,$AD$29,0),IF('CO-PO Mapping'!Y$5,$AE$29,0),IF('CO-PO Mapping'!Y$6,$AF$29,0),IF('CO-PO Mapping'!Y$7,$AG$29,0))=0), "-", IF(SUM(IF('CO-PO Mapping'!Y$2,$AH35*$AB$29,0),IF('CO-PO Mapping'!Y$3,$AI35*$AC$29,0),IF('CO-PO Mapping'!Y$4,$AJ35*$AD$29,0),IF('CO-PO Mapping'!Y$5,$AK35*$AE$29,0),IF('CO-PO Mapping'!Y$6,$AL35*$AF$29,0),IF('CO-PO Mapping'!Y$7,$AM35*$AG$29,0))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5" s="95" t="str">
        <f>IF('CO-PO Mapping'!Z$2, IF(OR($AN35="-",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IF(OR($AP35="-", SUM( IF('CO-PO Mapping'!Z$2,$AB$29,0), IF('CO-PO Mapping'!Z$3,$AC$29,0), IF('CO-PO Mapping'!Z$4,$AD$29,0), IF('CO-PO Mapping'!Z$5,$AE$29,0), IF('CO-PO Mapping'!Z$6,$AF$29,0), IF('CO-PO Mapping'!Z$7,$AG$29,0) )=0), "-", IF( SUM( IF('CO-PO Mapping'!Z$2,$AH35*$AB$29,0), IF('CO-PO Mapping'!Z$3,$AI35*$AC$29,0), IF('CO-PO Mapping'!Z$4,$AJ35*$AD$29,0), IF('CO-PO Mapping'!Z$5,$AK35*$AE$29,0), IF('CO-PO Mapping'!Z$6,$AL35*$AF$29,0), IF('CO-PO Mapping'!Z$7,$AM35*$AG$29,0)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IF('CO-PO Mapping'!Z$6, IF(OR($AR35="-",SUM(IF('CO-PO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IF('CO-PO Mapping'!Z$7, IF(OR($AS35="-",SUM(IF('CO-PO Mapping'!Z$2,$AB$29,0),IF('CO-PO Mapping'!Z$3,$AC$29,0),IF('CO-PO Mapping'!Z$4,$AD$29,0),IF('CO-PO Mapping'!Z$5,$AE$29,0),IF('CO-PO Mapping'!Z$6,$AF$29,0),IF('CO-PO Mapping'!Z$7,$AG$29,0))=0), "-", IF(SUM(IF('CO-PO Mapping'!Z$2,$AH35*$AB$29,0),IF('CO-PO Mapping'!Z$3,$AI35*$AC$29,0),IF('CO-PO Mapping'!Z$4,$AJ35*$AD$29,0),IF('CO-PO Mapping'!Z$5,$AK35*$AE$29,0),IF('CO-PO Mapping'!Z$6,$AL35*$AF$29,0),IF('CO-PO Mapping'!Z$7,$AM35*$AG$29,0))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6" spans="1:57" ht="16.5" customHeight="1">
      <c r="A36" s="117">
        <v>22235103077</v>
      </c>
      <c r="B36" s="118" t="s">
        <v>153</v>
      </c>
      <c r="C36" s="70">
        <v>4</v>
      </c>
      <c r="D36" s="70"/>
      <c r="E36" s="71">
        <v>20</v>
      </c>
      <c r="F36" s="70"/>
      <c r="G36" s="71"/>
      <c r="H36" s="103">
        <f t="shared" si="2"/>
        <v>24</v>
      </c>
      <c r="I36" s="75">
        <v>6</v>
      </c>
      <c r="J36" s="75">
        <v>6</v>
      </c>
      <c r="K36" s="75">
        <v>8</v>
      </c>
      <c r="L36" s="75"/>
      <c r="M36" s="75"/>
      <c r="N36" s="75"/>
      <c r="O36" s="105">
        <f t="shared" si="3"/>
        <v>20</v>
      </c>
      <c r="P36" s="75">
        <v>12</v>
      </c>
      <c r="Q36" s="75">
        <v>18</v>
      </c>
      <c r="R36" s="75"/>
      <c r="S36" s="75"/>
      <c r="T36" s="75"/>
      <c r="U36" s="75"/>
      <c r="V36" s="104">
        <f t="shared" si="4"/>
        <v>30</v>
      </c>
      <c r="W36" s="83">
        <f t="shared" si="5"/>
        <v>74</v>
      </c>
      <c r="X36" s="98" t="str">
        <f t="shared" si="10"/>
        <v>A (Minus)</v>
      </c>
      <c r="Y36" s="45"/>
      <c r="Z36" s="42">
        <f t="shared" si="6"/>
        <v>22235103077</v>
      </c>
      <c r="AA36" s="43" t="str">
        <f t="shared" si="7"/>
        <v>Rohima Khanom</v>
      </c>
      <c r="AB36" s="90">
        <f t="shared" si="11"/>
        <v>30</v>
      </c>
      <c r="AC36" s="90">
        <f t="shared" si="8"/>
        <v>18</v>
      </c>
      <c r="AD36" s="90">
        <f t="shared" si="8"/>
        <v>26</v>
      </c>
      <c r="AE36" s="90">
        <f t="shared" si="8"/>
        <v>0</v>
      </c>
      <c r="AF36" s="90">
        <f t="shared" si="8"/>
        <v>0</v>
      </c>
      <c r="AG36" s="90">
        <f t="shared" si="8"/>
        <v>0</v>
      </c>
      <c r="AH36" s="92">
        <f t="shared" si="12"/>
        <v>75</v>
      </c>
      <c r="AI36" s="92">
        <f t="shared" si="13"/>
        <v>60</v>
      </c>
      <c r="AJ36" s="92">
        <f t="shared" si="14"/>
        <v>86.666666666666671</v>
      </c>
      <c r="AK36" s="92">
        <f t="shared" si="22"/>
        <v>0</v>
      </c>
      <c r="AL36" s="92">
        <f t="shared" si="15"/>
        <v>0</v>
      </c>
      <c r="AM36" s="92">
        <f t="shared" si="16"/>
        <v>0</v>
      </c>
      <c r="AN36" s="93" t="str">
        <f t="shared" si="23"/>
        <v>Y</v>
      </c>
      <c r="AO36" s="93" t="str">
        <f t="shared" si="17"/>
        <v>Y</v>
      </c>
      <c r="AP36" s="93" t="str">
        <f t="shared" si="18"/>
        <v>Y</v>
      </c>
      <c r="AQ36" s="93" t="str">
        <f t="shared" si="19"/>
        <v>N</v>
      </c>
      <c r="AR36" s="93" t="str">
        <f t="shared" si="20"/>
        <v>N</v>
      </c>
      <c r="AS36" s="93" t="str">
        <f t="shared" si="21"/>
        <v>N</v>
      </c>
      <c r="AT36" s="95" t="str">
        <f>IF('CO-PO Mapping'!O$2, IF(OR($AN36="-",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IF(OR($AP36="-", SUM( IF('CO-PO Mapping'!O$2,$AB$29,0), IF('CO-PO Mapping'!O$3,$AC$29,0), IF('CO-PO Mapping'!O$4,$AD$29,0), IF('CO-PO Mapping'!O$5,$AE$29,0), IF('CO-PO Mapping'!O$6,$AF$29,0), IF('CO-PO Mapping'!O$7,$AG$29,0) )=0), "-", IF( SUM( IF('CO-PO Mapping'!O$2,$AH36*$AB$29,0), IF('CO-PO Mapping'!O$3,$AI36*$AC$29,0), IF('CO-PO Mapping'!O$4,$AJ36*$AD$29,0), IF('CO-PO Mapping'!O$5,$AK36*$AE$29,0), IF('CO-PO Mapping'!O$6,$AL36*$AF$29,0), IF('CO-PO Mapping'!O$7,$AM36*$AG$29,0)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IF('CO-PO Mapping'!O$6, IF(OR($AR36="-",SUM(IF('CO-PO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IF('CO-PO Mapping'!O$7, IF(OR($AS36="-",SUM(IF('CO-PO Mapping'!O$2,$AB$29,0),IF('CO-PO Mapping'!O$3,$AC$29,0),IF('CO-PO Mapping'!O$4,$AD$29,0),IF('CO-PO Mapping'!O$5,$AE$29,0),IF('CO-PO Mapping'!O$6,$AF$29,0),IF('CO-PO Mapping'!O$7,$AG$29,0))=0), "-", IF(SUM(IF('CO-PO Mapping'!O$2,$AH36*$AB$29,0),IF('CO-PO Mapping'!O$3,$AI36*$AC$29,0),IF('CO-PO Mapping'!O$4,$AJ36*$AD$29,0),IF('CO-PO Mapping'!O$5,$AK36*$AE$29,0),IF('CO-PO Mapping'!O$6,$AL36*$AF$29,0),IF('CO-PO Mapping'!O$7,$AM36*$AG$29,0))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6" s="95" t="str">
        <f>IF('CO-PO Mapping'!P$2, IF(OR($AN36="-",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IF(OR($AP36="-", SUM( IF('CO-PO Mapping'!P$2,$AB$29,0), IF('CO-PO Mapping'!P$3,$AC$29,0), IF('CO-PO Mapping'!P$4,$AD$29,0), IF('CO-PO Mapping'!P$5,$AE$29,0), IF('CO-PO Mapping'!P$6,$AF$29,0), IF('CO-PO Mapping'!P$7,$AG$29,0) )=0), "-", IF( SUM( IF('CO-PO Mapping'!P$2,$AH36*$AB$29,0), IF('CO-PO Mapping'!P$3,$AI36*$AC$29,0), IF('CO-PO Mapping'!P$4,$AJ36*$AD$29,0), IF('CO-PO Mapping'!P$5,$AK36*$AE$29,0), IF('CO-PO Mapping'!P$6,$AL36*$AF$29,0), IF('CO-PO Mapping'!P$7,$AM36*$AG$29,0)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IF('CO-PO Mapping'!P$6, IF(OR($AR36="-",SUM(IF('CO-PO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IF('CO-PO Mapping'!P$7, IF(OR($AS36="-",SUM(IF('CO-PO Mapping'!P$2,$AB$29,0),IF('CO-PO Mapping'!P$3,$AC$29,0),IF('CO-PO Mapping'!P$4,$AD$29,0),IF('CO-PO Mapping'!P$5,$AE$29,0),IF('CO-PO Mapping'!P$6,$AF$29,0),IF('CO-PO Mapping'!P$7,$AG$29,0))=0), "-", IF(SUM(IF('CO-PO Mapping'!P$2,$AH36*$AB$29,0),IF('CO-PO Mapping'!P$3,$AI36*$AC$29,0),IF('CO-PO Mapping'!P$4,$AJ36*$AD$29,0),IF('CO-PO Mapping'!P$5,$AK36*$AE$29,0),IF('CO-PO Mapping'!P$6,$AL36*$AF$29,0),IF('CO-PO Mapping'!P$7,$AM36*$AG$29,0))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36" s="95" t="str">
        <f>IF('CO-PO Mapping'!Q$2, IF(OR($AN36="-",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IF(OR($AP36="-", SUM( IF('CO-PO Mapping'!Q$2,$AB$29,0), IF('CO-PO Mapping'!Q$3,$AC$29,0), IF('CO-PO Mapping'!Q$4,$AD$29,0), IF('CO-PO Mapping'!Q$5,$AE$29,0), IF('CO-PO Mapping'!Q$6,$AF$29,0), IF('CO-PO Mapping'!Q$7,$AG$29,0) )=0), "-", IF( SUM( IF('CO-PO Mapping'!Q$2,$AH36*$AB$29,0), IF('CO-PO Mapping'!Q$3,$AI36*$AC$29,0), IF('CO-PO Mapping'!Q$4,$AJ36*$AD$29,0), IF('CO-PO Mapping'!Q$5,$AK36*$AE$29,0), IF('CO-PO Mapping'!Q$6,$AL36*$AF$29,0), IF('CO-PO Mapping'!Q$7,$AM36*$AG$29,0)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IF('CO-PO Mapping'!Q$6, IF(OR($AR36="-",SUM(IF('CO-PO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IF('CO-PO Mapping'!Q$7, IF(OR($AS36="-",SUM(IF('CO-PO Mapping'!Q$2,$AB$29,0),IF('CO-PO Mapping'!Q$3,$AC$29,0),IF('CO-PO Mapping'!Q$4,$AD$29,0),IF('CO-PO Mapping'!Q$5,$AE$29,0),IF('CO-PO Mapping'!Q$6,$AF$29,0),IF('CO-PO Mapping'!Q$7,$AG$29,0))=0), "-", IF(SUM(IF('CO-PO Mapping'!Q$2,$AH36*$AB$29,0),IF('CO-PO Mapping'!Q$3,$AI36*$AC$29,0),IF('CO-PO Mapping'!Q$4,$AJ36*$AD$29,0),IF('CO-PO Mapping'!Q$5,$AK36*$AE$29,0),IF('CO-PO Mapping'!Q$6,$AL36*$AF$29,0),IF('CO-PO Mapping'!Q$7,$AM36*$AG$29,0))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36" s="95" t="str">
        <f>IF('CO-PO Mapping'!R$2, IF(OR($AN36="-",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IF(OR($AP36="-", SUM( IF('CO-PO Mapping'!R$2,$AB$29,0), IF('CO-PO Mapping'!R$3,$AC$29,0), IF('CO-PO Mapping'!R$4,$AD$29,0), IF('CO-PO Mapping'!R$5,$AE$29,0), IF('CO-PO Mapping'!R$6,$AF$29,0), IF('CO-PO Mapping'!R$7,$AG$29,0) )=0), "-", IF( SUM( IF('CO-PO Mapping'!R$2,$AH36*$AB$29,0), IF('CO-PO Mapping'!R$3,$AI36*$AC$29,0), IF('CO-PO Mapping'!R$4,$AJ36*$AD$29,0), IF('CO-PO Mapping'!R$5,$AK36*$AE$29,0), IF('CO-PO Mapping'!R$6,$AL36*$AF$29,0), IF('CO-PO Mapping'!R$7,$AM36*$AG$29,0)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IF('CO-PO Mapping'!R$6, IF(OR($AR36="-",SUM(IF('CO-PO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IF('CO-PO Mapping'!R$7, IF(OR($AS36="-",SUM(IF('CO-PO Mapping'!R$2,$AB$29,0),IF('CO-PO Mapping'!R$3,$AC$29,0),IF('CO-PO Mapping'!R$4,$AD$29,0),IF('CO-PO Mapping'!R$5,$AE$29,0),IF('CO-PO Mapping'!R$6,$AF$29,0),IF('CO-PO Mapping'!R$7,$AG$29,0))=0), "-", IF(SUM(IF('CO-PO Mapping'!R$2,$AH36*$AB$29,0),IF('CO-PO Mapping'!R$3,$AI36*$AC$29,0),IF('CO-PO Mapping'!R$4,$AJ36*$AD$29,0),IF('CO-PO Mapping'!R$5,$AK36*$AE$29,0),IF('CO-PO Mapping'!R$6,$AL36*$AF$29,0),IF('CO-PO Mapping'!R$7,$AM36*$AG$29,0))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6" s="95" t="str">
        <f>IF('CO-PO Mapping'!S$2, IF(OR($AN36="-",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IF(OR($AP36="-", SUM( IF('CO-PO Mapping'!S$2,$AB$29,0), IF('CO-PO Mapping'!S$3,$AC$29,0), IF('CO-PO Mapping'!S$4,$AD$29,0), IF('CO-PO Mapping'!S$5,$AE$29,0), IF('CO-PO Mapping'!S$6,$AF$29,0), IF('CO-PO Mapping'!S$7,$AG$29,0) )=0), "-", IF( SUM( IF('CO-PO Mapping'!S$2,$AH36*$AB$29,0), IF('CO-PO Mapping'!S$3,$AI36*$AC$29,0), IF('CO-PO Mapping'!S$4,$AJ36*$AD$29,0), IF('CO-PO Mapping'!S$5,$AK36*$AE$29,0), IF('CO-PO Mapping'!S$6,$AL36*$AF$29,0), IF('CO-PO Mapping'!S$7,$AM36*$AG$29,0)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IF('CO-PO Mapping'!S$6, IF(OR($AR36="-",SUM(IF('CO-PO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IF('CO-PO Mapping'!S$7, IF(OR($AS36="-",SUM(IF('CO-PO Mapping'!S$2,$AB$29,0),IF('CO-PO Mapping'!S$3,$AC$29,0),IF('CO-PO Mapping'!S$4,$AD$29,0),IF('CO-PO Mapping'!S$5,$AE$29,0),IF('CO-PO Mapping'!S$6,$AF$29,0),IF('CO-PO Mapping'!S$7,$AG$29,0))=0), "-", IF(SUM(IF('CO-PO Mapping'!S$2,$AH36*$AB$29,0),IF('CO-PO Mapping'!S$3,$AI36*$AC$29,0),IF('CO-PO Mapping'!S$4,$AJ36*$AD$29,0),IF('CO-PO Mapping'!S$5,$AK36*$AE$29,0),IF('CO-PO Mapping'!S$6,$AL36*$AF$29,0),IF('CO-PO Mapping'!S$7,$AM36*$AG$29,0))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6" s="95" t="str">
        <f>IF('CO-PO Mapping'!T$2, IF(OR($AN36="-",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IF(OR($AP36="-", SUM( IF('CO-PO Mapping'!T$2,$AB$29,0), IF('CO-PO Mapping'!T$3,$AC$29,0), IF('CO-PO Mapping'!T$4,$AD$29,0), IF('CO-PO Mapping'!T$5,$AE$29,0), IF('CO-PO Mapping'!T$6,$AF$29,0), IF('CO-PO Mapping'!T$7,$AG$29,0) )=0), "-", IF( SUM( IF('CO-PO Mapping'!T$2,$AH36*$AB$29,0), IF('CO-PO Mapping'!T$3,$AI36*$AC$29,0), IF('CO-PO Mapping'!T$4,$AJ36*$AD$29,0), IF('CO-PO Mapping'!T$5,$AK36*$AE$29,0), IF('CO-PO Mapping'!T$6,$AL36*$AF$29,0), IF('CO-PO Mapping'!T$7,$AM36*$AG$29,0)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IF('CO-PO Mapping'!T$6, IF(OR($AR36="-",SUM(IF('CO-PO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IF('CO-PO Mapping'!T$7, IF(OR($AS36="-",SUM(IF('CO-PO Mapping'!T$2,$AB$29,0),IF('CO-PO Mapping'!T$3,$AC$29,0),IF('CO-PO Mapping'!T$4,$AD$29,0),IF('CO-PO Mapping'!T$5,$AE$29,0),IF('CO-PO Mapping'!T$6,$AF$29,0),IF('CO-PO Mapping'!T$7,$AG$29,0))=0), "-", IF(SUM(IF('CO-PO Mapping'!T$2,$AH36*$AB$29,0),IF('CO-PO Mapping'!T$3,$AI36*$AC$29,0),IF('CO-PO Mapping'!T$4,$AJ36*$AD$29,0),IF('CO-PO Mapping'!T$5,$AK36*$AE$29,0),IF('CO-PO Mapping'!T$6,$AL36*$AF$29,0),IF('CO-PO Mapping'!T$7,$AM36*$AG$29,0))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6" s="95" t="str">
        <f>IF('CO-PO Mapping'!U$2, IF(OR($AN36="-",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IF(OR($AP36="-", SUM( IF('CO-PO Mapping'!U$2,$AB$29,0), IF('CO-PO Mapping'!U$3,$AC$29,0), IF('CO-PO Mapping'!U$4,$AD$29,0), IF('CO-PO Mapping'!U$5,$AE$29,0), IF('CO-PO Mapping'!U$6,$AF$29,0), IF('CO-PO Mapping'!U$7,$AG$29,0) )=0), "-", IF( SUM( IF('CO-PO Mapping'!U$2,$AH36*$AB$29,0), IF('CO-PO Mapping'!U$3,$AI36*$AC$29,0), IF('CO-PO Mapping'!U$4,$AJ36*$AD$29,0), IF('CO-PO Mapping'!U$5,$AK36*$AE$29,0), IF('CO-PO Mapping'!U$6,$AL36*$AF$29,0), IF('CO-PO Mapping'!U$7,$AM36*$AG$29,0)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IF('CO-PO Mapping'!U$6, IF(OR($AR36="-",SUM(IF('CO-PO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IF('CO-PO Mapping'!U$7, IF(OR($AS36="-",SUM(IF('CO-PO Mapping'!U$2,$AB$29,0),IF('CO-PO Mapping'!U$3,$AC$29,0),IF('CO-PO Mapping'!U$4,$AD$29,0),IF('CO-PO Mapping'!U$5,$AE$29,0),IF('CO-PO Mapping'!U$6,$AF$29,0),IF('CO-PO Mapping'!U$7,$AG$29,0))=0), "-", IF(SUM(IF('CO-PO Mapping'!U$2,$AH36*$AB$29,0),IF('CO-PO Mapping'!U$3,$AI36*$AC$29,0),IF('CO-PO Mapping'!U$4,$AJ36*$AD$29,0),IF('CO-PO Mapping'!U$5,$AK36*$AE$29,0),IF('CO-PO Mapping'!U$6,$AL36*$AF$29,0),IF('CO-PO Mapping'!U$7,$AM36*$AG$29,0))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6" s="95" t="str">
        <f>IF('CO-PO Mapping'!V$2, IF(OR($AN36="-",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IF(OR($AP36="-", SUM( IF('CO-PO Mapping'!V$2,$AB$29,0), IF('CO-PO Mapping'!V$3,$AC$29,0), IF('CO-PO Mapping'!V$4,$AD$29,0), IF('CO-PO Mapping'!V$5,$AE$29,0), IF('CO-PO Mapping'!V$6,$AF$29,0), IF('CO-PO Mapping'!V$7,$AG$29,0) )=0), "-", IF( SUM( IF('CO-PO Mapping'!V$2,$AH36*$AB$29,0), IF('CO-PO Mapping'!V$3,$AI36*$AC$29,0), IF('CO-PO Mapping'!V$4,$AJ36*$AD$29,0), IF('CO-PO Mapping'!V$5,$AK36*$AE$29,0), IF('CO-PO Mapping'!V$6,$AL36*$AF$29,0), IF('CO-PO Mapping'!V$7,$AM36*$AG$29,0)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IF('CO-PO Mapping'!V$6, IF(OR($AR36="-",SUM(IF('CO-PO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IF('CO-PO Mapping'!V$7, IF(OR($AS36="-",SUM(IF('CO-PO Mapping'!V$2,$AB$29,0),IF('CO-PO Mapping'!V$3,$AC$29,0),IF('CO-PO Mapping'!V$4,$AD$29,0),IF('CO-PO Mapping'!V$5,$AE$29,0),IF('CO-PO Mapping'!V$6,$AF$29,0),IF('CO-PO Mapping'!V$7,$AG$29,0))=0), "-", IF(SUM(IF('CO-PO Mapping'!V$2,$AH36*$AB$29,0),IF('CO-PO Mapping'!V$3,$AI36*$AC$29,0),IF('CO-PO Mapping'!V$4,$AJ36*$AD$29,0),IF('CO-PO Mapping'!V$5,$AK36*$AE$29,0),IF('CO-PO Mapping'!V$6,$AL36*$AF$29,0),IF('CO-PO Mapping'!V$7,$AM36*$AG$29,0))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6" s="95" t="str">
        <f>IF('CO-PO Mapping'!W$2, IF(OR($AN36="-",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IF(OR($AP36="-", SUM( IF('CO-PO Mapping'!W$2,$AB$29,0), IF('CO-PO Mapping'!W$3,$AC$29,0), IF('CO-PO Mapping'!W$4,$AD$29,0), IF('CO-PO Mapping'!W$5,$AE$29,0), IF('CO-PO Mapping'!W$6,$AF$29,0), IF('CO-PO Mapping'!W$7,$AG$29,0) )=0), "-", IF( SUM( IF('CO-PO Mapping'!W$2,$AH36*$AB$29,0), IF('CO-PO Mapping'!W$3,$AI36*$AC$29,0), IF('CO-PO Mapping'!W$4,$AJ36*$AD$29,0), IF('CO-PO Mapping'!W$5,$AK36*$AE$29,0), IF('CO-PO Mapping'!W$6,$AL36*$AF$29,0), IF('CO-PO Mapping'!W$7,$AM36*$AG$29,0)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IF('CO-PO Mapping'!W$6, IF(OR($AR36="-",SUM(IF('CO-PO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IF('CO-PO Mapping'!W$7, IF(OR($AS36="-",SUM(IF('CO-PO Mapping'!W$2,$AB$29,0),IF('CO-PO Mapping'!W$3,$AC$29,0),IF('CO-PO Mapping'!W$4,$AD$29,0),IF('CO-PO Mapping'!W$5,$AE$29,0),IF('CO-PO Mapping'!W$6,$AF$29,0),IF('CO-PO Mapping'!W$7,$AG$29,0))=0), "-", IF(SUM(IF('CO-PO Mapping'!W$2,$AH36*$AB$29,0),IF('CO-PO Mapping'!W$3,$AI36*$AC$29,0),IF('CO-PO Mapping'!W$4,$AJ36*$AD$29,0),IF('CO-PO Mapping'!W$5,$AK36*$AE$29,0),IF('CO-PO Mapping'!W$6,$AL36*$AF$29,0),IF('CO-PO Mapping'!W$7,$AM36*$AG$29,0))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6" s="95" t="str">
        <f>IF('CO-PO Mapping'!X$2, IF(OR($AN36="-",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IF(OR($AP36="-", SUM( IF('CO-PO Mapping'!X$2,$AB$29,0), IF('CO-PO Mapping'!X$3,$AC$29,0), IF('CO-PO Mapping'!X$4,$AD$29,0), IF('CO-PO Mapping'!X$5,$AE$29,0), IF('CO-PO Mapping'!X$6,$AF$29,0), IF('CO-PO Mapping'!X$7,$AG$29,0) )=0), "-", IF( SUM( IF('CO-PO Mapping'!X$2,$AH36*$AB$29,0), IF('CO-PO Mapping'!X$3,$AI36*$AC$29,0), IF('CO-PO Mapping'!X$4,$AJ36*$AD$29,0), IF('CO-PO Mapping'!X$5,$AK36*$AE$29,0), IF('CO-PO Mapping'!X$6,$AL36*$AF$29,0), IF('CO-PO Mapping'!X$7,$AM36*$AG$29,0)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IF('CO-PO Mapping'!X$6, IF(OR($AR36="-",SUM(IF('CO-PO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IF('CO-PO Mapping'!X$7, IF(OR($AS36="-",SUM(IF('CO-PO Mapping'!X$2,$AB$29,0),IF('CO-PO Mapping'!X$3,$AC$29,0),IF('CO-PO Mapping'!X$4,$AD$29,0),IF('CO-PO Mapping'!X$5,$AE$29,0),IF('CO-PO Mapping'!X$6,$AF$29,0),IF('CO-PO Mapping'!X$7,$AG$29,0))=0), "-", IF(SUM(IF('CO-PO Mapping'!X$2,$AH36*$AB$29,0),IF('CO-PO Mapping'!X$3,$AI36*$AC$29,0),IF('CO-PO Mapping'!X$4,$AJ36*$AD$29,0),IF('CO-PO Mapping'!X$5,$AK36*$AE$29,0),IF('CO-PO Mapping'!X$6,$AL36*$AF$29,0),IF('CO-PO Mapping'!X$7,$AM36*$AG$29,0))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6" s="95" t="str">
        <f>IF('CO-PO Mapping'!Y$2, IF(OR($AN36="-",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IF(OR($AP36="-", SUM( IF('CO-PO Mapping'!Y$2,$AB$29,0), IF('CO-PO Mapping'!Y$3,$AC$29,0), IF('CO-PO Mapping'!Y$4,$AD$29,0), IF('CO-PO Mapping'!Y$5,$AE$29,0), IF('CO-PO Mapping'!Y$6,$AF$29,0), IF('CO-PO Mapping'!Y$7,$AG$29,0) )=0), "-", IF( SUM( IF('CO-PO Mapping'!Y$2,$AH36*$AB$29,0), IF('CO-PO Mapping'!Y$3,$AI36*$AC$29,0), IF('CO-PO Mapping'!Y$4,$AJ36*$AD$29,0), IF('CO-PO Mapping'!Y$5,$AK36*$AE$29,0), IF('CO-PO Mapping'!Y$6,$AL36*$AF$29,0), IF('CO-PO Mapping'!Y$7,$AM36*$AG$29,0)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IF('CO-PO Mapping'!Y$6, IF(OR($AR36="-",SUM(IF('CO-PO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IF('CO-PO Mapping'!Y$7, IF(OR($AS36="-",SUM(IF('CO-PO Mapping'!Y$2,$AB$29,0),IF('CO-PO Mapping'!Y$3,$AC$29,0),IF('CO-PO Mapping'!Y$4,$AD$29,0),IF('CO-PO Mapping'!Y$5,$AE$29,0),IF('CO-PO Mapping'!Y$6,$AF$29,0),IF('CO-PO Mapping'!Y$7,$AG$29,0))=0), "-", IF(SUM(IF('CO-PO Mapping'!Y$2,$AH36*$AB$29,0),IF('CO-PO Mapping'!Y$3,$AI36*$AC$29,0),IF('CO-PO Mapping'!Y$4,$AJ36*$AD$29,0),IF('CO-PO Mapping'!Y$5,$AK36*$AE$29,0),IF('CO-PO Mapping'!Y$6,$AL36*$AF$29,0),IF('CO-PO Mapping'!Y$7,$AM36*$AG$29,0))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6" s="95" t="str">
        <f>IF('CO-PO Mapping'!Z$2, IF(OR($AN36="-",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IF(OR($AP36="-", SUM( IF('CO-PO Mapping'!Z$2,$AB$29,0), IF('CO-PO Mapping'!Z$3,$AC$29,0), IF('CO-PO Mapping'!Z$4,$AD$29,0), IF('CO-PO Mapping'!Z$5,$AE$29,0), IF('CO-PO Mapping'!Z$6,$AF$29,0), IF('CO-PO Mapping'!Z$7,$AG$29,0) )=0), "-", IF( SUM( IF('CO-PO Mapping'!Z$2,$AH36*$AB$29,0), IF('CO-PO Mapping'!Z$3,$AI36*$AC$29,0), IF('CO-PO Mapping'!Z$4,$AJ36*$AD$29,0), IF('CO-PO Mapping'!Z$5,$AK36*$AE$29,0), IF('CO-PO Mapping'!Z$6,$AL36*$AF$29,0), IF('CO-PO Mapping'!Z$7,$AM36*$AG$29,0)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IF('CO-PO Mapping'!Z$6, IF(OR($AR36="-",SUM(IF('CO-PO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IF('CO-PO Mapping'!Z$7, IF(OR($AS36="-",SUM(IF('CO-PO Mapping'!Z$2,$AB$29,0),IF('CO-PO Mapping'!Z$3,$AC$29,0),IF('CO-PO Mapping'!Z$4,$AD$29,0),IF('CO-PO Mapping'!Z$5,$AE$29,0),IF('CO-PO Mapping'!Z$6,$AF$29,0),IF('CO-PO Mapping'!Z$7,$AG$29,0))=0), "-", IF(SUM(IF('CO-PO Mapping'!Z$2,$AH36*$AB$29,0),IF('CO-PO Mapping'!Z$3,$AI36*$AC$29,0),IF('CO-PO Mapping'!Z$4,$AJ36*$AD$29,0),IF('CO-PO Mapping'!Z$5,$AK36*$AE$29,0),IF('CO-PO Mapping'!Z$6,$AL36*$AF$29,0),IF('CO-PO Mapping'!Z$7,$AM36*$AG$29,0))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7" spans="1:57" ht="16.5" customHeight="1">
      <c r="A37" s="117">
        <v>22235103084</v>
      </c>
      <c r="B37" s="118" t="s">
        <v>154</v>
      </c>
      <c r="C37" s="70">
        <v>4</v>
      </c>
      <c r="D37" s="71"/>
      <c r="E37" s="71">
        <v>20</v>
      </c>
      <c r="F37" s="71"/>
      <c r="G37" s="71"/>
      <c r="H37" s="103">
        <f t="shared" si="2"/>
        <v>24</v>
      </c>
      <c r="I37" s="75">
        <v>5</v>
      </c>
      <c r="J37" s="75">
        <v>4</v>
      </c>
      <c r="K37" s="75">
        <v>6</v>
      </c>
      <c r="L37" s="75"/>
      <c r="M37" s="75"/>
      <c r="N37" s="75"/>
      <c r="O37" s="105">
        <f t="shared" si="3"/>
        <v>15</v>
      </c>
      <c r="P37" s="75">
        <v>12</v>
      </c>
      <c r="Q37" s="75">
        <v>8</v>
      </c>
      <c r="R37" s="75"/>
      <c r="S37" s="75"/>
      <c r="T37" s="75"/>
      <c r="U37" s="75"/>
      <c r="V37" s="104">
        <f t="shared" si="4"/>
        <v>20</v>
      </c>
      <c r="W37" s="83">
        <f t="shared" si="5"/>
        <v>59</v>
      </c>
      <c r="X37" s="98" t="str">
        <f t="shared" si="10"/>
        <v>B (Minus)</v>
      </c>
      <c r="Y37" s="45"/>
      <c r="Z37" s="42">
        <f t="shared" si="6"/>
        <v>22235103084</v>
      </c>
      <c r="AA37" s="43" t="str">
        <f t="shared" si="7"/>
        <v>Fatimatuj Johora Samrina</v>
      </c>
      <c r="AB37" s="90">
        <f t="shared" si="11"/>
        <v>29</v>
      </c>
      <c r="AC37" s="90">
        <f t="shared" si="8"/>
        <v>16</v>
      </c>
      <c r="AD37" s="90">
        <f t="shared" si="8"/>
        <v>14</v>
      </c>
      <c r="AE37" s="90">
        <f t="shared" si="8"/>
        <v>0</v>
      </c>
      <c r="AF37" s="90">
        <f t="shared" si="8"/>
        <v>0</v>
      </c>
      <c r="AG37" s="90">
        <f t="shared" si="8"/>
        <v>0</v>
      </c>
      <c r="AH37" s="92">
        <f t="shared" si="12"/>
        <v>72.5</v>
      </c>
      <c r="AI37" s="92">
        <f t="shared" si="13"/>
        <v>53.333333333333336</v>
      </c>
      <c r="AJ37" s="92">
        <f t="shared" si="14"/>
        <v>46.666666666666664</v>
      </c>
      <c r="AK37" s="92">
        <f t="shared" si="22"/>
        <v>0</v>
      </c>
      <c r="AL37" s="92">
        <f t="shared" si="15"/>
        <v>0</v>
      </c>
      <c r="AM37" s="92">
        <f t="shared" si="16"/>
        <v>0</v>
      </c>
      <c r="AN37" s="93" t="str">
        <f t="shared" si="23"/>
        <v>Y</v>
      </c>
      <c r="AO37" s="93" t="str">
        <f t="shared" si="17"/>
        <v>Y</v>
      </c>
      <c r="AP37" s="93" t="str">
        <f t="shared" si="18"/>
        <v>N</v>
      </c>
      <c r="AQ37" s="93" t="str">
        <f t="shared" si="19"/>
        <v>N</v>
      </c>
      <c r="AR37" s="93" t="str">
        <f t="shared" si="20"/>
        <v>N</v>
      </c>
      <c r="AS37" s="93" t="str">
        <f t="shared" si="21"/>
        <v>N</v>
      </c>
      <c r="AT37" s="95" t="str">
        <f>IF('CO-PO Mapping'!O$2, IF(OR($AN37="-",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IF(OR($AP37="-", SUM( IF('CO-PO Mapping'!O$2,$AB$29,0), IF('CO-PO Mapping'!O$3,$AC$29,0), IF('CO-PO Mapping'!O$4,$AD$29,0), IF('CO-PO Mapping'!O$5,$AE$29,0), IF('CO-PO Mapping'!O$6,$AF$29,0), IF('CO-PO Mapping'!O$7,$AG$29,0) )=0), "-", IF( SUM( IF('CO-PO Mapping'!O$2,$AH37*$AB$29,0), IF('CO-PO Mapping'!O$3,$AI37*$AC$29,0), IF('CO-PO Mapping'!O$4,$AJ37*$AD$29,0), IF('CO-PO Mapping'!O$5,$AK37*$AE$29,0), IF('CO-PO Mapping'!O$6,$AL37*$AF$29,0), IF('CO-PO Mapping'!O$7,$AM37*$AG$29,0)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IF('CO-PO Mapping'!O$6, IF(OR($AR37="-",SUM(IF('CO-PO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IF('CO-PO Mapping'!O$7, IF(OR($AS37="-",SUM(IF('CO-PO Mapping'!O$2,$AB$29,0),IF('CO-PO Mapping'!O$3,$AC$29,0),IF('CO-PO Mapping'!O$4,$AD$29,0),IF('CO-PO Mapping'!O$5,$AE$29,0),IF('CO-PO Mapping'!O$6,$AF$29,0),IF('CO-PO Mapping'!O$7,$AG$29,0))=0), "-", IF(SUM(IF('CO-PO Mapping'!O$2,$AH37*$AB$29,0),IF('CO-PO Mapping'!O$3,$AI37*$AC$29,0),IF('CO-PO Mapping'!O$4,$AJ37*$AD$29,0),IF('CO-PO Mapping'!O$5,$AK37*$AE$29,0),IF('CO-PO Mapping'!O$6,$AL37*$AF$29,0),IF('CO-PO Mapping'!O$7,$AM37*$AG$29,0))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7" s="95" t="str">
        <f>IF('CO-PO Mapping'!P$2, IF(OR($AN37="-",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IF(OR($AP37="-", SUM( IF('CO-PO Mapping'!P$2,$AB$29,0), IF('CO-PO Mapping'!P$3,$AC$29,0), IF('CO-PO Mapping'!P$4,$AD$29,0), IF('CO-PO Mapping'!P$5,$AE$29,0), IF('CO-PO Mapping'!P$6,$AF$29,0), IF('CO-PO Mapping'!P$7,$AG$29,0) )=0), "-", IF( SUM( IF('CO-PO Mapping'!P$2,$AH37*$AB$29,0), IF('CO-PO Mapping'!P$3,$AI37*$AC$29,0), IF('CO-PO Mapping'!P$4,$AJ37*$AD$29,0), IF('CO-PO Mapping'!P$5,$AK37*$AE$29,0), IF('CO-PO Mapping'!P$6,$AL37*$AF$29,0), IF('CO-PO Mapping'!P$7,$AM37*$AG$29,0)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IF('CO-PO Mapping'!P$6, IF(OR($AR37="-",SUM(IF('CO-PO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IF('CO-PO Mapping'!P$7, IF(OR($AS37="-",SUM(IF('CO-PO Mapping'!P$2,$AB$29,0),IF('CO-PO Mapping'!P$3,$AC$29,0),IF('CO-PO Mapping'!P$4,$AD$29,0),IF('CO-PO Mapping'!P$5,$AE$29,0),IF('CO-PO Mapping'!P$6,$AF$29,0),IF('CO-PO Mapping'!P$7,$AG$29,0))=0), "-", IF(SUM(IF('CO-PO Mapping'!P$2,$AH37*$AB$29,0),IF('CO-PO Mapping'!P$3,$AI37*$AC$29,0),IF('CO-PO Mapping'!P$4,$AJ37*$AD$29,0),IF('CO-PO Mapping'!P$5,$AK37*$AE$29,0),IF('CO-PO Mapping'!P$6,$AL37*$AF$29,0),IF('CO-PO Mapping'!P$7,$AM37*$AG$29,0))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37" s="95" t="str">
        <f>IF('CO-PO Mapping'!Q$2, IF(OR($AN37="-",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IF(OR($AP37="-", SUM( IF('CO-PO Mapping'!Q$2,$AB$29,0), IF('CO-PO Mapping'!Q$3,$AC$29,0), IF('CO-PO Mapping'!Q$4,$AD$29,0), IF('CO-PO Mapping'!Q$5,$AE$29,0), IF('CO-PO Mapping'!Q$6,$AF$29,0), IF('CO-PO Mapping'!Q$7,$AG$29,0) )=0), "-", IF( SUM( IF('CO-PO Mapping'!Q$2,$AH37*$AB$29,0), IF('CO-PO Mapping'!Q$3,$AI37*$AC$29,0), IF('CO-PO Mapping'!Q$4,$AJ37*$AD$29,0), IF('CO-PO Mapping'!Q$5,$AK37*$AE$29,0), IF('CO-PO Mapping'!Q$6,$AL37*$AF$29,0), IF('CO-PO Mapping'!Q$7,$AM37*$AG$29,0)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IF('CO-PO Mapping'!Q$6, IF(OR($AR37="-",SUM(IF('CO-PO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IF('CO-PO Mapping'!Q$7, IF(OR($AS37="-",SUM(IF('CO-PO Mapping'!Q$2,$AB$29,0),IF('CO-PO Mapping'!Q$3,$AC$29,0),IF('CO-PO Mapping'!Q$4,$AD$29,0),IF('CO-PO Mapping'!Q$5,$AE$29,0),IF('CO-PO Mapping'!Q$6,$AF$29,0),IF('CO-PO Mapping'!Q$7,$AG$29,0))=0), "-", IF(SUM(IF('CO-PO Mapping'!Q$2,$AH37*$AB$29,0),IF('CO-PO Mapping'!Q$3,$AI37*$AC$29,0),IF('CO-PO Mapping'!Q$4,$AJ37*$AD$29,0),IF('CO-PO Mapping'!Q$5,$AK37*$AE$29,0),IF('CO-PO Mapping'!Q$6,$AL37*$AF$29,0),IF('CO-PO Mapping'!Q$7,$AM37*$AG$29,0)) / SUM(IF('CO-PO Mapping'!Q$2,$AB$29,0),IF('CO-PO Mapping'!Q$3,$AC$29,0),IF('CO-PO Mapping'!Q$4,$AD$29,0),IF('CO-PO Mapping'!Q$5,$AE$29,0),IF('CO-PO Mapping'!Q$6,$AF$29,0),IF('CO-PO Mapping'!Q$7,$AG$29,0)) &gt;=$AW$27,"Y","N" ) ), "-"))))))</f>
        <v>N</v>
      </c>
      <c r="AW37" s="95" t="str">
        <f>IF('CO-PO Mapping'!R$2, IF(OR($AN37="-",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IF(OR($AP37="-", SUM( IF('CO-PO Mapping'!R$2,$AB$29,0), IF('CO-PO Mapping'!R$3,$AC$29,0), IF('CO-PO Mapping'!R$4,$AD$29,0), IF('CO-PO Mapping'!R$5,$AE$29,0), IF('CO-PO Mapping'!R$6,$AF$29,0), IF('CO-PO Mapping'!R$7,$AG$29,0) )=0), "-", IF( SUM( IF('CO-PO Mapping'!R$2,$AH37*$AB$29,0), IF('CO-PO Mapping'!R$3,$AI37*$AC$29,0), IF('CO-PO Mapping'!R$4,$AJ37*$AD$29,0), IF('CO-PO Mapping'!R$5,$AK37*$AE$29,0), IF('CO-PO Mapping'!R$6,$AL37*$AF$29,0), IF('CO-PO Mapping'!R$7,$AM37*$AG$29,0)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IF('CO-PO Mapping'!R$6, IF(OR($AR37="-",SUM(IF('CO-PO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IF('CO-PO Mapping'!R$7, IF(OR($AS37="-",SUM(IF('CO-PO Mapping'!R$2,$AB$29,0),IF('CO-PO Mapping'!R$3,$AC$29,0),IF('CO-PO Mapping'!R$4,$AD$29,0),IF('CO-PO Mapping'!R$5,$AE$29,0),IF('CO-PO Mapping'!R$6,$AF$29,0),IF('CO-PO Mapping'!R$7,$AG$29,0))=0), "-", IF(SUM(IF('CO-PO Mapping'!R$2,$AH37*$AB$29,0),IF('CO-PO Mapping'!R$3,$AI37*$AC$29,0),IF('CO-PO Mapping'!R$4,$AJ37*$AD$29,0),IF('CO-PO Mapping'!R$5,$AK37*$AE$29,0),IF('CO-PO Mapping'!R$6,$AL37*$AF$29,0),IF('CO-PO Mapping'!R$7,$AM37*$AG$29,0))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7" s="95" t="str">
        <f>IF('CO-PO Mapping'!S$2, IF(OR($AN37="-",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IF(OR($AP37="-", SUM( IF('CO-PO Mapping'!S$2,$AB$29,0), IF('CO-PO Mapping'!S$3,$AC$29,0), IF('CO-PO Mapping'!S$4,$AD$29,0), IF('CO-PO Mapping'!S$5,$AE$29,0), IF('CO-PO Mapping'!S$6,$AF$29,0), IF('CO-PO Mapping'!S$7,$AG$29,0) )=0), "-", IF( SUM( IF('CO-PO Mapping'!S$2,$AH37*$AB$29,0), IF('CO-PO Mapping'!S$3,$AI37*$AC$29,0), IF('CO-PO Mapping'!S$4,$AJ37*$AD$29,0), IF('CO-PO Mapping'!S$5,$AK37*$AE$29,0), IF('CO-PO Mapping'!S$6,$AL37*$AF$29,0), IF('CO-PO Mapping'!S$7,$AM37*$AG$29,0)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IF('CO-PO Mapping'!S$6, IF(OR($AR37="-",SUM(IF('CO-PO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IF('CO-PO Mapping'!S$7, IF(OR($AS37="-",SUM(IF('CO-PO Mapping'!S$2,$AB$29,0),IF('CO-PO Mapping'!S$3,$AC$29,0),IF('CO-PO Mapping'!S$4,$AD$29,0),IF('CO-PO Mapping'!S$5,$AE$29,0),IF('CO-PO Mapping'!S$6,$AF$29,0),IF('CO-PO Mapping'!S$7,$AG$29,0))=0), "-", IF(SUM(IF('CO-PO Mapping'!S$2,$AH37*$AB$29,0),IF('CO-PO Mapping'!S$3,$AI37*$AC$29,0),IF('CO-PO Mapping'!S$4,$AJ37*$AD$29,0),IF('CO-PO Mapping'!S$5,$AK37*$AE$29,0),IF('CO-PO Mapping'!S$6,$AL37*$AF$29,0),IF('CO-PO Mapping'!S$7,$AM37*$AG$29,0))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7" s="95" t="str">
        <f>IF('CO-PO Mapping'!T$2, IF(OR($AN37="-",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IF(OR($AP37="-", SUM( IF('CO-PO Mapping'!T$2,$AB$29,0), IF('CO-PO Mapping'!T$3,$AC$29,0), IF('CO-PO Mapping'!T$4,$AD$29,0), IF('CO-PO Mapping'!T$5,$AE$29,0), IF('CO-PO Mapping'!T$6,$AF$29,0), IF('CO-PO Mapping'!T$7,$AG$29,0) )=0), "-", IF( SUM( IF('CO-PO Mapping'!T$2,$AH37*$AB$29,0), IF('CO-PO Mapping'!T$3,$AI37*$AC$29,0), IF('CO-PO Mapping'!T$4,$AJ37*$AD$29,0), IF('CO-PO Mapping'!T$5,$AK37*$AE$29,0), IF('CO-PO Mapping'!T$6,$AL37*$AF$29,0), IF('CO-PO Mapping'!T$7,$AM37*$AG$29,0)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IF('CO-PO Mapping'!T$6, IF(OR($AR37="-",SUM(IF('CO-PO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IF('CO-PO Mapping'!T$7, IF(OR($AS37="-",SUM(IF('CO-PO Mapping'!T$2,$AB$29,0),IF('CO-PO Mapping'!T$3,$AC$29,0),IF('CO-PO Mapping'!T$4,$AD$29,0),IF('CO-PO Mapping'!T$5,$AE$29,0),IF('CO-PO Mapping'!T$6,$AF$29,0),IF('CO-PO Mapping'!T$7,$AG$29,0))=0), "-", IF(SUM(IF('CO-PO Mapping'!T$2,$AH37*$AB$29,0),IF('CO-PO Mapping'!T$3,$AI37*$AC$29,0),IF('CO-PO Mapping'!T$4,$AJ37*$AD$29,0),IF('CO-PO Mapping'!T$5,$AK37*$AE$29,0),IF('CO-PO Mapping'!T$6,$AL37*$AF$29,0),IF('CO-PO Mapping'!T$7,$AM37*$AG$29,0))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7" s="95" t="str">
        <f>IF('CO-PO Mapping'!U$2, IF(OR($AN37="-",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IF(OR($AP37="-", SUM( IF('CO-PO Mapping'!U$2,$AB$29,0), IF('CO-PO Mapping'!U$3,$AC$29,0), IF('CO-PO Mapping'!U$4,$AD$29,0), IF('CO-PO Mapping'!U$5,$AE$29,0), IF('CO-PO Mapping'!U$6,$AF$29,0), IF('CO-PO Mapping'!U$7,$AG$29,0) )=0), "-", IF( SUM( IF('CO-PO Mapping'!U$2,$AH37*$AB$29,0), IF('CO-PO Mapping'!U$3,$AI37*$AC$29,0), IF('CO-PO Mapping'!U$4,$AJ37*$AD$29,0), IF('CO-PO Mapping'!U$5,$AK37*$AE$29,0), IF('CO-PO Mapping'!U$6,$AL37*$AF$29,0), IF('CO-PO Mapping'!U$7,$AM37*$AG$29,0)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IF('CO-PO Mapping'!U$6, IF(OR($AR37="-",SUM(IF('CO-PO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IF('CO-PO Mapping'!U$7, IF(OR($AS37="-",SUM(IF('CO-PO Mapping'!U$2,$AB$29,0),IF('CO-PO Mapping'!U$3,$AC$29,0),IF('CO-PO Mapping'!U$4,$AD$29,0),IF('CO-PO Mapping'!U$5,$AE$29,0),IF('CO-PO Mapping'!U$6,$AF$29,0),IF('CO-PO Mapping'!U$7,$AG$29,0))=0), "-", IF(SUM(IF('CO-PO Mapping'!U$2,$AH37*$AB$29,0),IF('CO-PO Mapping'!U$3,$AI37*$AC$29,0),IF('CO-PO Mapping'!U$4,$AJ37*$AD$29,0),IF('CO-PO Mapping'!U$5,$AK37*$AE$29,0),IF('CO-PO Mapping'!U$6,$AL37*$AF$29,0),IF('CO-PO Mapping'!U$7,$AM37*$AG$29,0))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7" s="95" t="str">
        <f>IF('CO-PO Mapping'!V$2, IF(OR($AN37="-",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IF(OR($AP37="-", SUM( IF('CO-PO Mapping'!V$2,$AB$29,0), IF('CO-PO Mapping'!V$3,$AC$29,0), IF('CO-PO Mapping'!V$4,$AD$29,0), IF('CO-PO Mapping'!V$5,$AE$29,0), IF('CO-PO Mapping'!V$6,$AF$29,0), IF('CO-PO Mapping'!V$7,$AG$29,0) )=0), "-", IF( SUM( IF('CO-PO Mapping'!V$2,$AH37*$AB$29,0), IF('CO-PO Mapping'!V$3,$AI37*$AC$29,0), IF('CO-PO Mapping'!V$4,$AJ37*$AD$29,0), IF('CO-PO Mapping'!V$5,$AK37*$AE$29,0), IF('CO-PO Mapping'!V$6,$AL37*$AF$29,0), IF('CO-PO Mapping'!V$7,$AM37*$AG$29,0)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IF('CO-PO Mapping'!V$6, IF(OR($AR37="-",SUM(IF('CO-PO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IF('CO-PO Mapping'!V$7, IF(OR($AS37="-",SUM(IF('CO-PO Mapping'!V$2,$AB$29,0),IF('CO-PO Mapping'!V$3,$AC$29,0),IF('CO-PO Mapping'!V$4,$AD$29,0),IF('CO-PO Mapping'!V$5,$AE$29,0),IF('CO-PO Mapping'!V$6,$AF$29,0),IF('CO-PO Mapping'!V$7,$AG$29,0))=0), "-", IF(SUM(IF('CO-PO Mapping'!V$2,$AH37*$AB$29,0),IF('CO-PO Mapping'!V$3,$AI37*$AC$29,0),IF('CO-PO Mapping'!V$4,$AJ37*$AD$29,0),IF('CO-PO Mapping'!V$5,$AK37*$AE$29,0),IF('CO-PO Mapping'!V$6,$AL37*$AF$29,0),IF('CO-PO Mapping'!V$7,$AM37*$AG$29,0))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7" s="95" t="str">
        <f>IF('CO-PO Mapping'!W$2, IF(OR($AN37="-",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IF(OR($AP37="-", SUM( IF('CO-PO Mapping'!W$2,$AB$29,0), IF('CO-PO Mapping'!W$3,$AC$29,0), IF('CO-PO Mapping'!W$4,$AD$29,0), IF('CO-PO Mapping'!W$5,$AE$29,0), IF('CO-PO Mapping'!W$6,$AF$29,0), IF('CO-PO Mapping'!W$7,$AG$29,0) )=0), "-", IF( SUM( IF('CO-PO Mapping'!W$2,$AH37*$AB$29,0), IF('CO-PO Mapping'!W$3,$AI37*$AC$29,0), IF('CO-PO Mapping'!W$4,$AJ37*$AD$29,0), IF('CO-PO Mapping'!W$5,$AK37*$AE$29,0), IF('CO-PO Mapping'!W$6,$AL37*$AF$29,0), IF('CO-PO Mapping'!W$7,$AM37*$AG$29,0)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IF('CO-PO Mapping'!W$6, IF(OR($AR37="-",SUM(IF('CO-PO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IF('CO-PO Mapping'!W$7, IF(OR($AS37="-",SUM(IF('CO-PO Mapping'!W$2,$AB$29,0),IF('CO-PO Mapping'!W$3,$AC$29,0),IF('CO-PO Mapping'!W$4,$AD$29,0),IF('CO-PO Mapping'!W$5,$AE$29,0),IF('CO-PO Mapping'!W$6,$AF$29,0),IF('CO-PO Mapping'!W$7,$AG$29,0))=0), "-", IF(SUM(IF('CO-PO Mapping'!W$2,$AH37*$AB$29,0),IF('CO-PO Mapping'!W$3,$AI37*$AC$29,0),IF('CO-PO Mapping'!W$4,$AJ37*$AD$29,0),IF('CO-PO Mapping'!W$5,$AK37*$AE$29,0),IF('CO-PO Mapping'!W$6,$AL37*$AF$29,0),IF('CO-PO Mapping'!W$7,$AM37*$AG$29,0))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7" s="95" t="str">
        <f>IF('CO-PO Mapping'!X$2, IF(OR($AN37="-",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IF(OR($AP37="-", SUM( IF('CO-PO Mapping'!X$2,$AB$29,0), IF('CO-PO Mapping'!X$3,$AC$29,0), IF('CO-PO Mapping'!X$4,$AD$29,0), IF('CO-PO Mapping'!X$5,$AE$29,0), IF('CO-PO Mapping'!X$6,$AF$29,0), IF('CO-PO Mapping'!X$7,$AG$29,0) )=0), "-", IF( SUM( IF('CO-PO Mapping'!X$2,$AH37*$AB$29,0), IF('CO-PO Mapping'!X$3,$AI37*$AC$29,0), IF('CO-PO Mapping'!X$4,$AJ37*$AD$29,0), IF('CO-PO Mapping'!X$5,$AK37*$AE$29,0), IF('CO-PO Mapping'!X$6,$AL37*$AF$29,0), IF('CO-PO Mapping'!X$7,$AM37*$AG$29,0)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IF('CO-PO Mapping'!X$6, IF(OR($AR37="-",SUM(IF('CO-PO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IF('CO-PO Mapping'!X$7, IF(OR($AS37="-",SUM(IF('CO-PO Mapping'!X$2,$AB$29,0),IF('CO-PO Mapping'!X$3,$AC$29,0),IF('CO-PO Mapping'!X$4,$AD$29,0),IF('CO-PO Mapping'!X$5,$AE$29,0),IF('CO-PO Mapping'!X$6,$AF$29,0),IF('CO-PO Mapping'!X$7,$AG$29,0))=0), "-", IF(SUM(IF('CO-PO Mapping'!X$2,$AH37*$AB$29,0),IF('CO-PO Mapping'!X$3,$AI37*$AC$29,0),IF('CO-PO Mapping'!X$4,$AJ37*$AD$29,0),IF('CO-PO Mapping'!X$5,$AK37*$AE$29,0),IF('CO-PO Mapping'!X$6,$AL37*$AF$29,0),IF('CO-PO Mapping'!X$7,$AM37*$AG$29,0))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7" s="95" t="str">
        <f>IF('CO-PO Mapping'!Y$2, IF(OR($AN37="-",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IF(OR($AP37="-", SUM( IF('CO-PO Mapping'!Y$2,$AB$29,0), IF('CO-PO Mapping'!Y$3,$AC$29,0), IF('CO-PO Mapping'!Y$4,$AD$29,0), IF('CO-PO Mapping'!Y$5,$AE$29,0), IF('CO-PO Mapping'!Y$6,$AF$29,0), IF('CO-PO Mapping'!Y$7,$AG$29,0) )=0), "-", IF( SUM( IF('CO-PO Mapping'!Y$2,$AH37*$AB$29,0), IF('CO-PO Mapping'!Y$3,$AI37*$AC$29,0), IF('CO-PO Mapping'!Y$4,$AJ37*$AD$29,0), IF('CO-PO Mapping'!Y$5,$AK37*$AE$29,0), IF('CO-PO Mapping'!Y$6,$AL37*$AF$29,0), IF('CO-PO Mapping'!Y$7,$AM37*$AG$29,0)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IF('CO-PO Mapping'!Y$6, IF(OR($AR37="-",SUM(IF('CO-PO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IF('CO-PO Mapping'!Y$7, IF(OR($AS37="-",SUM(IF('CO-PO Mapping'!Y$2,$AB$29,0),IF('CO-PO Mapping'!Y$3,$AC$29,0),IF('CO-PO Mapping'!Y$4,$AD$29,0),IF('CO-PO Mapping'!Y$5,$AE$29,0),IF('CO-PO Mapping'!Y$6,$AF$29,0),IF('CO-PO Mapping'!Y$7,$AG$29,0))=0), "-", IF(SUM(IF('CO-PO Mapping'!Y$2,$AH37*$AB$29,0),IF('CO-PO Mapping'!Y$3,$AI37*$AC$29,0),IF('CO-PO Mapping'!Y$4,$AJ37*$AD$29,0),IF('CO-PO Mapping'!Y$5,$AK37*$AE$29,0),IF('CO-PO Mapping'!Y$6,$AL37*$AF$29,0),IF('CO-PO Mapping'!Y$7,$AM37*$AG$29,0))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7" s="95" t="str">
        <f>IF('CO-PO Mapping'!Z$2, IF(OR($AN37="-",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IF(OR($AP37="-", SUM( IF('CO-PO Mapping'!Z$2,$AB$29,0), IF('CO-PO Mapping'!Z$3,$AC$29,0), IF('CO-PO Mapping'!Z$4,$AD$29,0), IF('CO-PO Mapping'!Z$5,$AE$29,0), IF('CO-PO Mapping'!Z$6,$AF$29,0), IF('CO-PO Mapping'!Z$7,$AG$29,0) )=0), "-", IF( SUM( IF('CO-PO Mapping'!Z$2,$AH37*$AB$29,0), IF('CO-PO Mapping'!Z$3,$AI37*$AC$29,0), IF('CO-PO Mapping'!Z$4,$AJ37*$AD$29,0), IF('CO-PO Mapping'!Z$5,$AK37*$AE$29,0), IF('CO-PO Mapping'!Z$6,$AL37*$AF$29,0), IF('CO-PO Mapping'!Z$7,$AM37*$AG$29,0)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IF('CO-PO Mapping'!Z$6, IF(OR($AR37="-",SUM(IF('CO-PO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IF('CO-PO Mapping'!Z$7, IF(OR($AS37="-",SUM(IF('CO-PO Mapping'!Z$2,$AB$29,0),IF('CO-PO Mapping'!Z$3,$AC$29,0),IF('CO-PO Mapping'!Z$4,$AD$29,0),IF('CO-PO Mapping'!Z$5,$AE$29,0),IF('CO-PO Mapping'!Z$6,$AF$29,0),IF('CO-PO Mapping'!Z$7,$AG$29,0))=0), "-", IF(SUM(IF('CO-PO Mapping'!Z$2,$AH37*$AB$29,0),IF('CO-PO Mapping'!Z$3,$AI37*$AC$29,0),IF('CO-PO Mapping'!Z$4,$AJ37*$AD$29,0),IF('CO-PO Mapping'!Z$5,$AK37*$AE$29,0),IF('CO-PO Mapping'!Z$6,$AL37*$AF$29,0),IF('CO-PO Mapping'!Z$7,$AM37*$AG$29,0))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8" spans="1:57" ht="16.5" customHeight="1">
      <c r="A38" s="117">
        <v>22235103085</v>
      </c>
      <c r="B38" s="118" t="s">
        <v>155</v>
      </c>
      <c r="C38" s="72">
        <v>4</v>
      </c>
      <c r="D38" s="73"/>
      <c r="E38" s="73">
        <v>20</v>
      </c>
      <c r="F38" s="73"/>
      <c r="G38" s="73"/>
      <c r="H38" s="103">
        <f t="shared" si="2"/>
        <v>24</v>
      </c>
      <c r="I38" s="75">
        <v>8</v>
      </c>
      <c r="J38" s="75">
        <v>8</v>
      </c>
      <c r="K38" s="75">
        <v>9</v>
      </c>
      <c r="L38" s="75"/>
      <c r="M38" s="75"/>
      <c r="N38" s="75"/>
      <c r="O38" s="105">
        <f t="shared" si="3"/>
        <v>25</v>
      </c>
      <c r="P38" s="75">
        <v>17</v>
      </c>
      <c r="Q38" s="75">
        <v>18</v>
      </c>
      <c r="R38" s="75"/>
      <c r="S38" s="75"/>
      <c r="T38" s="75"/>
      <c r="U38" s="75"/>
      <c r="V38" s="104">
        <f t="shared" si="4"/>
        <v>35</v>
      </c>
      <c r="W38" s="83">
        <f t="shared" si="5"/>
        <v>84</v>
      </c>
      <c r="X38" s="98" t="str">
        <f t="shared" si="10"/>
        <v>A (Plus)</v>
      </c>
      <c r="Y38" s="45"/>
      <c r="Z38" s="42">
        <f t="shared" si="6"/>
        <v>22235103085</v>
      </c>
      <c r="AA38" s="43" t="str">
        <f t="shared" si="7"/>
        <v>Baizid Biswas Polash</v>
      </c>
      <c r="AB38" s="90">
        <f t="shared" si="11"/>
        <v>32</v>
      </c>
      <c r="AC38" s="90">
        <f t="shared" si="8"/>
        <v>25</v>
      </c>
      <c r="AD38" s="90">
        <f t="shared" si="8"/>
        <v>27</v>
      </c>
      <c r="AE38" s="90">
        <f t="shared" si="8"/>
        <v>0</v>
      </c>
      <c r="AF38" s="90">
        <f t="shared" si="8"/>
        <v>0</v>
      </c>
      <c r="AG38" s="90">
        <f t="shared" si="8"/>
        <v>0</v>
      </c>
      <c r="AH38" s="92">
        <f t="shared" si="12"/>
        <v>80</v>
      </c>
      <c r="AI38" s="92">
        <f t="shared" si="13"/>
        <v>83.333333333333329</v>
      </c>
      <c r="AJ38" s="92">
        <f t="shared" si="14"/>
        <v>90</v>
      </c>
      <c r="AK38" s="92">
        <f t="shared" si="22"/>
        <v>0</v>
      </c>
      <c r="AL38" s="92">
        <f t="shared" si="15"/>
        <v>0</v>
      </c>
      <c r="AM38" s="92">
        <f t="shared" si="16"/>
        <v>0</v>
      </c>
      <c r="AN38" s="93" t="str">
        <f t="shared" si="23"/>
        <v>Y</v>
      </c>
      <c r="AO38" s="93" t="str">
        <f t="shared" si="17"/>
        <v>Y</v>
      </c>
      <c r="AP38" s="93" t="str">
        <f t="shared" si="18"/>
        <v>Y</v>
      </c>
      <c r="AQ38" s="93" t="str">
        <f t="shared" si="19"/>
        <v>N</v>
      </c>
      <c r="AR38" s="93" t="str">
        <f t="shared" si="20"/>
        <v>N</v>
      </c>
      <c r="AS38" s="93" t="str">
        <f t="shared" si="21"/>
        <v>N</v>
      </c>
      <c r="AT38" s="95" t="str">
        <f>IF('CO-PO Mapping'!O$2, IF(OR($AN38="-",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IF(OR($AP38="-", SUM( IF('CO-PO Mapping'!O$2,$AB$29,0), IF('CO-PO Mapping'!O$3,$AC$29,0), IF('CO-PO Mapping'!O$4,$AD$29,0), IF('CO-PO Mapping'!O$5,$AE$29,0), IF('CO-PO Mapping'!O$6,$AF$29,0), IF('CO-PO Mapping'!O$7,$AG$29,0) )=0), "-", IF( SUM( IF('CO-PO Mapping'!O$2,$AH38*$AB$29,0), IF('CO-PO Mapping'!O$3,$AI38*$AC$29,0), IF('CO-PO Mapping'!O$4,$AJ38*$AD$29,0), IF('CO-PO Mapping'!O$5,$AK38*$AE$29,0), IF('CO-PO Mapping'!O$6,$AL38*$AF$29,0), IF('CO-PO Mapping'!O$7,$AM38*$AG$29,0)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IF('CO-PO Mapping'!O$6, IF(OR($AR38="-",SUM(IF('CO-PO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IF('CO-PO Mapping'!O$7, IF(OR($AS38="-",SUM(IF('CO-PO Mapping'!O$2,$AB$29,0),IF('CO-PO Mapping'!O$3,$AC$29,0),IF('CO-PO Mapping'!O$4,$AD$29,0),IF('CO-PO Mapping'!O$5,$AE$29,0),IF('CO-PO Mapping'!O$6,$AF$29,0),IF('CO-PO Mapping'!O$7,$AG$29,0))=0), "-", IF(SUM(IF('CO-PO Mapping'!O$2,$AH38*$AB$29,0),IF('CO-PO Mapping'!O$3,$AI38*$AC$29,0),IF('CO-PO Mapping'!O$4,$AJ38*$AD$29,0),IF('CO-PO Mapping'!O$5,$AK38*$AE$29,0),IF('CO-PO Mapping'!O$6,$AL38*$AF$29,0),IF('CO-PO Mapping'!O$7,$AM38*$AG$29,0))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8" s="95" t="str">
        <f>IF('CO-PO Mapping'!P$2, IF(OR($AN38="-",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IF(OR($AP38="-", SUM( IF('CO-PO Mapping'!P$2,$AB$29,0), IF('CO-PO Mapping'!P$3,$AC$29,0), IF('CO-PO Mapping'!P$4,$AD$29,0), IF('CO-PO Mapping'!P$5,$AE$29,0), IF('CO-PO Mapping'!P$6,$AF$29,0), IF('CO-PO Mapping'!P$7,$AG$29,0) )=0), "-", IF( SUM( IF('CO-PO Mapping'!P$2,$AH38*$AB$29,0), IF('CO-PO Mapping'!P$3,$AI38*$AC$29,0), IF('CO-PO Mapping'!P$4,$AJ38*$AD$29,0), IF('CO-PO Mapping'!P$5,$AK38*$AE$29,0), IF('CO-PO Mapping'!P$6,$AL38*$AF$29,0), IF('CO-PO Mapping'!P$7,$AM38*$AG$29,0)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IF('CO-PO Mapping'!P$6, IF(OR($AR38="-",SUM(IF('CO-PO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IF('CO-PO Mapping'!P$7, IF(OR($AS38="-",SUM(IF('CO-PO Mapping'!P$2,$AB$29,0),IF('CO-PO Mapping'!P$3,$AC$29,0),IF('CO-PO Mapping'!P$4,$AD$29,0),IF('CO-PO Mapping'!P$5,$AE$29,0),IF('CO-PO Mapping'!P$6,$AF$29,0),IF('CO-PO Mapping'!P$7,$AG$29,0))=0), "-", IF(SUM(IF('CO-PO Mapping'!P$2,$AH38*$AB$29,0),IF('CO-PO Mapping'!P$3,$AI38*$AC$29,0),IF('CO-PO Mapping'!P$4,$AJ38*$AD$29,0),IF('CO-PO Mapping'!P$5,$AK38*$AE$29,0),IF('CO-PO Mapping'!P$6,$AL38*$AF$29,0),IF('CO-PO Mapping'!P$7,$AM38*$AG$29,0))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38" s="95" t="str">
        <f>IF('CO-PO Mapping'!Q$2, IF(OR($AN38="-",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IF(OR($AP38="-", SUM( IF('CO-PO Mapping'!Q$2,$AB$29,0), IF('CO-PO Mapping'!Q$3,$AC$29,0), IF('CO-PO Mapping'!Q$4,$AD$29,0), IF('CO-PO Mapping'!Q$5,$AE$29,0), IF('CO-PO Mapping'!Q$6,$AF$29,0), IF('CO-PO Mapping'!Q$7,$AG$29,0) )=0), "-", IF( SUM( IF('CO-PO Mapping'!Q$2,$AH38*$AB$29,0), IF('CO-PO Mapping'!Q$3,$AI38*$AC$29,0), IF('CO-PO Mapping'!Q$4,$AJ38*$AD$29,0), IF('CO-PO Mapping'!Q$5,$AK38*$AE$29,0), IF('CO-PO Mapping'!Q$6,$AL38*$AF$29,0), IF('CO-PO Mapping'!Q$7,$AM38*$AG$29,0)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IF('CO-PO Mapping'!Q$6, IF(OR($AR38="-",SUM(IF('CO-PO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IF('CO-PO Mapping'!Q$7, IF(OR($AS38="-",SUM(IF('CO-PO Mapping'!Q$2,$AB$29,0),IF('CO-PO Mapping'!Q$3,$AC$29,0),IF('CO-PO Mapping'!Q$4,$AD$29,0),IF('CO-PO Mapping'!Q$5,$AE$29,0),IF('CO-PO Mapping'!Q$6,$AF$29,0),IF('CO-PO Mapping'!Q$7,$AG$29,0))=0), "-", IF(SUM(IF('CO-PO Mapping'!Q$2,$AH38*$AB$29,0),IF('CO-PO Mapping'!Q$3,$AI38*$AC$29,0),IF('CO-PO Mapping'!Q$4,$AJ38*$AD$29,0),IF('CO-PO Mapping'!Q$5,$AK38*$AE$29,0),IF('CO-PO Mapping'!Q$6,$AL38*$AF$29,0),IF('CO-PO Mapping'!Q$7,$AM38*$AG$29,0))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38" s="95" t="str">
        <f>IF('CO-PO Mapping'!R$2, IF(OR($AN38="-",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IF(OR($AP38="-", SUM( IF('CO-PO Mapping'!R$2,$AB$29,0), IF('CO-PO Mapping'!R$3,$AC$29,0), IF('CO-PO Mapping'!R$4,$AD$29,0), IF('CO-PO Mapping'!R$5,$AE$29,0), IF('CO-PO Mapping'!R$6,$AF$29,0), IF('CO-PO Mapping'!R$7,$AG$29,0) )=0), "-", IF( SUM( IF('CO-PO Mapping'!R$2,$AH38*$AB$29,0), IF('CO-PO Mapping'!R$3,$AI38*$AC$29,0), IF('CO-PO Mapping'!R$4,$AJ38*$AD$29,0), IF('CO-PO Mapping'!R$5,$AK38*$AE$29,0), IF('CO-PO Mapping'!R$6,$AL38*$AF$29,0), IF('CO-PO Mapping'!R$7,$AM38*$AG$29,0)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IF('CO-PO Mapping'!R$6, IF(OR($AR38="-",SUM(IF('CO-PO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IF('CO-PO Mapping'!R$7, IF(OR($AS38="-",SUM(IF('CO-PO Mapping'!R$2,$AB$29,0),IF('CO-PO Mapping'!R$3,$AC$29,0),IF('CO-PO Mapping'!R$4,$AD$29,0),IF('CO-PO Mapping'!R$5,$AE$29,0),IF('CO-PO Mapping'!R$6,$AF$29,0),IF('CO-PO Mapping'!R$7,$AG$29,0))=0), "-", IF(SUM(IF('CO-PO Mapping'!R$2,$AH38*$AB$29,0),IF('CO-PO Mapping'!R$3,$AI38*$AC$29,0),IF('CO-PO Mapping'!R$4,$AJ38*$AD$29,0),IF('CO-PO Mapping'!R$5,$AK38*$AE$29,0),IF('CO-PO Mapping'!R$6,$AL38*$AF$29,0),IF('CO-PO Mapping'!R$7,$AM38*$AG$29,0))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8" s="95" t="str">
        <f>IF('CO-PO Mapping'!S$2, IF(OR($AN38="-",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IF(OR($AP38="-", SUM( IF('CO-PO Mapping'!S$2,$AB$29,0), IF('CO-PO Mapping'!S$3,$AC$29,0), IF('CO-PO Mapping'!S$4,$AD$29,0), IF('CO-PO Mapping'!S$5,$AE$29,0), IF('CO-PO Mapping'!S$6,$AF$29,0), IF('CO-PO Mapping'!S$7,$AG$29,0) )=0), "-", IF( SUM( IF('CO-PO Mapping'!S$2,$AH38*$AB$29,0), IF('CO-PO Mapping'!S$3,$AI38*$AC$29,0), IF('CO-PO Mapping'!S$4,$AJ38*$AD$29,0), IF('CO-PO Mapping'!S$5,$AK38*$AE$29,0), IF('CO-PO Mapping'!S$6,$AL38*$AF$29,0), IF('CO-PO Mapping'!S$7,$AM38*$AG$29,0)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IF('CO-PO Mapping'!S$6, IF(OR($AR38="-",SUM(IF('CO-PO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IF('CO-PO Mapping'!S$7, IF(OR($AS38="-",SUM(IF('CO-PO Mapping'!S$2,$AB$29,0),IF('CO-PO Mapping'!S$3,$AC$29,0),IF('CO-PO Mapping'!S$4,$AD$29,0),IF('CO-PO Mapping'!S$5,$AE$29,0),IF('CO-PO Mapping'!S$6,$AF$29,0),IF('CO-PO Mapping'!S$7,$AG$29,0))=0), "-", IF(SUM(IF('CO-PO Mapping'!S$2,$AH38*$AB$29,0),IF('CO-PO Mapping'!S$3,$AI38*$AC$29,0),IF('CO-PO Mapping'!S$4,$AJ38*$AD$29,0),IF('CO-PO Mapping'!S$5,$AK38*$AE$29,0),IF('CO-PO Mapping'!S$6,$AL38*$AF$29,0),IF('CO-PO Mapping'!S$7,$AM38*$AG$29,0))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8" s="95" t="str">
        <f>IF('CO-PO Mapping'!T$2, IF(OR($AN38="-",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IF(OR($AP38="-", SUM( IF('CO-PO Mapping'!T$2,$AB$29,0), IF('CO-PO Mapping'!T$3,$AC$29,0), IF('CO-PO Mapping'!T$4,$AD$29,0), IF('CO-PO Mapping'!T$5,$AE$29,0), IF('CO-PO Mapping'!T$6,$AF$29,0), IF('CO-PO Mapping'!T$7,$AG$29,0) )=0), "-", IF( SUM( IF('CO-PO Mapping'!T$2,$AH38*$AB$29,0), IF('CO-PO Mapping'!T$3,$AI38*$AC$29,0), IF('CO-PO Mapping'!T$4,$AJ38*$AD$29,0), IF('CO-PO Mapping'!T$5,$AK38*$AE$29,0), IF('CO-PO Mapping'!T$6,$AL38*$AF$29,0), IF('CO-PO Mapping'!T$7,$AM38*$AG$29,0)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IF('CO-PO Mapping'!T$6, IF(OR($AR38="-",SUM(IF('CO-PO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IF('CO-PO Mapping'!T$7, IF(OR($AS38="-",SUM(IF('CO-PO Mapping'!T$2,$AB$29,0),IF('CO-PO Mapping'!T$3,$AC$29,0),IF('CO-PO Mapping'!T$4,$AD$29,0),IF('CO-PO Mapping'!T$5,$AE$29,0),IF('CO-PO Mapping'!T$6,$AF$29,0),IF('CO-PO Mapping'!T$7,$AG$29,0))=0), "-", IF(SUM(IF('CO-PO Mapping'!T$2,$AH38*$AB$29,0),IF('CO-PO Mapping'!T$3,$AI38*$AC$29,0),IF('CO-PO Mapping'!T$4,$AJ38*$AD$29,0),IF('CO-PO Mapping'!T$5,$AK38*$AE$29,0),IF('CO-PO Mapping'!T$6,$AL38*$AF$29,0),IF('CO-PO Mapping'!T$7,$AM38*$AG$29,0))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8" s="95" t="str">
        <f>IF('CO-PO Mapping'!U$2, IF(OR($AN38="-",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IF(OR($AP38="-", SUM( IF('CO-PO Mapping'!U$2,$AB$29,0), IF('CO-PO Mapping'!U$3,$AC$29,0), IF('CO-PO Mapping'!U$4,$AD$29,0), IF('CO-PO Mapping'!U$5,$AE$29,0), IF('CO-PO Mapping'!U$6,$AF$29,0), IF('CO-PO Mapping'!U$7,$AG$29,0) )=0), "-", IF( SUM( IF('CO-PO Mapping'!U$2,$AH38*$AB$29,0), IF('CO-PO Mapping'!U$3,$AI38*$AC$29,0), IF('CO-PO Mapping'!U$4,$AJ38*$AD$29,0), IF('CO-PO Mapping'!U$5,$AK38*$AE$29,0), IF('CO-PO Mapping'!U$6,$AL38*$AF$29,0), IF('CO-PO Mapping'!U$7,$AM38*$AG$29,0)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IF('CO-PO Mapping'!U$6, IF(OR($AR38="-",SUM(IF('CO-PO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IF('CO-PO Mapping'!U$7, IF(OR($AS38="-",SUM(IF('CO-PO Mapping'!U$2,$AB$29,0),IF('CO-PO Mapping'!U$3,$AC$29,0),IF('CO-PO Mapping'!U$4,$AD$29,0),IF('CO-PO Mapping'!U$5,$AE$29,0),IF('CO-PO Mapping'!U$6,$AF$29,0),IF('CO-PO Mapping'!U$7,$AG$29,0))=0), "-", IF(SUM(IF('CO-PO Mapping'!U$2,$AH38*$AB$29,0),IF('CO-PO Mapping'!U$3,$AI38*$AC$29,0),IF('CO-PO Mapping'!U$4,$AJ38*$AD$29,0),IF('CO-PO Mapping'!U$5,$AK38*$AE$29,0),IF('CO-PO Mapping'!U$6,$AL38*$AF$29,0),IF('CO-PO Mapping'!U$7,$AM38*$AG$29,0))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8" s="95" t="str">
        <f>IF('CO-PO Mapping'!V$2, IF(OR($AN38="-",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IF(OR($AP38="-", SUM( IF('CO-PO Mapping'!V$2,$AB$29,0), IF('CO-PO Mapping'!V$3,$AC$29,0), IF('CO-PO Mapping'!V$4,$AD$29,0), IF('CO-PO Mapping'!V$5,$AE$29,0), IF('CO-PO Mapping'!V$6,$AF$29,0), IF('CO-PO Mapping'!V$7,$AG$29,0) )=0), "-", IF( SUM( IF('CO-PO Mapping'!V$2,$AH38*$AB$29,0), IF('CO-PO Mapping'!V$3,$AI38*$AC$29,0), IF('CO-PO Mapping'!V$4,$AJ38*$AD$29,0), IF('CO-PO Mapping'!V$5,$AK38*$AE$29,0), IF('CO-PO Mapping'!V$6,$AL38*$AF$29,0), IF('CO-PO Mapping'!V$7,$AM38*$AG$29,0)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IF('CO-PO Mapping'!V$6, IF(OR($AR38="-",SUM(IF('CO-PO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IF('CO-PO Mapping'!V$7, IF(OR($AS38="-",SUM(IF('CO-PO Mapping'!V$2,$AB$29,0),IF('CO-PO Mapping'!V$3,$AC$29,0),IF('CO-PO Mapping'!V$4,$AD$29,0),IF('CO-PO Mapping'!V$5,$AE$29,0),IF('CO-PO Mapping'!V$6,$AF$29,0),IF('CO-PO Mapping'!V$7,$AG$29,0))=0), "-", IF(SUM(IF('CO-PO Mapping'!V$2,$AH38*$AB$29,0),IF('CO-PO Mapping'!V$3,$AI38*$AC$29,0),IF('CO-PO Mapping'!V$4,$AJ38*$AD$29,0),IF('CO-PO Mapping'!V$5,$AK38*$AE$29,0),IF('CO-PO Mapping'!V$6,$AL38*$AF$29,0),IF('CO-PO Mapping'!V$7,$AM38*$AG$29,0))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8" s="95" t="str">
        <f>IF('CO-PO Mapping'!W$2, IF(OR($AN38="-",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IF(OR($AP38="-", SUM( IF('CO-PO Mapping'!W$2,$AB$29,0), IF('CO-PO Mapping'!W$3,$AC$29,0), IF('CO-PO Mapping'!W$4,$AD$29,0), IF('CO-PO Mapping'!W$5,$AE$29,0), IF('CO-PO Mapping'!W$6,$AF$29,0), IF('CO-PO Mapping'!W$7,$AG$29,0) )=0), "-", IF( SUM( IF('CO-PO Mapping'!W$2,$AH38*$AB$29,0), IF('CO-PO Mapping'!W$3,$AI38*$AC$29,0), IF('CO-PO Mapping'!W$4,$AJ38*$AD$29,0), IF('CO-PO Mapping'!W$5,$AK38*$AE$29,0), IF('CO-PO Mapping'!W$6,$AL38*$AF$29,0), IF('CO-PO Mapping'!W$7,$AM38*$AG$29,0)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IF('CO-PO Mapping'!W$6, IF(OR($AR38="-",SUM(IF('CO-PO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IF('CO-PO Mapping'!W$7, IF(OR($AS38="-",SUM(IF('CO-PO Mapping'!W$2,$AB$29,0),IF('CO-PO Mapping'!W$3,$AC$29,0),IF('CO-PO Mapping'!W$4,$AD$29,0),IF('CO-PO Mapping'!W$5,$AE$29,0),IF('CO-PO Mapping'!W$6,$AF$29,0),IF('CO-PO Mapping'!W$7,$AG$29,0))=0), "-", IF(SUM(IF('CO-PO Mapping'!W$2,$AH38*$AB$29,0),IF('CO-PO Mapping'!W$3,$AI38*$AC$29,0),IF('CO-PO Mapping'!W$4,$AJ38*$AD$29,0),IF('CO-PO Mapping'!W$5,$AK38*$AE$29,0),IF('CO-PO Mapping'!W$6,$AL38*$AF$29,0),IF('CO-PO Mapping'!W$7,$AM38*$AG$29,0))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8" s="95" t="str">
        <f>IF('CO-PO Mapping'!X$2, IF(OR($AN38="-",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IF(OR($AP38="-", SUM( IF('CO-PO Mapping'!X$2,$AB$29,0), IF('CO-PO Mapping'!X$3,$AC$29,0), IF('CO-PO Mapping'!X$4,$AD$29,0), IF('CO-PO Mapping'!X$5,$AE$29,0), IF('CO-PO Mapping'!X$6,$AF$29,0), IF('CO-PO Mapping'!X$7,$AG$29,0) )=0), "-", IF( SUM( IF('CO-PO Mapping'!X$2,$AH38*$AB$29,0), IF('CO-PO Mapping'!X$3,$AI38*$AC$29,0), IF('CO-PO Mapping'!X$4,$AJ38*$AD$29,0), IF('CO-PO Mapping'!X$5,$AK38*$AE$29,0), IF('CO-PO Mapping'!X$6,$AL38*$AF$29,0), IF('CO-PO Mapping'!X$7,$AM38*$AG$29,0)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IF('CO-PO Mapping'!X$6, IF(OR($AR38="-",SUM(IF('CO-PO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IF('CO-PO Mapping'!X$7, IF(OR($AS38="-",SUM(IF('CO-PO Mapping'!X$2,$AB$29,0),IF('CO-PO Mapping'!X$3,$AC$29,0),IF('CO-PO Mapping'!X$4,$AD$29,0),IF('CO-PO Mapping'!X$5,$AE$29,0),IF('CO-PO Mapping'!X$6,$AF$29,0),IF('CO-PO Mapping'!X$7,$AG$29,0))=0), "-", IF(SUM(IF('CO-PO Mapping'!X$2,$AH38*$AB$29,0),IF('CO-PO Mapping'!X$3,$AI38*$AC$29,0),IF('CO-PO Mapping'!X$4,$AJ38*$AD$29,0),IF('CO-PO Mapping'!X$5,$AK38*$AE$29,0),IF('CO-PO Mapping'!X$6,$AL38*$AF$29,0),IF('CO-PO Mapping'!X$7,$AM38*$AG$29,0))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8" s="95" t="str">
        <f>IF('CO-PO Mapping'!Y$2, IF(OR($AN38="-",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IF(OR($AP38="-", SUM( IF('CO-PO Mapping'!Y$2,$AB$29,0), IF('CO-PO Mapping'!Y$3,$AC$29,0), IF('CO-PO Mapping'!Y$4,$AD$29,0), IF('CO-PO Mapping'!Y$5,$AE$29,0), IF('CO-PO Mapping'!Y$6,$AF$29,0), IF('CO-PO Mapping'!Y$7,$AG$29,0) )=0), "-", IF( SUM( IF('CO-PO Mapping'!Y$2,$AH38*$AB$29,0), IF('CO-PO Mapping'!Y$3,$AI38*$AC$29,0), IF('CO-PO Mapping'!Y$4,$AJ38*$AD$29,0), IF('CO-PO Mapping'!Y$5,$AK38*$AE$29,0), IF('CO-PO Mapping'!Y$6,$AL38*$AF$29,0), IF('CO-PO Mapping'!Y$7,$AM38*$AG$29,0)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IF('CO-PO Mapping'!Y$6, IF(OR($AR38="-",SUM(IF('CO-PO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IF('CO-PO Mapping'!Y$7, IF(OR($AS38="-",SUM(IF('CO-PO Mapping'!Y$2,$AB$29,0),IF('CO-PO Mapping'!Y$3,$AC$29,0),IF('CO-PO Mapping'!Y$4,$AD$29,0),IF('CO-PO Mapping'!Y$5,$AE$29,0),IF('CO-PO Mapping'!Y$6,$AF$29,0),IF('CO-PO Mapping'!Y$7,$AG$29,0))=0), "-", IF(SUM(IF('CO-PO Mapping'!Y$2,$AH38*$AB$29,0),IF('CO-PO Mapping'!Y$3,$AI38*$AC$29,0),IF('CO-PO Mapping'!Y$4,$AJ38*$AD$29,0),IF('CO-PO Mapping'!Y$5,$AK38*$AE$29,0),IF('CO-PO Mapping'!Y$6,$AL38*$AF$29,0),IF('CO-PO Mapping'!Y$7,$AM38*$AG$29,0))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8" s="95" t="str">
        <f>IF('CO-PO Mapping'!Z$2, IF(OR($AN38="-",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IF(OR($AP38="-", SUM( IF('CO-PO Mapping'!Z$2,$AB$29,0), IF('CO-PO Mapping'!Z$3,$AC$29,0), IF('CO-PO Mapping'!Z$4,$AD$29,0), IF('CO-PO Mapping'!Z$5,$AE$29,0), IF('CO-PO Mapping'!Z$6,$AF$29,0), IF('CO-PO Mapping'!Z$7,$AG$29,0) )=0), "-", IF( SUM( IF('CO-PO Mapping'!Z$2,$AH38*$AB$29,0), IF('CO-PO Mapping'!Z$3,$AI38*$AC$29,0), IF('CO-PO Mapping'!Z$4,$AJ38*$AD$29,0), IF('CO-PO Mapping'!Z$5,$AK38*$AE$29,0), IF('CO-PO Mapping'!Z$6,$AL38*$AF$29,0), IF('CO-PO Mapping'!Z$7,$AM38*$AG$29,0)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IF('CO-PO Mapping'!Z$6, IF(OR($AR38="-",SUM(IF('CO-PO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IF('CO-PO Mapping'!Z$7, IF(OR($AS38="-",SUM(IF('CO-PO Mapping'!Z$2,$AB$29,0),IF('CO-PO Mapping'!Z$3,$AC$29,0),IF('CO-PO Mapping'!Z$4,$AD$29,0),IF('CO-PO Mapping'!Z$5,$AE$29,0),IF('CO-PO Mapping'!Z$6,$AF$29,0),IF('CO-PO Mapping'!Z$7,$AG$29,0))=0), "-", IF(SUM(IF('CO-PO Mapping'!Z$2,$AH38*$AB$29,0),IF('CO-PO Mapping'!Z$3,$AI38*$AC$29,0),IF('CO-PO Mapping'!Z$4,$AJ38*$AD$29,0),IF('CO-PO Mapping'!Z$5,$AK38*$AE$29,0),IF('CO-PO Mapping'!Z$6,$AL38*$AF$29,0),IF('CO-PO Mapping'!Z$7,$AM38*$AG$29,0))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39" spans="1:57" ht="16.5" customHeight="1">
      <c r="A39" s="117">
        <v>22235103086</v>
      </c>
      <c r="B39" s="118" t="s">
        <v>156</v>
      </c>
      <c r="C39" s="74">
        <v>4</v>
      </c>
      <c r="D39" s="75"/>
      <c r="E39" s="75">
        <v>20</v>
      </c>
      <c r="F39" s="75"/>
      <c r="G39" s="75"/>
      <c r="H39" s="103">
        <f t="shared" si="2"/>
        <v>24</v>
      </c>
      <c r="I39" s="75">
        <v>7</v>
      </c>
      <c r="J39" s="75">
        <v>6</v>
      </c>
      <c r="K39" s="75">
        <v>2</v>
      </c>
      <c r="L39" s="75"/>
      <c r="M39" s="75"/>
      <c r="N39" s="75"/>
      <c r="O39" s="105">
        <f t="shared" si="3"/>
        <v>15</v>
      </c>
      <c r="P39" s="65">
        <v>10</v>
      </c>
      <c r="Q39" s="65">
        <v>10</v>
      </c>
      <c r="R39" s="65"/>
      <c r="S39" s="65"/>
      <c r="T39" s="65"/>
      <c r="U39" s="65"/>
      <c r="V39" s="104">
        <f t="shared" si="4"/>
        <v>20</v>
      </c>
      <c r="W39" s="83">
        <f t="shared" si="5"/>
        <v>59</v>
      </c>
      <c r="X39" s="98" t="str">
        <f t="shared" si="10"/>
        <v>B (Minus)</v>
      </c>
      <c r="Y39" s="46"/>
      <c r="Z39" s="42">
        <f t="shared" si="6"/>
        <v>22235103086</v>
      </c>
      <c r="AA39" s="43" t="str">
        <f t="shared" si="7"/>
        <v>Md. Rasedul Islam</v>
      </c>
      <c r="AB39" s="90">
        <f t="shared" si="11"/>
        <v>31</v>
      </c>
      <c r="AC39" s="90">
        <f t="shared" si="8"/>
        <v>16</v>
      </c>
      <c r="AD39" s="90">
        <f t="shared" si="8"/>
        <v>12</v>
      </c>
      <c r="AE39" s="90">
        <f t="shared" si="8"/>
        <v>0</v>
      </c>
      <c r="AF39" s="90">
        <f t="shared" si="8"/>
        <v>0</v>
      </c>
      <c r="AG39" s="90">
        <f t="shared" si="8"/>
        <v>0</v>
      </c>
      <c r="AH39" s="92">
        <f t="shared" si="12"/>
        <v>77.5</v>
      </c>
      <c r="AI39" s="92">
        <f t="shared" si="13"/>
        <v>53.333333333333336</v>
      </c>
      <c r="AJ39" s="92">
        <f t="shared" si="14"/>
        <v>40</v>
      </c>
      <c r="AK39" s="92">
        <f t="shared" si="22"/>
        <v>0</v>
      </c>
      <c r="AL39" s="92">
        <f t="shared" si="15"/>
        <v>0</v>
      </c>
      <c r="AM39" s="92">
        <f t="shared" si="16"/>
        <v>0</v>
      </c>
      <c r="AN39" s="93" t="str">
        <f t="shared" si="23"/>
        <v>Y</v>
      </c>
      <c r="AO39" s="93" t="str">
        <f t="shared" si="17"/>
        <v>Y</v>
      </c>
      <c r="AP39" s="93" t="str">
        <f t="shared" si="18"/>
        <v>N</v>
      </c>
      <c r="AQ39" s="93" t="str">
        <f t="shared" si="19"/>
        <v>N</v>
      </c>
      <c r="AR39" s="93" t="str">
        <f t="shared" si="20"/>
        <v>N</v>
      </c>
      <c r="AS39" s="93" t="str">
        <f t="shared" si="21"/>
        <v>N</v>
      </c>
      <c r="AT39" s="95" t="str">
        <f>IF('CO-PO Mapping'!O$2, IF(OR($AN39="-",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IF(OR($AP39="-", SUM( IF('CO-PO Mapping'!O$2,$AB$29,0), IF('CO-PO Mapping'!O$3,$AC$29,0), IF('CO-PO Mapping'!O$4,$AD$29,0), IF('CO-PO Mapping'!O$5,$AE$29,0), IF('CO-PO Mapping'!O$6,$AF$29,0), IF('CO-PO Mapping'!O$7,$AG$29,0) )=0), "-", IF( SUM( IF('CO-PO Mapping'!O$2,$AH39*$AB$29,0), IF('CO-PO Mapping'!O$3,$AI39*$AC$29,0), IF('CO-PO Mapping'!O$4,$AJ39*$AD$29,0), IF('CO-PO Mapping'!O$5,$AK39*$AE$29,0), IF('CO-PO Mapping'!O$6,$AL39*$AF$29,0), IF('CO-PO Mapping'!O$7,$AM39*$AG$29,0)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IF('CO-PO Mapping'!O$6, IF(OR($AR39="-",SUM(IF('CO-PO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IF('CO-PO Mapping'!O$7, IF(OR($AS39="-",SUM(IF('CO-PO Mapping'!O$2,$AB$29,0),IF('CO-PO Mapping'!O$3,$AC$29,0),IF('CO-PO Mapping'!O$4,$AD$29,0),IF('CO-PO Mapping'!O$5,$AE$29,0),IF('CO-PO Mapping'!O$6,$AF$29,0),IF('CO-PO Mapping'!O$7,$AG$29,0))=0), "-", IF(SUM(IF('CO-PO Mapping'!O$2,$AH39*$AB$29,0),IF('CO-PO Mapping'!O$3,$AI39*$AC$29,0),IF('CO-PO Mapping'!O$4,$AJ39*$AD$29,0),IF('CO-PO Mapping'!O$5,$AK39*$AE$29,0),IF('CO-PO Mapping'!O$6,$AL39*$AF$29,0),IF('CO-PO Mapping'!O$7,$AM39*$AG$29,0))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39" s="95" t="str">
        <f>IF('CO-PO Mapping'!P$2, IF(OR($AN39="-",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IF(OR($AP39="-", SUM( IF('CO-PO Mapping'!P$2,$AB$29,0), IF('CO-PO Mapping'!P$3,$AC$29,0), IF('CO-PO Mapping'!P$4,$AD$29,0), IF('CO-PO Mapping'!P$5,$AE$29,0), IF('CO-PO Mapping'!P$6,$AF$29,0), IF('CO-PO Mapping'!P$7,$AG$29,0) )=0), "-", IF( SUM( IF('CO-PO Mapping'!P$2,$AH39*$AB$29,0), IF('CO-PO Mapping'!P$3,$AI39*$AC$29,0), IF('CO-PO Mapping'!P$4,$AJ39*$AD$29,0), IF('CO-PO Mapping'!P$5,$AK39*$AE$29,0), IF('CO-PO Mapping'!P$6,$AL39*$AF$29,0), IF('CO-PO Mapping'!P$7,$AM39*$AG$29,0)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IF('CO-PO Mapping'!P$6, IF(OR($AR39="-",SUM(IF('CO-PO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IF('CO-PO Mapping'!P$7, IF(OR($AS39="-",SUM(IF('CO-PO Mapping'!P$2,$AB$29,0),IF('CO-PO Mapping'!P$3,$AC$29,0),IF('CO-PO Mapping'!P$4,$AD$29,0),IF('CO-PO Mapping'!P$5,$AE$29,0),IF('CO-PO Mapping'!P$6,$AF$29,0),IF('CO-PO Mapping'!P$7,$AG$29,0))=0), "-", IF(SUM(IF('CO-PO Mapping'!P$2,$AH39*$AB$29,0),IF('CO-PO Mapping'!P$3,$AI39*$AC$29,0),IF('CO-PO Mapping'!P$4,$AJ39*$AD$29,0),IF('CO-PO Mapping'!P$5,$AK39*$AE$29,0),IF('CO-PO Mapping'!P$6,$AL39*$AF$29,0),IF('CO-PO Mapping'!P$7,$AM39*$AG$29,0))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39" s="95" t="str">
        <f>IF('CO-PO Mapping'!Q$2, IF(OR($AN39="-",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IF(OR($AP39="-", SUM( IF('CO-PO Mapping'!Q$2,$AB$29,0), IF('CO-PO Mapping'!Q$3,$AC$29,0), IF('CO-PO Mapping'!Q$4,$AD$29,0), IF('CO-PO Mapping'!Q$5,$AE$29,0), IF('CO-PO Mapping'!Q$6,$AF$29,0), IF('CO-PO Mapping'!Q$7,$AG$29,0) )=0), "-", IF( SUM( IF('CO-PO Mapping'!Q$2,$AH39*$AB$29,0), IF('CO-PO Mapping'!Q$3,$AI39*$AC$29,0), IF('CO-PO Mapping'!Q$4,$AJ39*$AD$29,0), IF('CO-PO Mapping'!Q$5,$AK39*$AE$29,0), IF('CO-PO Mapping'!Q$6,$AL39*$AF$29,0), IF('CO-PO Mapping'!Q$7,$AM39*$AG$29,0)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IF('CO-PO Mapping'!Q$6, IF(OR($AR39="-",SUM(IF('CO-PO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IF('CO-PO Mapping'!Q$7, IF(OR($AS39="-",SUM(IF('CO-PO Mapping'!Q$2,$AB$29,0),IF('CO-PO Mapping'!Q$3,$AC$29,0),IF('CO-PO Mapping'!Q$4,$AD$29,0),IF('CO-PO Mapping'!Q$5,$AE$29,0),IF('CO-PO Mapping'!Q$6,$AF$29,0),IF('CO-PO Mapping'!Q$7,$AG$29,0))=0), "-", IF(SUM(IF('CO-PO Mapping'!Q$2,$AH39*$AB$29,0),IF('CO-PO Mapping'!Q$3,$AI39*$AC$29,0),IF('CO-PO Mapping'!Q$4,$AJ39*$AD$29,0),IF('CO-PO Mapping'!Q$5,$AK39*$AE$29,0),IF('CO-PO Mapping'!Q$6,$AL39*$AF$29,0),IF('CO-PO Mapping'!Q$7,$AM39*$AG$29,0)) / SUM(IF('CO-PO Mapping'!Q$2,$AB$29,0),IF('CO-PO Mapping'!Q$3,$AC$29,0),IF('CO-PO Mapping'!Q$4,$AD$29,0),IF('CO-PO Mapping'!Q$5,$AE$29,0),IF('CO-PO Mapping'!Q$6,$AF$29,0),IF('CO-PO Mapping'!Q$7,$AG$29,0)) &gt;=$AW$27,"Y","N" ) ), "-"))))))</f>
        <v>N</v>
      </c>
      <c r="AW39" s="95" t="str">
        <f>IF('CO-PO Mapping'!R$2, IF(OR($AN39="-",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IF(OR($AP39="-", SUM( IF('CO-PO Mapping'!R$2,$AB$29,0), IF('CO-PO Mapping'!R$3,$AC$29,0), IF('CO-PO Mapping'!R$4,$AD$29,0), IF('CO-PO Mapping'!R$5,$AE$29,0), IF('CO-PO Mapping'!R$6,$AF$29,0), IF('CO-PO Mapping'!R$7,$AG$29,0) )=0), "-", IF( SUM( IF('CO-PO Mapping'!R$2,$AH39*$AB$29,0), IF('CO-PO Mapping'!R$3,$AI39*$AC$29,0), IF('CO-PO Mapping'!R$4,$AJ39*$AD$29,0), IF('CO-PO Mapping'!R$5,$AK39*$AE$29,0), IF('CO-PO Mapping'!R$6,$AL39*$AF$29,0), IF('CO-PO Mapping'!R$7,$AM39*$AG$29,0)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IF('CO-PO Mapping'!R$6, IF(OR($AR39="-",SUM(IF('CO-PO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IF('CO-PO Mapping'!R$7, IF(OR($AS39="-",SUM(IF('CO-PO Mapping'!R$2,$AB$29,0),IF('CO-PO Mapping'!R$3,$AC$29,0),IF('CO-PO Mapping'!R$4,$AD$29,0),IF('CO-PO Mapping'!R$5,$AE$29,0),IF('CO-PO Mapping'!R$6,$AF$29,0),IF('CO-PO Mapping'!R$7,$AG$29,0))=0), "-", IF(SUM(IF('CO-PO Mapping'!R$2,$AH39*$AB$29,0),IF('CO-PO Mapping'!R$3,$AI39*$AC$29,0),IF('CO-PO Mapping'!R$4,$AJ39*$AD$29,0),IF('CO-PO Mapping'!R$5,$AK39*$AE$29,0),IF('CO-PO Mapping'!R$6,$AL39*$AF$29,0),IF('CO-PO Mapping'!R$7,$AM39*$AG$29,0))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39" s="95" t="str">
        <f>IF('CO-PO Mapping'!S$2, IF(OR($AN39="-",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IF(OR($AP39="-", SUM( IF('CO-PO Mapping'!S$2,$AB$29,0), IF('CO-PO Mapping'!S$3,$AC$29,0), IF('CO-PO Mapping'!S$4,$AD$29,0), IF('CO-PO Mapping'!S$5,$AE$29,0), IF('CO-PO Mapping'!S$6,$AF$29,0), IF('CO-PO Mapping'!S$7,$AG$29,0) )=0), "-", IF( SUM( IF('CO-PO Mapping'!S$2,$AH39*$AB$29,0), IF('CO-PO Mapping'!S$3,$AI39*$AC$29,0), IF('CO-PO Mapping'!S$4,$AJ39*$AD$29,0), IF('CO-PO Mapping'!S$5,$AK39*$AE$29,0), IF('CO-PO Mapping'!S$6,$AL39*$AF$29,0), IF('CO-PO Mapping'!S$7,$AM39*$AG$29,0)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IF('CO-PO Mapping'!S$6, IF(OR($AR39="-",SUM(IF('CO-PO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IF('CO-PO Mapping'!S$7, IF(OR($AS39="-",SUM(IF('CO-PO Mapping'!S$2,$AB$29,0),IF('CO-PO Mapping'!S$3,$AC$29,0),IF('CO-PO Mapping'!S$4,$AD$29,0),IF('CO-PO Mapping'!S$5,$AE$29,0),IF('CO-PO Mapping'!S$6,$AF$29,0),IF('CO-PO Mapping'!S$7,$AG$29,0))=0), "-", IF(SUM(IF('CO-PO Mapping'!S$2,$AH39*$AB$29,0),IF('CO-PO Mapping'!S$3,$AI39*$AC$29,0),IF('CO-PO Mapping'!S$4,$AJ39*$AD$29,0),IF('CO-PO Mapping'!S$5,$AK39*$AE$29,0),IF('CO-PO Mapping'!S$6,$AL39*$AF$29,0),IF('CO-PO Mapping'!S$7,$AM39*$AG$29,0))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39" s="95" t="str">
        <f>IF('CO-PO Mapping'!T$2, IF(OR($AN39="-",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IF(OR($AP39="-", SUM( IF('CO-PO Mapping'!T$2,$AB$29,0), IF('CO-PO Mapping'!T$3,$AC$29,0), IF('CO-PO Mapping'!T$4,$AD$29,0), IF('CO-PO Mapping'!T$5,$AE$29,0), IF('CO-PO Mapping'!T$6,$AF$29,0), IF('CO-PO Mapping'!T$7,$AG$29,0) )=0), "-", IF( SUM( IF('CO-PO Mapping'!T$2,$AH39*$AB$29,0), IF('CO-PO Mapping'!T$3,$AI39*$AC$29,0), IF('CO-PO Mapping'!T$4,$AJ39*$AD$29,0), IF('CO-PO Mapping'!T$5,$AK39*$AE$29,0), IF('CO-PO Mapping'!T$6,$AL39*$AF$29,0), IF('CO-PO Mapping'!T$7,$AM39*$AG$29,0)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IF('CO-PO Mapping'!T$6, IF(OR($AR39="-",SUM(IF('CO-PO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IF('CO-PO Mapping'!T$7, IF(OR($AS39="-",SUM(IF('CO-PO Mapping'!T$2,$AB$29,0),IF('CO-PO Mapping'!T$3,$AC$29,0),IF('CO-PO Mapping'!T$4,$AD$29,0),IF('CO-PO Mapping'!T$5,$AE$29,0),IF('CO-PO Mapping'!T$6,$AF$29,0),IF('CO-PO Mapping'!T$7,$AG$29,0))=0), "-", IF(SUM(IF('CO-PO Mapping'!T$2,$AH39*$AB$29,0),IF('CO-PO Mapping'!T$3,$AI39*$AC$29,0),IF('CO-PO Mapping'!T$4,$AJ39*$AD$29,0),IF('CO-PO Mapping'!T$5,$AK39*$AE$29,0),IF('CO-PO Mapping'!T$6,$AL39*$AF$29,0),IF('CO-PO Mapping'!T$7,$AM39*$AG$29,0))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39" s="95" t="str">
        <f>IF('CO-PO Mapping'!U$2, IF(OR($AN39="-",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IF(OR($AP39="-", SUM( IF('CO-PO Mapping'!U$2,$AB$29,0), IF('CO-PO Mapping'!U$3,$AC$29,0), IF('CO-PO Mapping'!U$4,$AD$29,0), IF('CO-PO Mapping'!U$5,$AE$29,0), IF('CO-PO Mapping'!U$6,$AF$29,0), IF('CO-PO Mapping'!U$7,$AG$29,0) )=0), "-", IF( SUM( IF('CO-PO Mapping'!U$2,$AH39*$AB$29,0), IF('CO-PO Mapping'!U$3,$AI39*$AC$29,0), IF('CO-PO Mapping'!U$4,$AJ39*$AD$29,0), IF('CO-PO Mapping'!U$5,$AK39*$AE$29,0), IF('CO-PO Mapping'!U$6,$AL39*$AF$29,0), IF('CO-PO Mapping'!U$7,$AM39*$AG$29,0)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IF('CO-PO Mapping'!U$6, IF(OR($AR39="-",SUM(IF('CO-PO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IF('CO-PO Mapping'!U$7, IF(OR($AS39="-",SUM(IF('CO-PO Mapping'!U$2,$AB$29,0),IF('CO-PO Mapping'!U$3,$AC$29,0),IF('CO-PO Mapping'!U$4,$AD$29,0),IF('CO-PO Mapping'!U$5,$AE$29,0),IF('CO-PO Mapping'!U$6,$AF$29,0),IF('CO-PO Mapping'!U$7,$AG$29,0))=0), "-", IF(SUM(IF('CO-PO Mapping'!U$2,$AH39*$AB$29,0),IF('CO-PO Mapping'!U$3,$AI39*$AC$29,0),IF('CO-PO Mapping'!U$4,$AJ39*$AD$29,0),IF('CO-PO Mapping'!U$5,$AK39*$AE$29,0),IF('CO-PO Mapping'!U$6,$AL39*$AF$29,0),IF('CO-PO Mapping'!U$7,$AM39*$AG$29,0))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39" s="95" t="str">
        <f>IF('CO-PO Mapping'!V$2, IF(OR($AN39="-",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IF(OR($AP39="-", SUM( IF('CO-PO Mapping'!V$2,$AB$29,0), IF('CO-PO Mapping'!V$3,$AC$29,0), IF('CO-PO Mapping'!V$4,$AD$29,0), IF('CO-PO Mapping'!V$5,$AE$29,0), IF('CO-PO Mapping'!V$6,$AF$29,0), IF('CO-PO Mapping'!V$7,$AG$29,0) )=0), "-", IF( SUM( IF('CO-PO Mapping'!V$2,$AH39*$AB$29,0), IF('CO-PO Mapping'!V$3,$AI39*$AC$29,0), IF('CO-PO Mapping'!V$4,$AJ39*$AD$29,0), IF('CO-PO Mapping'!V$5,$AK39*$AE$29,0), IF('CO-PO Mapping'!V$6,$AL39*$AF$29,0), IF('CO-PO Mapping'!V$7,$AM39*$AG$29,0)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IF('CO-PO Mapping'!V$6, IF(OR($AR39="-",SUM(IF('CO-PO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IF('CO-PO Mapping'!V$7, IF(OR($AS39="-",SUM(IF('CO-PO Mapping'!V$2,$AB$29,0),IF('CO-PO Mapping'!V$3,$AC$29,0),IF('CO-PO Mapping'!V$4,$AD$29,0),IF('CO-PO Mapping'!V$5,$AE$29,0),IF('CO-PO Mapping'!V$6,$AF$29,0),IF('CO-PO Mapping'!V$7,$AG$29,0))=0), "-", IF(SUM(IF('CO-PO Mapping'!V$2,$AH39*$AB$29,0),IF('CO-PO Mapping'!V$3,$AI39*$AC$29,0),IF('CO-PO Mapping'!V$4,$AJ39*$AD$29,0),IF('CO-PO Mapping'!V$5,$AK39*$AE$29,0),IF('CO-PO Mapping'!V$6,$AL39*$AF$29,0),IF('CO-PO Mapping'!V$7,$AM39*$AG$29,0))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39" s="95" t="str">
        <f>IF('CO-PO Mapping'!W$2, IF(OR($AN39="-",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IF(OR($AP39="-", SUM( IF('CO-PO Mapping'!W$2,$AB$29,0), IF('CO-PO Mapping'!W$3,$AC$29,0), IF('CO-PO Mapping'!W$4,$AD$29,0), IF('CO-PO Mapping'!W$5,$AE$29,0), IF('CO-PO Mapping'!W$6,$AF$29,0), IF('CO-PO Mapping'!W$7,$AG$29,0) )=0), "-", IF( SUM( IF('CO-PO Mapping'!W$2,$AH39*$AB$29,0), IF('CO-PO Mapping'!W$3,$AI39*$AC$29,0), IF('CO-PO Mapping'!W$4,$AJ39*$AD$29,0), IF('CO-PO Mapping'!W$5,$AK39*$AE$29,0), IF('CO-PO Mapping'!W$6,$AL39*$AF$29,0), IF('CO-PO Mapping'!W$7,$AM39*$AG$29,0)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IF('CO-PO Mapping'!W$6, IF(OR($AR39="-",SUM(IF('CO-PO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IF('CO-PO Mapping'!W$7, IF(OR($AS39="-",SUM(IF('CO-PO Mapping'!W$2,$AB$29,0),IF('CO-PO Mapping'!W$3,$AC$29,0),IF('CO-PO Mapping'!W$4,$AD$29,0),IF('CO-PO Mapping'!W$5,$AE$29,0),IF('CO-PO Mapping'!W$6,$AF$29,0),IF('CO-PO Mapping'!W$7,$AG$29,0))=0), "-", IF(SUM(IF('CO-PO Mapping'!W$2,$AH39*$AB$29,0),IF('CO-PO Mapping'!W$3,$AI39*$AC$29,0),IF('CO-PO Mapping'!W$4,$AJ39*$AD$29,0),IF('CO-PO Mapping'!W$5,$AK39*$AE$29,0),IF('CO-PO Mapping'!W$6,$AL39*$AF$29,0),IF('CO-PO Mapping'!W$7,$AM39*$AG$29,0))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39" s="95" t="str">
        <f>IF('CO-PO Mapping'!X$2, IF(OR($AN39="-",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IF(OR($AP39="-", SUM( IF('CO-PO Mapping'!X$2,$AB$29,0), IF('CO-PO Mapping'!X$3,$AC$29,0), IF('CO-PO Mapping'!X$4,$AD$29,0), IF('CO-PO Mapping'!X$5,$AE$29,0), IF('CO-PO Mapping'!X$6,$AF$29,0), IF('CO-PO Mapping'!X$7,$AG$29,0) )=0), "-", IF( SUM( IF('CO-PO Mapping'!X$2,$AH39*$AB$29,0), IF('CO-PO Mapping'!X$3,$AI39*$AC$29,0), IF('CO-PO Mapping'!X$4,$AJ39*$AD$29,0), IF('CO-PO Mapping'!X$5,$AK39*$AE$29,0), IF('CO-PO Mapping'!X$6,$AL39*$AF$29,0), IF('CO-PO Mapping'!X$7,$AM39*$AG$29,0)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IF('CO-PO Mapping'!X$6, IF(OR($AR39="-",SUM(IF('CO-PO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IF('CO-PO Mapping'!X$7, IF(OR($AS39="-",SUM(IF('CO-PO Mapping'!X$2,$AB$29,0),IF('CO-PO Mapping'!X$3,$AC$29,0),IF('CO-PO Mapping'!X$4,$AD$29,0),IF('CO-PO Mapping'!X$5,$AE$29,0),IF('CO-PO Mapping'!X$6,$AF$29,0),IF('CO-PO Mapping'!X$7,$AG$29,0))=0), "-", IF(SUM(IF('CO-PO Mapping'!X$2,$AH39*$AB$29,0),IF('CO-PO Mapping'!X$3,$AI39*$AC$29,0),IF('CO-PO Mapping'!X$4,$AJ39*$AD$29,0),IF('CO-PO Mapping'!X$5,$AK39*$AE$29,0),IF('CO-PO Mapping'!X$6,$AL39*$AF$29,0),IF('CO-PO Mapping'!X$7,$AM39*$AG$29,0))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39" s="95" t="str">
        <f>IF('CO-PO Mapping'!Y$2, IF(OR($AN39="-",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IF(OR($AP39="-", SUM( IF('CO-PO Mapping'!Y$2,$AB$29,0), IF('CO-PO Mapping'!Y$3,$AC$29,0), IF('CO-PO Mapping'!Y$4,$AD$29,0), IF('CO-PO Mapping'!Y$5,$AE$29,0), IF('CO-PO Mapping'!Y$6,$AF$29,0), IF('CO-PO Mapping'!Y$7,$AG$29,0) )=0), "-", IF( SUM( IF('CO-PO Mapping'!Y$2,$AH39*$AB$29,0), IF('CO-PO Mapping'!Y$3,$AI39*$AC$29,0), IF('CO-PO Mapping'!Y$4,$AJ39*$AD$29,0), IF('CO-PO Mapping'!Y$5,$AK39*$AE$29,0), IF('CO-PO Mapping'!Y$6,$AL39*$AF$29,0), IF('CO-PO Mapping'!Y$7,$AM39*$AG$29,0)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IF('CO-PO Mapping'!Y$6, IF(OR($AR39="-",SUM(IF('CO-PO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IF('CO-PO Mapping'!Y$7, IF(OR($AS39="-",SUM(IF('CO-PO Mapping'!Y$2,$AB$29,0),IF('CO-PO Mapping'!Y$3,$AC$29,0),IF('CO-PO Mapping'!Y$4,$AD$29,0),IF('CO-PO Mapping'!Y$5,$AE$29,0),IF('CO-PO Mapping'!Y$6,$AF$29,0),IF('CO-PO Mapping'!Y$7,$AG$29,0))=0), "-", IF(SUM(IF('CO-PO Mapping'!Y$2,$AH39*$AB$29,0),IF('CO-PO Mapping'!Y$3,$AI39*$AC$29,0),IF('CO-PO Mapping'!Y$4,$AJ39*$AD$29,0),IF('CO-PO Mapping'!Y$5,$AK39*$AE$29,0),IF('CO-PO Mapping'!Y$6,$AL39*$AF$29,0),IF('CO-PO Mapping'!Y$7,$AM39*$AG$29,0))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39" s="95" t="str">
        <f>IF('CO-PO Mapping'!Z$2, IF(OR($AN39="-",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IF(OR($AP39="-", SUM( IF('CO-PO Mapping'!Z$2,$AB$29,0), IF('CO-PO Mapping'!Z$3,$AC$29,0), IF('CO-PO Mapping'!Z$4,$AD$29,0), IF('CO-PO Mapping'!Z$5,$AE$29,0), IF('CO-PO Mapping'!Z$6,$AF$29,0), IF('CO-PO Mapping'!Z$7,$AG$29,0) )=0), "-", IF( SUM( IF('CO-PO Mapping'!Z$2,$AH39*$AB$29,0), IF('CO-PO Mapping'!Z$3,$AI39*$AC$29,0), IF('CO-PO Mapping'!Z$4,$AJ39*$AD$29,0), IF('CO-PO Mapping'!Z$5,$AK39*$AE$29,0), IF('CO-PO Mapping'!Z$6,$AL39*$AF$29,0), IF('CO-PO Mapping'!Z$7,$AM39*$AG$29,0)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IF('CO-PO Mapping'!Z$6, IF(OR($AR39="-",SUM(IF('CO-PO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IF('CO-PO Mapping'!Z$7, IF(OR($AS39="-",SUM(IF('CO-PO Mapping'!Z$2,$AB$29,0),IF('CO-PO Mapping'!Z$3,$AC$29,0),IF('CO-PO Mapping'!Z$4,$AD$29,0),IF('CO-PO Mapping'!Z$5,$AE$29,0),IF('CO-PO Mapping'!Z$6,$AF$29,0),IF('CO-PO Mapping'!Z$7,$AG$29,0))=0), "-", IF(SUM(IF('CO-PO Mapping'!Z$2,$AH39*$AB$29,0),IF('CO-PO Mapping'!Z$3,$AI39*$AC$29,0),IF('CO-PO Mapping'!Z$4,$AJ39*$AD$29,0),IF('CO-PO Mapping'!Z$5,$AK39*$AE$29,0),IF('CO-PO Mapping'!Z$6,$AL39*$AF$29,0),IF('CO-PO Mapping'!Z$7,$AM39*$AG$29,0))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0" spans="1:57" ht="16.5" customHeight="1">
      <c r="A40" s="117">
        <v>22235103087</v>
      </c>
      <c r="B40" s="118" t="s">
        <v>157</v>
      </c>
      <c r="C40" s="74">
        <v>4</v>
      </c>
      <c r="D40" s="75"/>
      <c r="E40" s="75">
        <v>20</v>
      </c>
      <c r="F40" s="75"/>
      <c r="G40" s="75"/>
      <c r="H40" s="103">
        <f t="shared" si="2"/>
        <v>24</v>
      </c>
      <c r="I40" s="75">
        <v>7</v>
      </c>
      <c r="J40" s="75">
        <v>6</v>
      </c>
      <c r="K40" s="75">
        <v>2</v>
      </c>
      <c r="L40" s="75"/>
      <c r="M40" s="75"/>
      <c r="N40" s="75"/>
      <c r="O40" s="105">
        <f t="shared" si="3"/>
        <v>15</v>
      </c>
      <c r="P40" s="75">
        <v>10</v>
      </c>
      <c r="Q40" s="75">
        <v>10</v>
      </c>
      <c r="R40" s="75"/>
      <c r="S40" s="75"/>
      <c r="T40" s="75"/>
      <c r="U40" s="75"/>
      <c r="V40" s="104">
        <f t="shared" si="4"/>
        <v>20</v>
      </c>
      <c r="W40" s="83">
        <f t="shared" si="5"/>
        <v>59</v>
      </c>
      <c r="X40" s="98" t="str">
        <f t="shared" si="10"/>
        <v>B (Minus)</v>
      </c>
      <c r="Y40" s="46"/>
      <c r="Z40" s="42">
        <f t="shared" si="6"/>
        <v>22235103087</v>
      </c>
      <c r="AA40" s="43" t="str">
        <f t="shared" si="7"/>
        <v>Md. Abdul Wahid</v>
      </c>
      <c r="AB40" s="90">
        <f t="shared" si="11"/>
        <v>31</v>
      </c>
      <c r="AC40" s="90">
        <f t="shared" si="8"/>
        <v>16</v>
      </c>
      <c r="AD40" s="90">
        <f t="shared" si="8"/>
        <v>12</v>
      </c>
      <c r="AE40" s="90">
        <f t="shared" si="8"/>
        <v>0</v>
      </c>
      <c r="AF40" s="90">
        <f t="shared" si="8"/>
        <v>0</v>
      </c>
      <c r="AG40" s="90">
        <f t="shared" si="8"/>
        <v>0</v>
      </c>
      <c r="AH40" s="92">
        <f t="shared" si="12"/>
        <v>77.5</v>
      </c>
      <c r="AI40" s="92">
        <f t="shared" si="13"/>
        <v>53.333333333333336</v>
      </c>
      <c r="AJ40" s="92">
        <f t="shared" si="14"/>
        <v>40</v>
      </c>
      <c r="AK40" s="92">
        <f t="shared" si="22"/>
        <v>0</v>
      </c>
      <c r="AL40" s="92">
        <f t="shared" si="15"/>
        <v>0</v>
      </c>
      <c r="AM40" s="92">
        <f t="shared" si="16"/>
        <v>0</v>
      </c>
      <c r="AN40" s="93" t="str">
        <f t="shared" si="23"/>
        <v>Y</v>
      </c>
      <c r="AO40" s="93" t="str">
        <f t="shared" si="17"/>
        <v>Y</v>
      </c>
      <c r="AP40" s="93" t="str">
        <f t="shared" si="18"/>
        <v>N</v>
      </c>
      <c r="AQ40" s="93" t="str">
        <f t="shared" si="19"/>
        <v>N</v>
      </c>
      <c r="AR40" s="93" t="str">
        <f t="shared" si="20"/>
        <v>N</v>
      </c>
      <c r="AS40" s="93" t="str">
        <f t="shared" si="21"/>
        <v>N</v>
      </c>
      <c r="AT40" s="95" t="str">
        <f>IF('CO-PO Mapping'!O$2, IF(OR($AN40="-",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IF(OR($AP40="-", SUM( IF('CO-PO Mapping'!O$2,$AB$29,0), IF('CO-PO Mapping'!O$3,$AC$29,0), IF('CO-PO Mapping'!O$4,$AD$29,0), IF('CO-PO Mapping'!O$5,$AE$29,0), IF('CO-PO Mapping'!O$6,$AF$29,0), IF('CO-PO Mapping'!O$7,$AG$29,0) )=0), "-", IF( SUM( IF('CO-PO Mapping'!O$2,$AH40*$AB$29,0), IF('CO-PO Mapping'!O$3,$AI40*$AC$29,0), IF('CO-PO Mapping'!O$4,$AJ40*$AD$29,0), IF('CO-PO Mapping'!O$5,$AK40*$AE$29,0), IF('CO-PO Mapping'!O$6,$AL40*$AF$29,0), IF('CO-PO Mapping'!O$7,$AM40*$AG$29,0)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IF('CO-PO Mapping'!O$6, IF(OR($AR40="-",SUM(IF('CO-PO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IF('CO-PO Mapping'!O$7, IF(OR($AS40="-",SUM(IF('CO-PO Mapping'!O$2,$AB$29,0),IF('CO-PO Mapping'!O$3,$AC$29,0),IF('CO-PO Mapping'!O$4,$AD$29,0),IF('CO-PO Mapping'!O$5,$AE$29,0),IF('CO-PO Mapping'!O$6,$AF$29,0),IF('CO-PO Mapping'!O$7,$AG$29,0))=0), "-", IF(SUM(IF('CO-PO Mapping'!O$2,$AH40*$AB$29,0),IF('CO-PO Mapping'!O$3,$AI40*$AC$29,0),IF('CO-PO Mapping'!O$4,$AJ40*$AD$29,0),IF('CO-PO Mapping'!O$5,$AK40*$AE$29,0),IF('CO-PO Mapping'!O$6,$AL40*$AF$29,0),IF('CO-PO Mapping'!O$7,$AM40*$AG$29,0))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0" s="95" t="str">
        <f>IF('CO-PO Mapping'!P$2, IF(OR($AN40="-",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IF(OR($AP40="-", SUM( IF('CO-PO Mapping'!P$2,$AB$29,0), IF('CO-PO Mapping'!P$3,$AC$29,0), IF('CO-PO Mapping'!P$4,$AD$29,0), IF('CO-PO Mapping'!P$5,$AE$29,0), IF('CO-PO Mapping'!P$6,$AF$29,0), IF('CO-PO Mapping'!P$7,$AG$29,0) )=0), "-", IF( SUM( IF('CO-PO Mapping'!P$2,$AH40*$AB$29,0), IF('CO-PO Mapping'!P$3,$AI40*$AC$29,0), IF('CO-PO Mapping'!P$4,$AJ40*$AD$29,0), IF('CO-PO Mapping'!P$5,$AK40*$AE$29,0), IF('CO-PO Mapping'!P$6,$AL40*$AF$29,0), IF('CO-PO Mapping'!P$7,$AM40*$AG$29,0)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IF('CO-PO Mapping'!P$6, IF(OR($AR40="-",SUM(IF('CO-PO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IF('CO-PO Mapping'!P$7, IF(OR($AS40="-",SUM(IF('CO-PO Mapping'!P$2,$AB$29,0),IF('CO-PO Mapping'!P$3,$AC$29,0),IF('CO-PO Mapping'!P$4,$AD$29,0),IF('CO-PO Mapping'!P$5,$AE$29,0),IF('CO-PO Mapping'!P$6,$AF$29,0),IF('CO-PO Mapping'!P$7,$AG$29,0))=0), "-", IF(SUM(IF('CO-PO Mapping'!P$2,$AH40*$AB$29,0),IF('CO-PO Mapping'!P$3,$AI40*$AC$29,0),IF('CO-PO Mapping'!P$4,$AJ40*$AD$29,0),IF('CO-PO Mapping'!P$5,$AK40*$AE$29,0),IF('CO-PO Mapping'!P$6,$AL40*$AF$29,0),IF('CO-PO Mapping'!P$7,$AM40*$AG$29,0))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0" s="95" t="str">
        <f>IF('CO-PO Mapping'!Q$2, IF(OR($AN40="-",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IF(OR($AP40="-", SUM( IF('CO-PO Mapping'!Q$2,$AB$29,0), IF('CO-PO Mapping'!Q$3,$AC$29,0), IF('CO-PO Mapping'!Q$4,$AD$29,0), IF('CO-PO Mapping'!Q$5,$AE$29,0), IF('CO-PO Mapping'!Q$6,$AF$29,0), IF('CO-PO Mapping'!Q$7,$AG$29,0) )=0), "-", IF( SUM( IF('CO-PO Mapping'!Q$2,$AH40*$AB$29,0), IF('CO-PO Mapping'!Q$3,$AI40*$AC$29,0), IF('CO-PO Mapping'!Q$4,$AJ40*$AD$29,0), IF('CO-PO Mapping'!Q$5,$AK40*$AE$29,0), IF('CO-PO Mapping'!Q$6,$AL40*$AF$29,0), IF('CO-PO Mapping'!Q$7,$AM40*$AG$29,0)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IF('CO-PO Mapping'!Q$6, IF(OR($AR40="-",SUM(IF('CO-PO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IF('CO-PO Mapping'!Q$7, IF(OR($AS40="-",SUM(IF('CO-PO Mapping'!Q$2,$AB$29,0),IF('CO-PO Mapping'!Q$3,$AC$29,0),IF('CO-PO Mapping'!Q$4,$AD$29,0),IF('CO-PO Mapping'!Q$5,$AE$29,0),IF('CO-PO Mapping'!Q$6,$AF$29,0),IF('CO-PO Mapping'!Q$7,$AG$29,0))=0), "-", IF(SUM(IF('CO-PO Mapping'!Q$2,$AH40*$AB$29,0),IF('CO-PO Mapping'!Q$3,$AI40*$AC$29,0),IF('CO-PO Mapping'!Q$4,$AJ40*$AD$29,0),IF('CO-PO Mapping'!Q$5,$AK40*$AE$29,0),IF('CO-PO Mapping'!Q$6,$AL40*$AF$29,0),IF('CO-PO Mapping'!Q$7,$AM40*$AG$29,0)) / SUM(IF('CO-PO Mapping'!Q$2,$AB$29,0),IF('CO-PO Mapping'!Q$3,$AC$29,0),IF('CO-PO Mapping'!Q$4,$AD$29,0),IF('CO-PO Mapping'!Q$5,$AE$29,0),IF('CO-PO Mapping'!Q$6,$AF$29,0),IF('CO-PO Mapping'!Q$7,$AG$29,0)) &gt;=$AW$27,"Y","N" ) ), "-"))))))</f>
        <v>N</v>
      </c>
      <c r="AW40" s="95" t="str">
        <f>IF('CO-PO Mapping'!R$2, IF(OR($AN40="-",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IF(OR($AP40="-", SUM( IF('CO-PO Mapping'!R$2,$AB$29,0), IF('CO-PO Mapping'!R$3,$AC$29,0), IF('CO-PO Mapping'!R$4,$AD$29,0), IF('CO-PO Mapping'!R$5,$AE$29,0), IF('CO-PO Mapping'!R$6,$AF$29,0), IF('CO-PO Mapping'!R$7,$AG$29,0) )=0), "-", IF( SUM( IF('CO-PO Mapping'!R$2,$AH40*$AB$29,0), IF('CO-PO Mapping'!R$3,$AI40*$AC$29,0), IF('CO-PO Mapping'!R$4,$AJ40*$AD$29,0), IF('CO-PO Mapping'!R$5,$AK40*$AE$29,0), IF('CO-PO Mapping'!R$6,$AL40*$AF$29,0), IF('CO-PO Mapping'!R$7,$AM40*$AG$29,0)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IF('CO-PO Mapping'!R$6, IF(OR($AR40="-",SUM(IF('CO-PO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IF('CO-PO Mapping'!R$7, IF(OR($AS40="-",SUM(IF('CO-PO Mapping'!R$2,$AB$29,0),IF('CO-PO Mapping'!R$3,$AC$29,0),IF('CO-PO Mapping'!R$4,$AD$29,0),IF('CO-PO Mapping'!R$5,$AE$29,0),IF('CO-PO Mapping'!R$6,$AF$29,0),IF('CO-PO Mapping'!R$7,$AG$29,0))=0), "-", IF(SUM(IF('CO-PO Mapping'!R$2,$AH40*$AB$29,0),IF('CO-PO Mapping'!R$3,$AI40*$AC$29,0),IF('CO-PO Mapping'!R$4,$AJ40*$AD$29,0),IF('CO-PO Mapping'!R$5,$AK40*$AE$29,0),IF('CO-PO Mapping'!R$6,$AL40*$AF$29,0),IF('CO-PO Mapping'!R$7,$AM40*$AG$29,0))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0" s="95" t="str">
        <f>IF('CO-PO Mapping'!S$2, IF(OR($AN40="-",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IF(OR($AP40="-", SUM( IF('CO-PO Mapping'!S$2,$AB$29,0), IF('CO-PO Mapping'!S$3,$AC$29,0), IF('CO-PO Mapping'!S$4,$AD$29,0), IF('CO-PO Mapping'!S$5,$AE$29,0), IF('CO-PO Mapping'!S$6,$AF$29,0), IF('CO-PO Mapping'!S$7,$AG$29,0) )=0), "-", IF( SUM( IF('CO-PO Mapping'!S$2,$AH40*$AB$29,0), IF('CO-PO Mapping'!S$3,$AI40*$AC$29,0), IF('CO-PO Mapping'!S$4,$AJ40*$AD$29,0), IF('CO-PO Mapping'!S$5,$AK40*$AE$29,0), IF('CO-PO Mapping'!S$6,$AL40*$AF$29,0), IF('CO-PO Mapping'!S$7,$AM40*$AG$29,0)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IF('CO-PO Mapping'!S$6, IF(OR($AR40="-",SUM(IF('CO-PO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IF('CO-PO Mapping'!S$7, IF(OR($AS40="-",SUM(IF('CO-PO Mapping'!S$2,$AB$29,0),IF('CO-PO Mapping'!S$3,$AC$29,0),IF('CO-PO Mapping'!S$4,$AD$29,0),IF('CO-PO Mapping'!S$5,$AE$29,0),IF('CO-PO Mapping'!S$6,$AF$29,0),IF('CO-PO Mapping'!S$7,$AG$29,0))=0), "-", IF(SUM(IF('CO-PO Mapping'!S$2,$AH40*$AB$29,0),IF('CO-PO Mapping'!S$3,$AI40*$AC$29,0),IF('CO-PO Mapping'!S$4,$AJ40*$AD$29,0),IF('CO-PO Mapping'!S$5,$AK40*$AE$29,0),IF('CO-PO Mapping'!S$6,$AL40*$AF$29,0),IF('CO-PO Mapping'!S$7,$AM40*$AG$29,0))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0" s="95" t="str">
        <f>IF('CO-PO Mapping'!T$2, IF(OR($AN40="-",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IF(OR($AP40="-", SUM( IF('CO-PO Mapping'!T$2,$AB$29,0), IF('CO-PO Mapping'!T$3,$AC$29,0), IF('CO-PO Mapping'!T$4,$AD$29,0), IF('CO-PO Mapping'!T$5,$AE$29,0), IF('CO-PO Mapping'!T$6,$AF$29,0), IF('CO-PO Mapping'!T$7,$AG$29,0) )=0), "-", IF( SUM( IF('CO-PO Mapping'!T$2,$AH40*$AB$29,0), IF('CO-PO Mapping'!T$3,$AI40*$AC$29,0), IF('CO-PO Mapping'!T$4,$AJ40*$AD$29,0), IF('CO-PO Mapping'!T$5,$AK40*$AE$29,0), IF('CO-PO Mapping'!T$6,$AL40*$AF$29,0), IF('CO-PO Mapping'!T$7,$AM40*$AG$29,0)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IF('CO-PO Mapping'!T$6, IF(OR($AR40="-",SUM(IF('CO-PO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IF('CO-PO Mapping'!T$7, IF(OR($AS40="-",SUM(IF('CO-PO Mapping'!T$2,$AB$29,0),IF('CO-PO Mapping'!T$3,$AC$29,0),IF('CO-PO Mapping'!T$4,$AD$29,0),IF('CO-PO Mapping'!T$5,$AE$29,0),IF('CO-PO Mapping'!T$6,$AF$29,0),IF('CO-PO Mapping'!T$7,$AG$29,0))=0), "-", IF(SUM(IF('CO-PO Mapping'!T$2,$AH40*$AB$29,0),IF('CO-PO Mapping'!T$3,$AI40*$AC$29,0),IF('CO-PO Mapping'!T$4,$AJ40*$AD$29,0),IF('CO-PO Mapping'!T$5,$AK40*$AE$29,0),IF('CO-PO Mapping'!T$6,$AL40*$AF$29,0),IF('CO-PO Mapping'!T$7,$AM40*$AG$29,0))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0" s="95" t="str">
        <f>IF('CO-PO Mapping'!U$2, IF(OR($AN40="-",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IF(OR($AP40="-", SUM( IF('CO-PO Mapping'!U$2,$AB$29,0), IF('CO-PO Mapping'!U$3,$AC$29,0), IF('CO-PO Mapping'!U$4,$AD$29,0), IF('CO-PO Mapping'!U$5,$AE$29,0), IF('CO-PO Mapping'!U$6,$AF$29,0), IF('CO-PO Mapping'!U$7,$AG$29,0) )=0), "-", IF( SUM( IF('CO-PO Mapping'!U$2,$AH40*$AB$29,0), IF('CO-PO Mapping'!U$3,$AI40*$AC$29,0), IF('CO-PO Mapping'!U$4,$AJ40*$AD$29,0), IF('CO-PO Mapping'!U$5,$AK40*$AE$29,0), IF('CO-PO Mapping'!U$6,$AL40*$AF$29,0), IF('CO-PO Mapping'!U$7,$AM40*$AG$29,0)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IF('CO-PO Mapping'!U$6, IF(OR($AR40="-",SUM(IF('CO-PO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IF('CO-PO Mapping'!U$7, IF(OR($AS40="-",SUM(IF('CO-PO Mapping'!U$2,$AB$29,0),IF('CO-PO Mapping'!U$3,$AC$29,0),IF('CO-PO Mapping'!U$4,$AD$29,0),IF('CO-PO Mapping'!U$5,$AE$29,0),IF('CO-PO Mapping'!U$6,$AF$29,0),IF('CO-PO Mapping'!U$7,$AG$29,0))=0), "-", IF(SUM(IF('CO-PO Mapping'!U$2,$AH40*$AB$29,0),IF('CO-PO Mapping'!U$3,$AI40*$AC$29,0),IF('CO-PO Mapping'!U$4,$AJ40*$AD$29,0),IF('CO-PO Mapping'!U$5,$AK40*$AE$29,0),IF('CO-PO Mapping'!U$6,$AL40*$AF$29,0),IF('CO-PO Mapping'!U$7,$AM40*$AG$29,0))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0" s="95" t="str">
        <f>IF('CO-PO Mapping'!V$2, IF(OR($AN40="-",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IF(OR($AP40="-", SUM( IF('CO-PO Mapping'!V$2,$AB$29,0), IF('CO-PO Mapping'!V$3,$AC$29,0), IF('CO-PO Mapping'!V$4,$AD$29,0), IF('CO-PO Mapping'!V$5,$AE$29,0), IF('CO-PO Mapping'!V$6,$AF$29,0), IF('CO-PO Mapping'!V$7,$AG$29,0) )=0), "-", IF( SUM( IF('CO-PO Mapping'!V$2,$AH40*$AB$29,0), IF('CO-PO Mapping'!V$3,$AI40*$AC$29,0), IF('CO-PO Mapping'!V$4,$AJ40*$AD$29,0), IF('CO-PO Mapping'!V$5,$AK40*$AE$29,0), IF('CO-PO Mapping'!V$6,$AL40*$AF$29,0), IF('CO-PO Mapping'!V$7,$AM40*$AG$29,0)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IF('CO-PO Mapping'!V$6, IF(OR($AR40="-",SUM(IF('CO-PO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IF('CO-PO Mapping'!V$7, IF(OR($AS40="-",SUM(IF('CO-PO Mapping'!V$2,$AB$29,0),IF('CO-PO Mapping'!V$3,$AC$29,0),IF('CO-PO Mapping'!V$4,$AD$29,0),IF('CO-PO Mapping'!V$5,$AE$29,0),IF('CO-PO Mapping'!V$6,$AF$29,0),IF('CO-PO Mapping'!V$7,$AG$29,0))=0), "-", IF(SUM(IF('CO-PO Mapping'!V$2,$AH40*$AB$29,0),IF('CO-PO Mapping'!V$3,$AI40*$AC$29,0),IF('CO-PO Mapping'!V$4,$AJ40*$AD$29,0),IF('CO-PO Mapping'!V$5,$AK40*$AE$29,0),IF('CO-PO Mapping'!V$6,$AL40*$AF$29,0),IF('CO-PO Mapping'!V$7,$AM40*$AG$29,0))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0" s="95" t="str">
        <f>IF('CO-PO Mapping'!W$2, IF(OR($AN40="-",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IF(OR($AP40="-", SUM( IF('CO-PO Mapping'!W$2,$AB$29,0), IF('CO-PO Mapping'!W$3,$AC$29,0), IF('CO-PO Mapping'!W$4,$AD$29,0), IF('CO-PO Mapping'!W$5,$AE$29,0), IF('CO-PO Mapping'!W$6,$AF$29,0), IF('CO-PO Mapping'!W$7,$AG$29,0) )=0), "-", IF( SUM( IF('CO-PO Mapping'!W$2,$AH40*$AB$29,0), IF('CO-PO Mapping'!W$3,$AI40*$AC$29,0), IF('CO-PO Mapping'!W$4,$AJ40*$AD$29,0), IF('CO-PO Mapping'!W$5,$AK40*$AE$29,0), IF('CO-PO Mapping'!W$6,$AL40*$AF$29,0), IF('CO-PO Mapping'!W$7,$AM40*$AG$29,0)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IF('CO-PO Mapping'!W$6, IF(OR($AR40="-",SUM(IF('CO-PO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IF('CO-PO Mapping'!W$7, IF(OR($AS40="-",SUM(IF('CO-PO Mapping'!W$2,$AB$29,0),IF('CO-PO Mapping'!W$3,$AC$29,0),IF('CO-PO Mapping'!W$4,$AD$29,0),IF('CO-PO Mapping'!W$5,$AE$29,0),IF('CO-PO Mapping'!W$6,$AF$29,0),IF('CO-PO Mapping'!W$7,$AG$29,0))=0), "-", IF(SUM(IF('CO-PO Mapping'!W$2,$AH40*$AB$29,0),IF('CO-PO Mapping'!W$3,$AI40*$AC$29,0),IF('CO-PO Mapping'!W$4,$AJ40*$AD$29,0),IF('CO-PO Mapping'!W$5,$AK40*$AE$29,0),IF('CO-PO Mapping'!W$6,$AL40*$AF$29,0),IF('CO-PO Mapping'!W$7,$AM40*$AG$29,0))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0" s="95" t="str">
        <f>IF('CO-PO Mapping'!X$2, IF(OR($AN40="-",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IF(OR($AP40="-", SUM( IF('CO-PO Mapping'!X$2,$AB$29,0), IF('CO-PO Mapping'!X$3,$AC$29,0), IF('CO-PO Mapping'!X$4,$AD$29,0), IF('CO-PO Mapping'!X$5,$AE$29,0), IF('CO-PO Mapping'!X$6,$AF$29,0), IF('CO-PO Mapping'!X$7,$AG$29,0) )=0), "-", IF( SUM( IF('CO-PO Mapping'!X$2,$AH40*$AB$29,0), IF('CO-PO Mapping'!X$3,$AI40*$AC$29,0), IF('CO-PO Mapping'!X$4,$AJ40*$AD$29,0), IF('CO-PO Mapping'!X$5,$AK40*$AE$29,0), IF('CO-PO Mapping'!X$6,$AL40*$AF$29,0), IF('CO-PO Mapping'!X$7,$AM40*$AG$29,0)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IF('CO-PO Mapping'!X$6, IF(OR($AR40="-",SUM(IF('CO-PO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IF('CO-PO Mapping'!X$7, IF(OR($AS40="-",SUM(IF('CO-PO Mapping'!X$2,$AB$29,0),IF('CO-PO Mapping'!X$3,$AC$29,0),IF('CO-PO Mapping'!X$4,$AD$29,0),IF('CO-PO Mapping'!X$5,$AE$29,0),IF('CO-PO Mapping'!X$6,$AF$29,0),IF('CO-PO Mapping'!X$7,$AG$29,0))=0), "-", IF(SUM(IF('CO-PO Mapping'!X$2,$AH40*$AB$29,0),IF('CO-PO Mapping'!X$3,$AI40*$AC$29,0),IF('CO-PO Mapping'!X$4,$AJ40*$AD$29,0),IF('CO-PO Mapping'!X$5,$AK40*$AE$29,0),IF('CO-PO Mapping'!X$6,$AL40*$AF$29,0),IF('CO-PO Mapping'!X$7,$AM40*$AG$29,0))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0" s="95" t="str">
        <f>IF('CO-PO Mapping'!Y$2, IF(OR($AN40="-",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IF(OR($AP40="-", SUM( IF('CO-PO Mapping'!Y$2,$AB$29,0), IF('CO-PO Mapping'!Y$3,$AC$29,0), IF('CO-PO Mapping'!Y$4,$AD$29,0), IF('CO-PO Mapping'!Y$5,$AE$29,0), IF('CO-PO Mapping'!Y$6,$AF$29,0), IF('CO-PO Mapping'!Y$7,$AG$29,0) )=0), "-", IF( SUM( IF('CO-PO Mapping'!Y$2,$AH40*$AB$29,0), IF('CO-PO Mapping'!Y$3,$AI40*$AC$29,0), IF('CO-PO Mapping'!Y$4,$AJ40*$AD$29,0), IF('CO-PO Mapping'!Y$5,$AK40*$AE$29,0), IF('CO-PO Mapping'!Y$6,$AL40*$AF$29,0), IF('CO-PO Mapping'!Y$7,$AM40*$AG$29,0)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IF('CO-PO Mapping'!Y$6, IF(OR($AR40="-",SUM(IF('CO-PO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IF('CO-PO Mapping'!Y$7, IF(OR($AS40="-",SUM(IF('CO-PO Mapping'!Y$2,$AB$29,0),IF('CO-PO Mapping'!Y$3,$AC$29,0),IF('CO-PO Mapping'!Y$4,$AD$29,0),IF('CO-PO Mapping'!Y$5,$AE$29,0),IF('CO-PO Mapping'!Y$6,$AF$29,0),IF('CO-PO Mapping'!Y$7,$AG$29,0))=0), "-", IF(SUM(IF('CO-PO Mapping'!Y$2,$AH40*$AB$29,0),IF('CO-PO Mapping'!Y$3,$AI40*$AC$29,0),IF('CO-PO Mapping'!Y$4,$AJ40*$AD$29,0),IF('CO-PO Mapping'!Y$5,$AK40*$AE$29,0),IF('CO-PO Mapping'!Y$6,$AL40*$AF$29,0),IF('CO-PO Mapping'!Y$7,$AM40*$AG$29,0))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0" s="95" t="str">
        <f>IF('CO-PO Mapping'!Z$2, IF(OR($AN40="-",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IF(OR($AP40="-", SUM( IF('CO-PO Mapping'!Z$2,$AB$29,0), IF('CO-PO Mapping'!Z$3,$AC$29,0), IF('CO-PO Mapping'!Z$4,$AD$29,0), IF('CO-PO Mapping'!Z$5,$AE$29,0), IF('CO-PO Mapping'!Z$6,$AF$29,0), IF('CO-PO Mapping'!Z$7,$AG$29,0) )=0), "-", IF( SUM( IF('CO-PO Mapping'!Z$2,$AH40*$AB$29,0), IF('CO-PO Mapping'!Z$3,$AI40*$AC$29,0), IF('CO-PO Mapping'!Z$4,$AJ40*$AD$29,0), IF('CO-PO Mapping'!Z$5,$AK40*$AE$29,0), IF('CO-PO Mapping'!Z$6,$AL40*$AF$29,0), IF('CO-PO Mapping'!Z$7,$AM40*$AG$29,0)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IF('CO-PO Mapping'!Z$6, IF(OR($AR40="-",SUM(IF('CO-PO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IF('CO-PO Mapping'!Z$7, IF(OR($AS40="-",SUM(IF('CO-PO Mapping'!Z$2,$AB$29,0),IF('CO-PO Mapping'!Z$3,$AC$29,0),IF('CO-PO Mapping'!Z$4,$AD$29,0),IF('CO-PO Mapping'!Z$5,$AE$29,0),IF('CO-PO Mapping'!Z$6,$AF$29,0),IF('CO-PO Mapping'!Z$7,$AG$29,0))=0), "-", IF(SUM(IF('CO-PO Mapping'!Z$2,$AH40*$AB$29,0),IF('CO-PO Mapping'!Z$3,$AI40*$AC$29,0),IF('CO-PO Mapping'!Z$4,$AJ40*$AD$29,0),IF('CO-PO Mapping'!Z$5,$AK40*$AE$29,0),IF('CO-PO Mapping'!Z$6,$AL40*$AF$29,0),IF('CO-PO Mapping'!Z$7,$AM40*$AG$29,0))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1" spans="1:57" ht="16.5" customHeight="1">
      <c r="A41" s="117">
        <v>22235103088</v>
      </c>
      <c r="B41" s="118" t="s">
        <v>158</v>
      </c>
      <c r="C41" s="74">
        <v>4</v>
      </c>
      <c r="D41" s="75"/>
      <c r="E41" s="75">
        <v>20</v>
      </c>
      <c r="F41" s="75"/>
      <c r="G41" s="75"/>
      <c r="H41" s="103">
        <f t="shared" si="2"/>
        <v>24</v>
      </c>
      <c r="I41" s="75">
        <v>5</v>
      </c>
      <c r="J41" s="75">
        <v>4</v>
      </c>
      <c r="K41" s="75">
        <v>3</v>
      </c>
      <c r="L41" s="75"/>
      <c r="M41" s="75"/>
      <c r="N41" s="75"/>
      <c r="O41" s="105">
        <f t="shared" si="3"/>
        <v>12</v>
      </c>
      <c r="P41" s="75">
        <v>9</v>
      </c>
      <c r="Q41" s="75">
        <v>9</v>
      </c>
      <c r="R41" s="75"/>
      <c r="S41" s="75"/>
      <c r="T41" s="75"/>
      <c r="U41" s="75"/>
      <c r="V41" s="104">
        <f t="shared" si="4"/>
        <v>18</v>
      </c>
      <c r="W41" s="83">
        <f t="shared" si="5"/>
        <v>54</v>
      </c>
      <c r="X41" s="98" t="str">
        <f t="shared" si="10"/>
        <v>C (Plus)</v>
      </c>
      <c r="Y41" s="46"/>
      <c r="Z41" s="42">
        <f t="shared" si="6"/>
        <v>22235103088</v>
      </c>
      <c r="AA41" s="43" t="str">
        <f t="shared" si="7"/>
        <v>Shamima Akter Santo</v>
      </c>
      <c r="AB41" s="90">
        <f t="shared" si="11"/>
        <v>29</v>
      </c>
      <c r="AC41" s="90">
        <f t="shared" si="8"/>
        <v>13</v>
      </c>
      <c r="AD41" s="90">
        <f t="shared" si="8"/>
        <v>12</v>
      </c>
      <c r="AE41" s="90">
        <f t="shared" si="8"/>
        <v>0</v>
      </c>
      <c r="AF41" s="90">
        <f t="shared" si="8"/>
        <v>0</v>
      </c>
      <c r="AG41" s="90">
        <f t="shared" si="8"/>
        <v>0</v>
      </c>
      <c r="AH41" s="92">
        <f t="shared" si="12"/>
        <v>72.5</v>
      </c>
      <c r="AI41" s="92">
        <f t="shared" si="13"/>
        <v>43.333333333333336</v>
      </c>
      <c r="AJ41" s="92">
        <f t="shared" si="14"/>
        <v>40</v>
      </c>
      <c r="AK41" s="92">
        <f t="shared" si="22"/>
        <v>0</v>
      </c>
      <c r="AL41" s="92">
        <f t="shared" si="15"/>
        <v>0</v>
      </c>
      <c r="AM41" s="92">
        <f t="shared" si="16"/>
        <v>0</v>
      </c>
      <c r="AN41" s="93" t="str">
        <f t="shared" si="23"/>
        <v>Y</v>
      </c>
      <c r="AO41" s="93" t="str">
        <f t="shared" si="17"/>
        <v>N</v>
      </c>
      <c r="AP41" s="93" t="str">
        <f t="shared" si="18"/>
        <v>N</v>
      </c>
      <c r="AQ41" s="93" t="str">
        <f t="shared" si="19"/>
        <v>N</v>
      </c>
      <c r="AR41" s="93" t="str">
        <f t="shared" si="20"/>
        <v>N</v>
      </c>
      <c r="AS41" s="93" t="str">
        <f t="shared" si="21"/>
        <v>N</v>
      </c>
      <c r="AT41" s="95" t="str">
        <f>IF('CO-PO Mapping'!O$2, IF(OR($AN41="-",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IF(OR($AP41="-", SUM( IF('CO-PO Mapping'!O$2,$AB$29,0), IF('CO-PO Mapping'!O$3,$AC$29,0), IF('CO-PO Mapping'!O$4,$AD$29,0), IF('CO-PO Mapping'!O$5,$AE$29,0), IF('CO-PO Mapping'!O$6,$AF$29,0), IF('CO-PO Mapping'!O$7,$AG$29,0) )=0), "-", IF( SUM( IF('CO-PO Mapping'!O$2,$AH41*$AB$29,0), IF('CO-PO Mapping'!O$3,$AI41*$AC$29,0), IF('CO-PO Mapping'!O$4,$AJ41*$AD$29,0), IF('CO-PO Mapping'!O$5,$AK41*$AE$29,0), IF('CO-PO Mapping'!O$6,$AL41*$AF$29,0), IF('CO-PO Mapping'!O$7,$AM41*$AG$29,0)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IF('CO-PO Mapping'!O$6, IF(OR($AR41="-",SUM(IF('CO-PO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IF('CO-PO Mapping'!O$7, IF(OR($AS41="-",SUM(IF('CO-PO Mapping'!O$2,$AB$29,0),IF('CO-PO Mapping'!O$3,$AC$29,0),IF('CO-PO Mapping'!O$4,$AD$29,0),IF('CO-PO Mapping'!O$5,$AE$29,0),IF('CO-PO Mapping'!O$6,$AF$29,0),IF('CO-PO Mapping'!O$7,$AG$29,0))=0), "-", IF(SUM(IF('CO-PO Mapping'!O$2,$AH41*$AB$29,0),IF('CO-PO Mapping'!O$3,$AI41*$AC$29,0),IF('CO-PO Mapping'!O$4,$AJ41*$AD$29,0),IF('CO-PO Mapping'!O$5,$AK41*$AE$29,0),IF('CO-PO Mapping'!O$6,$AL41*$AF$29,0),IF('CO-PO Mapping'!O$7,$AM41*$AG$29,0))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1" s="95" t="str">
        <f>IF('CO-PO Mapping'!P$2, IF(OR($AN41="-",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IF(OR($AP41="-", SUM( IF('CO-PO Mapping'!P$2,$AB$29,0), IF('CO-PO Mapping'!P$3,$AC$29,0), IF('CO-PO Mapping'!P$4,$AD$29,0), IF('CO-PO Mapping'!P$5,$AE$29,0), IF('CO-PO Mapping'!P$6,$AF$29,0), IF('CO-PO Mapping'!P$7,$AG$29,0) )=0), "-", IF( SUM( IF('CO-PO Mapping'!P$2,$AH41*$AB$29,0), IF('CO-PO Mapping'!P$3,$AI41*$AC$29,0), IF('CO-PO Mapping'!P$4,$AJ41*$AD$29,0), IF('CO-PO Mapping'!P$5,$AK41*$AE$29,0), IF('CO-PO Mapping'!P$6,$AL41*$AF$29,0), IF('CO-PO Mapping'!P$7,$AM41*$AG$29,0)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IF('CO-PO Mapping'!P$6, IF(OR($AR41="-",SUM(IF('CO-PO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IF('CO-PO Mapping'!P$7, IF(OR($AS41="-",SUM(IF('CO-PO Mapping'!P$2,$AB$29,0),IF('CO-PO Mapping'!P$3,$AC$29,0),IF('CO-PO Mapping'!P$4,$AD$29,0),IF('CO-PO Mapping'!P$5,$AE$29,0),IF('CO-PO Mapping'!P$6,$AF$29,0),IF('CO-PO Mapping'!P$7,$AG$29,0))=0), "-", IF(SUM(IF('CO-PO Mapping'!P$2,$AH41*$AB$29,0),IF('CO-PO Mapping'!P$3,$AI41*$AC$29,0),IF('CO-PO Mapping'!P$4,$AJ41*$AD$29,0),IF('CO-PO Mapping'!P$5,$AK41*$AE$29,0),IF('CO-PO Mapping'!P$6,$AL41*$AF$29,0),IF('CO-PO Mapping'!P$7,$AM41*$AG$29,0))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41" s="95" t="str">
        <f>IF('CO-PO Mapping'!Q$2, IF(OR($AN41="-",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IF(OR($AP41="-", SUM( IF('CO-PO Mapping'!Q$2,$AB$29,0), IF('CO-PO Mapping'!Q$3,$AC$29,0), IF('CO-PO Mapping'!Q$4,$AD$29,0), IF('CO-PO Mapping'!Q$5,$AE$29,0), IF('CO-PO Mapping'!Q$6,$AF$29,0), IF('CO-PO Mapping'!Q$7,$AG$29,0) )=0), "-", IF( SUM( IF('CO-PO Mapping'!Q$2,$AH41*$AB$29,0), IF('CO-PO Mapping'!Q$3,$AI41*$AC$29,0), IF('CO-PO Mapping'!Q$4,$AJ41*$AD$29,0), IF('CO-PO Mapping'!Q$5,$AK41*$AE$29,0), IF('CO-PO Mapping'!Q$6,$AL41*$AF$29,0), IF('CO-PO Mapping'!Q$7,$AM41*$AG$29,0)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IF('CO-PO Mapping'!Q$6, IF(OR($AR41="-",SUM(IF('CO-PO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IF('CO-PO Mapping'!Q$7, IF(OR($AS41="-",SUM(IF('CO-PO Mapping'!Q$2,$AB$29,0),IF('CO-PO Mapping'!Q$3,$AC$29,0),IF('CO-PO Mapping'!Q$4,$AD$29,0),IF('CO-PO Mapping'!Q$5,$AE$29,0),IF('CO-PO Mapping'!Q$6,$AF$29,0),IF('CO-PO Mapping'!Q$7,$AG$29,0))=0), "-", IF(SUM(IF('CO-PO Mapping'!Q$2,$AH41*$AB$29,0),IF('CO-PO Mapping'!Q$3,$AI41*$AC$29,0),IF('CO-PO Mapping'!Q$4,$AJ41*$AD$29,0),IF('CO-PO Mapping'!Q$5,$AK41*$AE$29,0),IF('CO-PO Mapping'!Q$6,$AL41*$AF$29,0),IF('CO-PO Mapping'!Q$7,$AM41*$AG$29,0)) / SUM(IF('CO-PO Mapping'!Q$2,$AB$29,0),IF('CO-PO Mapping'!Q$3,$AC$29,0),IF('CO-PO Mapping'!Q$4,$AD$29,0),IF('CO-PO Mapping'!Q$5,$AE$29,0),IF('CO-PO Mapping'!Q$6,$AF$29,0),IF('CO-PO Mapping'!Q$7,$AG$29,0)) &gt;=$AW$27,"Y","N" ) ), "-"))))))</f>
        <v>N</v>
      </c>
      <c r="AW41" s="95" t="str">
        <f>IF('CO-PO Mapping'!R$2, IF(OR($AN41="-",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IF(OR($AP41="-", SUM( IF('CO-PO Mapping'!R$2,$AB$29,0), IF('CO-PO Mapping'!R$3,$AC$29,0), IF('CO-PO Mapping'!R$4,$AD$29,0), IF('CO-PO Mapping'!R$5,$AE$29,0), IF('CO-PO Mapping'!R$6,$AF$29,0), IF('CO-PO Mapping'!R$7,$AG$29,0) )=0), "-", IF( SUM( IF('CO-PO Mapping'!R$2,$AH41*$AB$29,0), IF('CO-PO Mapping'!R$3,$AI41*$AC$29,0), IF('CO-PO Mapping'!R$4,$AJ41*$AD$29,0), IF('CO-PO Mapping'!R$5,$AK41*$AE$29,0), IF('CO-PO Mapping'!R$6,$AL41*$AF$29,0), IF('CO-PO Mapping'!R$7,$AM41*$AG$29,0)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IF('CO-PO Mapping'!R$6, IF(OR($AR41="-",SUM(IF('CO-PO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IF('CO-PO Mapping'!R$7, IF(OR($AS41="-",SUM(IF('CO-PO Mapping'!R$2,$AB$29,0),IF('CO-PO Mapping'!R$3,$AC$29,0),IF('CO-PO Mapping'!R$4,$AD$29,0),IF('CO-PO Mapping'!R$5,$AE$29,0),IF('CO-PO Mapping'!R$6,$AF$29,0),IF('CO-PO Mapping'!R$7,$AG$29,0))=0), "-", IF(SUM(IF('CO-PO Mapping'!R$2,$AH41*$AB$29,0),IF('CO-PO Mapping'!R$3,$AI41*$AC$29,0),IF('CO-PO Mapping'!R$4,$AJ41*$AD$29,0),IF('CO-PO Mapping'!R$5,$AK41*$AE$29,0),IF('CO-PO Mapping'!R$6,$AL41*$AF$29,0),IF('CO-PO Mapping'!R$7,$AM41*$AG$29,0))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1" s="95" t="str">
        <f>IF('CO-PO Mapping'!S$2, IF(OR($AN41="-",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IF(OR($AP41="-", SUM( IF('CO-PO Mapping'!S$2,$AB$29,0), IF('CO-PO Mapping'!S$3,$AC$29,0), IF('CO-PO Mapping'!S$4,$AD$29,0), IF('CO-PO Mapping'!S$5,$AE$29,0), IF('CO-PO Mapping'!S$6,$AF$29,0), IF('CO-PO Mapping'!S$7,$AG$29,0) )=0), "-", IF( SUM( IF('CO-PO Mapping'!S$2,$AH41*$AB$29,0), IF('CO-PO Mapping'!S$3,$AI41*$AC$29,0), IF('CO-PO Mapping'!S$4,$AJ41*$AD$29,0), IF('CO-PO Mapping'!S$5,$AK41*$AE$29,0), IF('CO-PO Mapping'!S$6,$AL41*$AF$29,0), IF('CO-PO Mapping'!S$7,$AM41*$AG$29,0)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IF('CO-PO Mapping'!S$6, IF(OR($AR41="-",SUM(IF('CO-PO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IF('CO-PO Mapping'!S$7, IF(OR($AS41="-",SUM(IF('CO-PO Mapping'!S$2,$AB$29,0),IF('CO-PO Mapping'!S$3,$AC$29,0),IF('CO-PO Mapping'!S$4,$AD$29,0),IF('CO-PO Mapping'!S$5,$AE$29,0),IF('CO-PO Mapping'!S$6,$AF$29,0),IF('CO-PO Mapping'!S$7,$AG$29,0))=0), "-", IF(SUM(IF('CO-PO Mapping'!S$2,$AH41*$AB$29,0),IF('CO-PO Mapping'!S$3,$AI41*$AC$29,0),IF('CO-PO Mapping'!S$4,$AJ41*$AD$29,0),IF('CO-PO Mapping'!S$5,$AK41*$AE$29,0),IF('CO-PO Mapping'!S$6,$AL41*$AF$29,0),IF('CO-PO Mapping'!S$7,$AM41*$AG$29,0))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1" s="95" t="str">
        <f>IF('CO-PO Mapping'!T$2, IF(OR($AN41="-",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IF(OR($AP41="-", SUM( IF('CO-PO Mapping'!T$2,$AB$29,0), IF('CO-PO Mapping'!T$3,$AC$29,0), IF('CO-PO Mapping'!T$4,$AD$29,0), IF('CO-PO Mapping'!T$5,$AE$29,0), IF('CO-PO Mapping'!T$6,$AF$29,0), IF('CO-PO Mapping'!T$7,$AG$29,0) )=0), "-", IF( SUM( IF('CO-PO Mapping'!T$2,$AH41*$AB$29,0), IF('CO-PO Mapping'!T$3,$AI41*$AC$29,0), IF('CO-PO Mapping'!T$4,$AJ41*$AD$29,0), IF('CO-PO Mapping'!T$5,$AK41*$AE$29,0), IF('CO-PO Mapping'!T$6,$AL41*$AF$29,0), IF('CO-PO Mapping'!T$7,$AM41*$AG$29,0)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IF('CO-PO Mapping'!T$6, IF(OR($AR41="-",SUM(IF('CO-PO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IF('CO-PO Mapping'!T$7, IF(OR($AS41="-",SUM(IF('CO-PO Mapping'!T$2,$AB$29,0),IF('CO-PO Mapping'!T$3,$AC$29,0),IF('CO-PO Mapping'!T$4,$AD$29,0),IF('CO-PO Mapping'!T$5,$AE$29,0),IF('CO-PO Mapping'!T$6,$AF$29,0),IF('CO-PO Mapping'!T$7,$AG$29,0))=0), "-", IF(SUM(IF('CO-PO Mapping'!T$2,$AH41*$AB$29,0),IF('CO-PO Mapping'!T$3,$AI41*$AC$29,0),IF('CO-PO Mapping'!T$4,$AJ41*$AD$29,0),IF('CO-PO Mapping'!T$5,$AK41*$AE$29,0),IF('CO-PO Mapping'!T$6,$AL41*$AF$29,0),IF('CO-PO Mapping'!T$7,$AM41*$AG$29,0))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1" s="95" t="str">
        <f>IF('CO-PO Mapping'!U$2, IF(OR($AN41="-",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IF(OR($AP41="-", SUM( IF('CO-PO Mapping'!U$2,$AB$29,0), IF('CO-PO Mapping'!U$3,$AC$29,0), IF('CO-PO Mapping'!U$4,$AD$29,0), IF('CO-PO Mapping'!U$5,$AE$29,0), IF('CO-PO Mapping'!U$6,$AF$29,0), IF('CO-PO Mapping'!U$7,$AG$29,0) )=0), "-", IF( SUM( IF('CO-PO Mapping'!U$2,$AH41*$AB$29,0), IF('CO-PO Mapping'!U$3,$AI41*$AC$29,0), IF('CO-PO Mapping'!U$4,$AJ41*$AD$29,0), IF('CO-PO Mapping'!U$5,$AK41*$AE$29,0), IF('CO-PO Mapping'!U$6,$AL41*$AF$29,0), IF('CO-PO Mapping'!U$7,$AM41*$AG$29,0)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IF('CO-PO Mapping'!U$6, IF(OR($AR41="-",SUM(IF('CO-PO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IF('CO-PO Mapping'!U$7, IF(OR($AS41="-",SUM(IF('CO-PO Mapping'!U$2,$AB$29,0),IF('CO-PO Mapping'!U$3,$AC$29,0),IF('CO-PO Mapping'!U$4,$AD$29,0),IF('CO-PO Mapping'!U$5,$AE$29,0),IF('CO-PO Mapping'!U$6,$AF$29,0),IF('CO-PO Mapping'!U$7,$AG$29,0))=0), "-", IF(SUM(IF('CO-PO Mapping'!U$2,$AH41*$AB$29,0),IF('CO-PO Mapping'!U$3,$AI41*$AC$29,0),IF('CO-PO Mapping'!U$4,$AJ41*$AD$29,0),IF('CO-PO Mapping'!U$5,$AK41*$AE$29,0),IF('CO-PO Mapping'!U$6,$AL41*$AF$29,0),IF('CO-PO Mapping'!U$7,$AM41*$AG$29,0))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1" s="95" t="str">
        <f>IF('CO-PO Mapping'!V$2, IF(OR($AN41="-",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IF(OR($AP41="-", SUM( IF('CO-PO Mapping'!V$2,$AB$29,0), IF('CO-PO Mapping'!V$3,$AC$29,0), IF('CO-PO Mapping'!V$4,$AD$29,0), IF('CO-PO Mapping'!V$5,$AE$29,0), IF('CO-PO Mapping'!V$6,$AF$29,0), IF('CO-PO Mapping'!V$7,$AG$29,0) )=0), "-", IF( SUM( IF('CO-PO Mapping'!V$2,$AH41*$AB$29,0), IF('CO-PO Mapping'!V$3,$AI41*$AC$29,0), IF('CO-PO Mapping'!V$4,$AJ41*$AD$29,0), IF('CO-PO Mapping'!V$5,$AK41*$AE$29,0), IF('CO-PO Mapping'!V$6,$AL41*$AF$29,0), IF('CO-PO Mapping'!V$7,$AM41*$AG$29,0)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IF('CO-PO Mapping'!V$6, IF(OR($AR41="-",SUM(IF('CO-PO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IF('CO-PO Mapping'!V$7, IF(OR($AS41="-",SUM(IF('CO-PO Mapping'!V$2,$AB$29,0),IF('CO-PO Mapping'!V$3,$AC$29,0),IF('CO-PO Mapping'!V$4,$AD$29,0),IF('CO-PO Mapping'!V$5,$AE$29,0),IF('CO-PO Mapping'!V$6,$AF$29,0),IF('CO-PO Mapping'!V$7,$AG$29,0))=0), "-", IF(SUM(IF('CO-PO Mapping'!V$2,$AH41*$AB$29,0),IF('CO-PO Mapping'!V$3,$AI41*$AC$29,0),IF('CO-PO Mapping'!V$4,$AJ41*$AD$29,0),IF('CO-PO Mapping'!V$5,$AK41*$AE$29,0),IF('CO-PO Mapping'!V$6,$AL41*$AF$29,0),IF('CO-PO Mapping'!V$7,$AM41*$AG$29,0))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1" s="95" t="str">
        <f>IF('CO-PO Mapping'!W$2, IF(OR($AN41="-",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IF(OR($AP41="-", SUM( IF('CO-PO Mapping'!W$2,$AB$29,0), IF('CO-PO Mapping'!W$3,$AC$29,0), IF('CO-PO Mapping'!W$4,$AD$29,0), IF('CO-PO Mapping'!W$5,$AE$29,0), IF('CO-PO Mapping'!W$6,$AF$29,0), IF('CO-PO Mapping'!W$7,$AG$29,0) )=0), "-", IF( SUM( IF('CO-PO Mapping'!W$2,$AH41*$AB$29,0), IF('CO-PO Mapping'!W$3,$AI41*$AC$29,0), IF('CO-PO Mapping'!W$4,$AJ41*$AD$29,0), IF('CO-PO Mapping'!W$5,$AK41*$AE$29,0), IF('CO-PO Mapping'!W$6,$AL41*$AF$29,0), IF('CO-PO Mapping'!W$7,$AM41*$AG$29,0)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IF('CO-PO Mapping'!W$6, IF(OR($AR41="-",SUM(IF('CO-PO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IF('CO-PO Mapping'!W$7, IF(OR($AS41="-",SUM(IF('CO-PO Mapping'!W$2,$AB$29,0),IF('CO-PO Mapping'!W$3,$AC$29,0),IF('CO-PO Mapping'!W$4,$AD$29,0),IF('CO-PO Mapping'!W$5,$AE$29,0),IF('CO-PO Mapping'!W$6,$AF$29,0),IF('CO-PO Mapping'!W$7,$AG$29,0))=0), "-", IF(SUM(IF('CO-PO Mapping'!W$2,$AH41*$AB$29,0),IF('CO-PO Mapping'!W$3,$AI41*$AC$29,0),IF('CO-PO Mapping'!W$4,$AJ41*$AD$29,0),IF('CO-PO Mapping'!W$5,$AK41*$AE$29,0),IF('CO-PO Mapping'!W$6,$AL41*$AF$29,0),IF('CO-PO Mapping'!W$7,$AM41*$AG$29,0))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1" s="95" t="str">
        <f>IF('CO-PO Mapping'!X$2, IF(OR($AN41="-",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IF(OR($AP41="-", SUM( IF('CO-PO Mapping'!X$2,$AB$29,0), IF('CO-PO Mapping'!X$3,$AC$29,0), IF('CO-PO Mapping'!X$4,$AD$29,0), IF('CO-PO Mapping'!X$5,$AE$29,0), IF('CO-PO Mapping'!X$6,$AF$29,0), IF('CO-PO Mapping'!X$7,$AG$29,0) )=0), "-", IF( SUM( IF('CO-PO Mapping'!X$2,$AH41*$AB$29,0), IF('CO-PO Mapping'!X$3,$AI41*$AC$29,0), IF('CO-PO Mapping'!X$4,$AJ41*$AD$29,0), IF('CO-PO Mapping'!X$5,$AK41*$AE$29,0), IF('CO-PO Mapping'!X$6,$AL41*$AF$29,0), IF('CO-PO Mapping'!X$7,$AM41*$AG$29,0)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IF('CO-PO Mapping'!X$6, IF(OR($AR41="-",SUM(IF('CO-PO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IF('CO-PO Mapping'!X$7, IF(OR($AS41="-",SUM(IF('CO-PO Mapping'!X$2,$AB$29,0),IF('CO-PO Mapping'!X$3,$AC$29,0),IF('CO-PO Mapping'!X$4,$AD$29,0),IF('CO-PO Mapping'!X$5,$AE$29,0),IF('CO-PO Mapping'!X$6,$AF$29,0),IF('CO-PO Mapping'!X$7,$AG$29,0))=0), "-", IF(SUM(IF('CO-PO Mapping'!X$2,$AH41*$AB$29,0),IF('CO-PO Mapping'!X$3,$AI41*$AC$29,0),IF('CO-PO Mapping'!X$4,$AJ41*$AD$29,0),IF('CO-PO Mapping'!X$5,$AK41*$AE$29,0),IF('CO-PO Mapping'!X$6,$AL41*$AF$29,0),IF('CO-PO Mapping'!X$7,$AM41*$AG$29,0))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1" s="95" t="str">
        <f>IF('CO-PO Mapping'!Y$2, IF(OR($AN41="-",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IF(OR($AP41="-", SUM( IF('CO-PO Mapping'!Y$2,$AB$29,0), IF('CO-PO Mapping'!Y$3,$AC$29,0), IF('CO-PO Mapping'!Y$4,$AD$29,0), IF('CO-PO Mapping'!Y$5,$AE$29,0), IF('CO-PO Mapping'!Y$6,$AF$29,0), IF('CO-PO Mapping'!Y$7,$AG$29,0) )=0), "-", IF( SUM( IF('CO-PO Mapping'!Y$2,$AH41*$AB$29,0), IF('CO-PO Mapping'!Y$3,$AI41*$AC$29,0), IF('CO-PO Mapping'!Y$4,$AJ41*$AD$29,0), IF('CO-PO Mapping'!Y$5,$AK41*$AE$29,0), IF('CO-PO Mapping'!Y$6,$AL41*$AF$29,0), IF('CO-PO Mapping'!Y$7,$AM41*$AG$29,0)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IF('CO-PO Mapping'!Y$6, IF(OR($AR41="-",SUM(IF('CO-PO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IF('CO-PO Mapping'!Y$7, IF(OR($AS41="-",SUM(IF('CO-PO Mapping'!Y$2,$AB$29,0),IF('CO-PO Mapping'!Y$3,$AC$29,0),IF('CO-PO Mapping'!Y$4,$AD$29,0),IF('CO-PO Mapping'!Y$5,$AE$29,0),IF('CO-PO Mapping'!Y$6,$AF$29,0),IF('CO-PO Mapping'!Y$7,$AG$29,0))=0), "-", IF(SUM(IF('CO-PO Mapping'!Y$2,$AH41*$AB$29,0),IF('CO-PO Mapping'!Y$3,$AI41*$AC$29,0),IF('CO-PO Mapping'!Y$4,$AJ41*$AD$29,0),IF('CO-PO Mapping'!Y$5,$AK41*$AE$29,0),IF('CO-PO Mapping'!Y$6,$AL41*$AF$29,0),IF('CO-PO Mapping'!Y$7,$AM41*$AG$29,0))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1" s="95" t="str">
        <f>IF('CO-PO Mapping'!Z$2, IF(OR($AN41="-",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IF(OR($AP41="-", SUM( IF('CO-PO Mapping'!Z$2,$AB$29,0), IF('CO-PO Mapping'!Z$3,$AC$29,0), IF('CO-PO Mapping'!Z$4,$AD$29,0), IF('CO-PO Mapping'!Z$5,$AE$29,0), IF('CO-PO Mapping'!Z$6,$AF$29,0), IF('CO-PO Mapping'!Z$7,$AG$29,0) )=0), "-", IF( SUM( IF('CO-PO Mapping'!Z$2,$AH41*$AB$29,0), IF('CO-PO Mapping'!Z$3,$AI41*$AC$29,0), IF('CO-PO Mapping'!Z$4,$AJ41*$AD$29,0), IF('CO-PO Mapping'!Z$5,$AK41*$AE$29,0), IF('CO-PO Mapping'!Z$6,$AL41*$AF$29,0), IF('CO-PO Mapping'!Z$7,$AM41*$AG$29,0)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IF('CO-PO Mapping'!Z$6, IF(OR($AR41="-",SUM(IF('CO-PO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IF('CO-PO Mapping'!Z$7, IF(OR($AS41="-",SUM(IF('CO-PO Mapping'!Z$2,$AB$29,0),IF('CO-PO Mapping'!Z$3,$AC$29,0),IF('CO-PO Mapping'!Z$4,$AD$29,0),IF('CO-PO Mapping'!Z$5,$AE$29,0),IF('CO-PO Mapping'!Z$6,$AF$29,0),IF('CO-PO Mapping'!Z$7,$AG$29,0))=0), "-", IF(SUM(IF('CO-PO Mapping'!Z$2,$AH41*$AB$29,0),IF('CO-PO Mapping'!Z$3,$AI41*$AC$29,0),IF('CO-PO Mapping'!Z$4,$AJ41*$AD$29,0),IF('CO-PO Mapping'!Z$5,$AK41*$AE$29,0),IF('CO-PO Mapping'!Z$6,$AL41*$AF$29,0),IF('CO-PO Mapping'!Z$7,$AM41*$AG$29,0))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2" spans="1:57" ht="16.5" customHeight="1">
      <c r="A42" s="117">
        <v>22235103089</v>
      </c>
      <c r="B42" s="118" t="s">
        <v>159</v>
      </c>
      <c r="C42" s="74">
        <v>4</v>
      </c>
      <c r="D42" s="75"/>
      <c r="E42" s="75">
        <v>20</v>
      </c>
      <c r="F42" s="75"/>
      <c r="G42" s="75"/>
      <c r="H42" s="103">
        <f t="shared" si="2"/>
        <v>24</v>
      </c>
      <c r="I42" s="75">
        <v>8</v>
      </c>
      <c r="J42" s="75">
        <v>8</v>
      </c>
      <c r="K42" s="75">
        <v>9</v>
      </c>
      <c r="L42" s="75"/>
      <c r="M42" s="75"/>
      <c r="N42" s="75"/>
      <c r="O42" s="105">
        <f t="shared" si="3"/>
        <v>25</v>
      </c>
      <c r="P42" s="75">
        <v>18</v>
      </c>
      <c r="Q42" s="75">
        <v>16</v>
      </c>
      <c r="R42" s="75"/>
      <c r="S42" s="75"/>
      <c r="T42" s="75"/>
      <c r="U42" s="75"/>
      <c r="V42" s="104">
        <f t="shared" si="4"/>
        <v>34</v>
      </c>
      <c r="W42" s="83">
        <f t="shared" si="5"/>
        <v>83</v>
      </c>
      <c r="X42" s="98" t="str">
        <f t="shared" si="10"/>
        <v>A (Plus)</v>
      </c>
      <c r="Y42" s="46"/>
      <c r="Z42" s="42">
        <f t="shared" si="6"/>
        <v>22235103089</v>
      </c>
      <c r="AA42" s="43" t="str">
        <f t="shared" si="7"/>
        <v>Md. Rayhan</v>
      </c>
      <c r="AB42" s="90">
        <f t="shared" si="11"/>
        <v>32</v>
      </c>
      <c r="AC42" s="90">
        <f t="shared" si="8"/>
        <v>26</v>
      </c>
      <c r="AD42" s="90">
        <f t="shared" si="8"/>
        <v>25</v>
      </c>
      <c r="AE42" s="90">
        <f t="shared" si="8"/>
        <v>0</v>
      </c>
      <c r="AF42" s="90">
        <f t="shared" si="8"/>
        <v>0</v>
      </c>
      <c r="AG42" s="90">
        <f t="shared" si="8"/>
        <v>0</v>
      </c>
      <c r="AH42" s="92">
        <f t="shared" si="12"/>
        <v>80</v>
      </c>
      <c r="AI42" s="92">
        <f t="shared" si="13"/>
        <v>86.666666666666671</v>
      </c>
      <c r="AJ42" s="92">
        <f t="shared" si="14"/>
        <v>83.333333333333329</v>
      </c>
      <c r="AK42" s="92">
        <f t="shared" si="22"/>
        <v>0</v>
      </c>
      <c r="AL42" s="92">
        <f t="shared" si="15"/>
        <v>0</v>
      </c>
      <c r="AM42" s="92">
        <f t="shared" si="16"/>
        <v>0</v>
      </c>
      <c r="AN42" s="93" t="str">
        <f t="shared" si="23"/>
        <v>Y</v>
      </c>
      <c r="AO42" s="93" t="str">
        <f t="shared" si="17"/>
        <v>Y</v>
      </c>
      <c r="AP42" s="93" t="str">
        <f t="shared" si="18"/>
        <v>Y</v>
      </c>
      <c r="AQ42" s="93" t="str">
        <f t="shared" si="19"/>
        <v>N</v>
      </c>
      <c r="AR42" s="93" t="str">
        <f t="shared" si="20"/>
        <v>N</v>
      </c>
      <c r="AS42" s="93" t="str">
        <f t="shared" si="21"/>
        <v>N</v>
      </c>
      <c r="AT42" s="95" t="str">
        <f>IF('CO-PO Mapping'!O$2, IF(OR($AN42="-",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IF(OR($AP42="-", SUM( IF('CO-PO Mapping'!O$2,$AB$29,0), IF('CO-PO Mapping'!O$3,$AC$29,0), IF('CO-PO Mapping'!O$4,$AD$29,0), IF('CO-PO Mapping'!O$5,$AE$29,0), IF('CO-PO Mapping'!O$6,$AF$29,0), IF('CO-PO Mapping'!O$7,$AG$29,0) )=0), "-", IF( SUM( IF('CO-PO Mapping'!O$2,$AH42*$AB$29,0), IF('CO-PO Mapping'!O$3,$AI42*$AC$29,0), IF('CO-PO Mapping'!O$4,$AJ42*$AD$29,0), IF('CO-PO Mapping'!O$5,$AK42*$AE$29,0), IF('CO-PO Mapping'!O$6,$AL42*$AF$29,0), IF('CO-PO Mapping'!O$7,$AM42*$AG$29,0)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IF('CO-PO Mapping'!O$6, IF(OR($AR42="-",SUM(IF('CO-PO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IF('CO-PO Mapping'!O$7, IF(OR($AS42="-",SUM(IF('CO-PO Mapping'!O$2,$AB$29,0),IF('CO-PO Mapping'!O$3,$AC$29,0),IF('CO-PO Mapping'!O$4,$AD$29,0),IF('CO-PO Mapping'!O$5,$AE$29,0),IF('CO-PO Mapping'!O$6,$AF$29,0),IF('CO-PO Mapping'!O$7,$AG$29,0))=0), "-", IF(SUM(IF('CO-PO Mapping'!O$2,$AH42*$AB$29,0),IF('CO-PO Mapping'!O$3,$AI42*$AC$29,0),IF('CO-PO Mapping'!O$4,$AJ42*$AD$29,0),IF('CO-PO Mapping'!O$5,$AK42*$AE$29,0),IF('CO-PO Mapping'!O$6,$AL42*$AF$29,0),IF('CO-PO Mapping'!O$7,$AM42*$AG$29,0))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2" s="95" t="str">
        <f>IF('CO-PO Mapping'!P$2, IF(OR($AN42="-",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IF(OR($AP42="-", SUM( IF('CO-PO Mapping'!P$2,$AB$29,0), IF('CO-PO Mapping'!P$3,$AC$29,0), IF('CO-PO Mapping'!P$4,$AD$29,0), IF('CO-PO Mapping'!P$5,$AE$29,0), IF('CO-PO Mapping'!P$6,$AF$29,0), IF('CO-PO Mapping'!P$7,$AG$29,0) )=0), "-", IF( SUM( IF('CO-PO Mapping'!P$2,$AH42*$AB$29,0), IF('CO-PO Mapping'!P$3,$AI42*$AC$29,0), IF('CO-PO Mapping'!P$4,$AJ42*$AD$29,0), IF('CO-PO Mapping'!P$5,$AK42*$AE$29,0), IF('CO-PO Mapping'!P$6,$AL42*$AF$29,0), IF('CO-PO Mapping'!P$7,$AM42*$AG$29,0)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IF('CO-PO Mapping'!P$6, IF(OR($AR42="-",SUM(IF('CO-PO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IF('CO-PO Mapping'!P$7, IF(OR($AS42="-",SUM(IF('CO-PO Mapping'!P$2,$AB$29,0),IF('CO-PO Mapping'!P$3,$AC$29,0),IF('CO-PO Mapping'!P$4,$AD$29,0),IF('CO-PO Mapping'!P$5,$AE$29,0),IF('CO-PO Mapping'!P$6,$AF$29,0),IF('CO-PO Mapping'!P$7,$AG$29,0))=0), "-", IF(SUM(IF('CO-PO Mapping'!P$2,$AH42*$AB$29,0),IF('CO-PO Mapping'!P$3,$AI42*$AC$29,0),IF('CO-PO Mapping'!P$4,$AJ42*$AD$29,0),IF('CO-PO Mapping'!P$5,$AK42*$AE$29,0),IF('CO-PO Mapping'!P$6,$AL42*$AF$29,0),IF('CO-PO Mapping'!P$7,$AM42*$AG$29,0))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2" s="95" t="str">
        <f>IF('CO-PO Mapping'!Q$2, IF(OR($AN42="-",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IF(OR($AP42="-", SUM( IF('CO-PO Mapping'!Q$2,$AB$29,0), IF('CO-PO Mapping'!Q$3,$AC$29,0), IF('CO-PO Mapping'!Q$4,$AD$29,0), IF('CO-PO Mapping'!Q$5,$AE$29,0), IF('CO-PO Mapping'!Q$6,$AF$29,0), IF('CO-PO Mapping'!Q$7,$AG$29,0) )=0), "-", IF( SUM( IF('CO-PO Mapping'!Q$2,$AH42*$AB$29,0), IF('CO-PO Mapping'!Q$3,$AI42*$AC$29,0), IF('CO-PO Mapping'!Q$4,$AJ42*$AD$29,0), IF('CO-PO Mapping'!Q$5,$AK42*$AE$29,0), IF('CO-PO Mapping'!Q$6,$AL42*$AF$29,0), IF('CO-PO Mapping'!Q$7,$AM42*$AG$29,0)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IF('CO-PO Mapping'!Q$6, IF(OR($AR42="-",SUM(IF('CO-PO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IF('CO-PO Mapping'!Q$7, IF(OR($AS42="-",SUM(IF('CO-PO Mapping'!Q$2,$AB$29,0),IF('CO-PO Mapping'!Q$3,$AC$29,0),IF('CO-PO Mapping'!Q$4,$AD$29,0),IF('CO-PO Mapping'!Q$5,$AE$29,0),IF('CO-PO Mapping'!Q$6,$AF$29,0),IF('CO-PO Mapping'!Q$7,$AG$29,0))=0), "-", IF(SUM(IF('CO-PO Mapping'!Q$2,$AH42*$AB$29,0),IF('CO-PO Mapping'!Q$3,$AI42*$AC$29,0),IF('CO-PO Mapping'!Q$4,$AJ42*$AD$29,0),IF('CO-PO Mapping'!Q$5,$AK42*$AE$29,0),IF('CO-PO Mapping'!Q$6,$AL42*$AF$29,0),IF('CO-PO Mapping'!Q$7,$AM42*$AG$29,0))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42" s="95" t="str">
        <f>IF('CO-PO Mapping'!R$2, IF(OR($AN42="-",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IF(OR($AP42="-", SUM( IF('CO-PO Mapping'!R$2,$AB$29,0), IF('CO-PO Mapping'!R$3,$AC$29,0), IF('CO-PO Mapping'!R$4,$AD$29,0), IF('CO-PO Mapping'!R$5,$AE$29,0), IF('CO-PO Mapping'!R$6,$AF$29,0), IF('CO-PO Mapping'!R$7,$AG$29,0) )=0), "-", IF( SUM( IF('CO-PO Mapping'!R$2,$AH42*$AB$29,0), IF('CO-PO Mapping'!R$3,$AI42*$AC$29,0), IF('CO-PO Mapping'!R$4,$AJ42*$AD$29,0), IF('CO-PO Mapping'!R$5,$AK42*$AE$29,0), IF('CO-PO Mapping'!R$6,$AL42*$AF$29,0), IF('CO-PO Mapping'!R$7,$AM42*$AG$29,0)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IF('CO-PO Mapping'!R$6, IF(OR($AR42="-",SUM(IF('CO-PO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IF('CO-PO Mapping'!R$7, IF(OR($AS42="-",SUM(IF('CO-PO Mapping'!R$2,$AB$29,0),IF('CO-PO Mapping'!R$3,$AC$29,0),IF('CO-PO Mapping'!R$4,$AD$29,0),IF('CO-PO Mapping'!R$5,$AE$29,0),IF('CO-PO Mapping'!R$6,$AF$29,0),IF('CO-PO Mapping'!R$7,$AG$29,0))=0), "-", IF(SUM(IF('CO-PO Mapping'!R$2,$AH42*$AB$29,0),IF('CO-PO Mapping'!R$3,$AI42*$AC$29,0),IF('CO-PO Mapping'!R$4,$AJ42*$AD$29,0),IF('CO-PO Mapping'!R$5,$AK42*$AE$29,0),IF('CO-PO Mapping'!R$6,$AL42*$AF$29,0),IF('CO-PO Mapping'!R$7,$AM42*$AG$29,0))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2" s="95" t="str">
        <f>IF('CO-PO Mapping'!S$2, IF(OR($AN42="-",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IF(OR($AP42="-", SUM( IF('CO-PO Mapping'!S$2,$AB$29,0), IF('CO-PO Mapping'!S$3,$AC$29,0), IF('CO-PO Mapping'!S$4,$AD$29,0), IF('CO-PO Mapping'!S$5,$AE$29,0), IF('CO-PO Mapping'!S$6,$AF$29,0), IF('CO-PO Mapping'!S$7,$AG$29,0) )=0), "-", IF( SUM( IF('CO-PO Mapping'!S$2,$AH42*$AB$29,0), IF('CO-PO Mapping'!S$3,$AI42*$AC$29,0), IF('CO-PO Mapping'!S$4,$AJ42*$AD$29,0), IF('CO-PO Mapping'!S$5,$AK42*$AE$29,0), IF('CO-PO Mapping'!S$6,$AL42*$AF$29,0), IF('CO-PO Mapping'!S$7,$AM42*$AG$29,0)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IF('CO-PO Mapping'!S$6, IF(OR($AR42="-",SUM(IF('CO-PO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IF('CO-PO Mapping'!S$7, IF(OR($AS42="-",SUM(IF('CO-PO Mapping'!S$2,$AB$29,0),IF('CO-PO Mapping'!S$3,$AC$29,0),IF('CO-PO Mapping'!S$4,$AD$29,0),IF('CO-PO Mapping'!S$5,$AE$29,0),IF('CO-PO Mapping'!S$6,$AF$29,0),IF('CO-PO Mapping'!S$7,$AG$29,0))=0), "-", IF(SUM(IF('CO-PO Mapping'!S$2,$AH42*$AB$29,0),IF('CO-PO Mapping'!S$3,$AI42*$AC$29,0),IF('CO-PO Mapping'!S$4,$AJ42*$AD$29,0),IF('CO-PO Mapping'!S$5,$AK42*$AE$29,0),IF('CO-PO Mapping'!S$6,$AL42*$AF$29,0),IF('CO-PO Mapping'!S$7,$AM42*$AG$29,0))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2" s="95" t="str">
        <f>IF('CO-PO Mapping'!T$2, IF(OR($AN42="-",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IF(OR($AP42="-", SUM( IF('CO-PO Mapping'!T$2,$AB$29,0), IF('CO-PO Mapping'!T$3,$AC$29,0), IF('CO-PO Mapping'!T$4,$AD$29,0), IF('CO-PO Mapping'!T$5,$AE$29,0), IF('CO-PO Mapping'!T$6,$AF$29,0), IF('CO-PO Mapping'!T$7,$AG$29,0) )=0), "-", IF( SUM( IF('CO-PO Mapping'!T$2,$AH42*$AB$29,0), IF('CO-PO Mapping'!T$3,$AI42*$AC$29,0), IF('CO-PO Mapping'!T$4,$AJ42*$AD$29,0), IF('CO-PO Mapping'!T$5,$AK42*$AE$29,0), IF('CO-PO Mapping'!T$6,$AL42*$AF$29,0), IF('CO-PO Mapping'!T$7,$AM42*$AG$29,0)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IF('CO-PO Mapping'!T$6, IF(OR($AR42="-",SUM(IF('CO-PO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IF('CO-PO Mapping'!T$7, IF(OR($AS42="-",SUM(IF('CO-PO Mapping'!T$2,$AB$29,0),IF('CO-PO Mapping'!T$3,$AC$29,0),IF('CO-PO Mapping'!T$4,$AD$29,0),IF('CO-PO Mapping'!T$5,$AE$29,0),IF('CO-PO Mapping'!T$6,$AF$29,0),IF('CO-PO Mapping'!T$7,$AG$29,0))=0), "-", IF(SUM(IF('CO-PO Mapping'!T$2,$AH42*$AB$29,0),IF('CO-PO Mapping'!T$3,$AI42*$AC$29,0),IF('CO-PO Mapping'!T$4,$AJ42*$AD$29,0),IF('CO-PO Mapping'!T$5,$AK42*$AE$29,0),IF('CO-PO Mapping'!T$6,$AL42*$AF$29,0),IF('CO-PO Mapping'!T$7,$AM42*$AG$29,0))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2" s="95" t="str">
        <f>IF('CO-PO Mapping'!U$2, IF(OR($AN42="-",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IF(OR($AP42="-", SUM( IF('CO-PO Mapping'!U$2,$AB$29,0), IF('CO-PO Mapping'!U$3,$AC$29,0), IF('CO-PO Mapping'!U$4,$AD$29,0), IF('CO-PO Mapping'!U$5,$AE$29,0), IF('CO-PO Mapping'!U$6,$AF$29,0), IF('CO-PO Mapping'!U$7,$AG$29,0) )=0), "-", IF( SUM( IF('CO-PO Mapping'!U$2,$AH42*$AB$29,0), IF('CO-PO Mapping'!U$3,$AI42*$AC$29,0), IF('CO-PO Mapping'!U$4,$AJ42*$AD$29,0), IF('CO-PO Mapping'!U$5,$AK42*$AE$29,0), IF('CO-PO Mapping'!U$6,$AL42*$AF$29,0), IF('CO-PO Mapping'!U$7,$AM42*$AG$29,0)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IF('CO-PO Mapping'!U$6, IF(OR($AR42="-",SUM(IF('CO-PO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IF('CO-PO Mapping'!U$7, IF(OR($AS42="-",SUM(IF('CO-PO Mapping'!U$2,$AB$29,0),IF('CO-PO Mapping'!U$3,$AC$29,0),IF('CO-PO Mapping'!U$4,$AD$29,0),IF('CO-PO Mapping'!U$5,$AE$29,0),IF('CO-PO Mapping'!U$6,$AF$29,0),IF('CO-PO Mapping'!U$7,$AG$29,0))=0), "-", IF(SUM(IF('CO-PO Mapping'!U$2,$AH42*$AB$29,0),IF('CO-PO Mapping'!U$3,$AI42*$AC$29,0),IF('CO-PO Mapping'!U$4,$AJ42*$AD$29,0),IF('CO-PO Mapping'!U$5,$AK42*$AE$29,0),IF('CO-PO Mapping'!U$6,$AL42*$AF$29,0),IF('CO-PO Mapping'!U$7,$AM42*$AG$29,0))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2" s="95" t="str">
        <f>IF('CO-PO Mapping'!V$2, IF(OR($AN42="-",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IF(OR($AP42="-", SUM( IF('CO-PO Mapping'!V$2,$AB$29,0), IF('CO-PO Mapping'!V$3,$AC$29,0), IF('CO-PO Mapping'!V$4,$AD$29,0), IF('CO-PO Mapping'!V$5,$AE$29,0), IF('CO-PO Mapping'!V$6,$AF$29,0), IF('CO-PO Mapping'!V$7,$AG$29,0) )=0), "-", IF( SUM( IF('CO-PO Mapping'!V$2,$AH42*$AB$29,0), IF('CO-PO Mapping'!V$3,$AI42*$AC$29,0), IF('CO-PO Mapping'!V$4,$AJ42*$AD$29,0), IF('CO-PO Mapping'!V$5,$AK42*$AE$29,0), IF('CO-PO Mapping'!V$6,$AL42*$AF$29,0), IF('CO-PO Mapping'!V$7,$AM42*$AG$29,0)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IF('CO-PO Mapping'!V$6, IF(OR($AR42="-",SUM(IF('CO-PO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IF('CO-PO Mapping'!V$7, IF(OR($AS42="-",SUM(IF('CO-PO Mapping'!V$2,$AB$29,0),IF('CO-PO Mapping'!V$3,$AC$29,0),IF('CO-PO Mapping'!V$4,$AD$29,0),IF('CO-PO Mapping'!V$5,$AE$29,0),IF('CO-PO Mapping'!V$6,$AF$29,0),IF('CO-PO Mapping'!V$7,$AG$29,0))=0), "-", IF(SUM(IF('CO-PO Mapping'!V$2,$AH42*$AB$29,0),IF('CO-PO Mapping'!V$3,$AI42*$AC$29,0),IF('CO-PO Mapping'!V$4,$AJ42*$AD$29,0),IF('CO-PO Mapping'!V$5,$AK42*$AE$29,0),IF('CO-PO Mapping'!V$6,$AL42*$AF$29,0),IF('CO-PO Mapping'!V$7,$AM42*$AG$29,0))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2" s="95" t="str">
        <f>IF('CO-PO Mapping'!W$2, IF(OR($AN42="-",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IF(OR($AP42="-", SUM( IF('CO-PO Mapping'!W$2,$AB$29,0), IF('CO-PO Mapping'!W$3,$AC$29,0), IF('CO-PO Mapping'!W$4,$AD$29,0), IF('CO-PO Mapping'!W$5,$AE$29,0), IF('CO-PO Mapping'!W$6,$AF$29,0), IF('CO-PO Mapping'!W$7,$AG$29,0) )=0), "-", IF( SUM( IF('CO-PO Mapping'!W$2,$AH42*$AB$29,0), IF('CO-PO Mapping'!W$3,$AI42*$AC$29,0), IF('CO-PO Mapping'!W$4,$AJ42*$AD$29,0), IF('CO-PO Mapping'!W$5,$AK42*$AE$29,0), IF('CO-PO Mapping'!W$6,$AL42*$AF$29,0), IF('CO-PO Mapping'!W$7,$AM42*$AG$29,0)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IF('CO-PO Mapping'!W$6, IF(OR($AR42="-",SUM(IF('CO-PO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IF('CO-PO Mapping'!W$7, IF(OR($AS42="-",SUM(IF('CO-PO Mapping'!W$2,$AB$29,0),IF('CO-PO Mapping'!W$3,$AC$29,0),IF('CO-PO Mapping'!W$4,$AD$29,0),IF('CO-PO Mapping'!W$5,$AE$29,0),IF('CO-PO Mapping'!W$6,$AF$29,0),IF('CO-PO Mapping'!W$7,$AG$29,0))=0), "-", IF(SUM(IF('CO-PO Mapping'!W$2,$AH42*$AB$29,0),IF('CO-PO Mapping'!W$3,$AI42*$AC$29,0),IF('CO-PO Mapping'!W$4,$AJ42*$AD$29,0),IF('CO-PO Mapping'!W$5,$AK42*$AE$29,0),IF('CO-PO Mapping'!W$6,$AL42*$AF$29,0),IF('CO-PO Mapping'!W$7,$AM42*$AG$29,0))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2" s="95" t="str">
        <f>IF('CO-PO Mapping'!X$2, IF(OR($AN42="-",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IF(OR($AP42="-", SUM( IF('CO-PO Mapping'!X$2,$AB$29,0), IF('CO-PO Mapping'!X$3,$AC$29,0), IF('CO-PO Mapping'!X$4,$AD$29,0), IF('CO-PO Mapping'!X$5,$AE$29,0), IF('CO-PO Mapping'!X$6,$AF$29,0), IF('CO-PO Mapping'!X$7,$AG$29,0) )=0), "-", IF( SUM( IF('CO-PO Mapping'!X$2,$AH42*$AB$29,0), IF('CO-PO Mapping'!X$3,$AI42*$AC$29,0), IF('CO-PO Mapping'!X$4,$AJ42*$AD$29,0), IF('CO-PO Mapping'!X$5,$AK42*$AE$29,0), IF('CO-PO Mapping'!X$6,$AL42*$AF$29,0), IF('CO-PO Mapping'!X$7,$AM42*$AG$29,0)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IF('CO-PO Mapping'!X$6, IF(OR($AR42="-",SUM(IF('CO-PO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IF('CO-PO Mapping'!X$7, IF(OR($AS42="-",SUM(IF('CO-PO Mapping'!X$2,$AB$29,0),IF('CO-PO Mapping'!X$3,$AC$29,0),IF('CO-PO Mapping'!X$4,$AD$29,0),IF('CO-PO Mapping'!X$5,$AE$29,0),IF('CO-PO Mapping'!X$6,$AF$29,0),IF('CO-PO Mapping'!X$7,$AG$29,0))=0), "-", IF(SUM(IF('CO-PO Mapping'!X$2,$AH42*$AB$29,0),IF('CO-PO Mapping'!X$3,$AI42*$AC$29,0),IF('CO-PO Mapping'!X$4,$AJ42*$AD$29,0),IF('CO-PO Mapping'!X$5,$AK42*$AE$29,0),IF('CO-PO Mapping'!X$6,$AL42*$AF$29,0),IF('CO-PO Mapping'!X$7,$AM42*$AG$29,0))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2" s="95" t="str">
        <f>IF('CO-PO Mapping'!Y$2, IF(OR($AN42="-",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IF(OR($AP42="-", SUM( IF('CO-PO Mapping'!Y$2,$AB$29,0), IF('CO-PO Mapping'!Y$3,$AC$29,0), IF('CO-PO Mapping'!Y$4,$AD$29,0), IF('CO-PO Mapping'!Y$5,$AE$29,0), IF('CO-PO Mapping'!Y$6,$AF$29,0), IF('CO-PO Mapping'!Y$7,$AG$29,0) )=0), "-", IF( SUM( IF('CO-PO Mapping'!Y$2,$AH42*$AB$29,0), IF('CO-PO Mapping'!Y$3,$AI42*$AC$29,0), IF('CO-PO Mapping'!Y$4,$AJ42*$AD$29,0), IF('CO-PO Mapping'!Y$5,$AK42*$AE$29,0), IF('CO-PO Mapping'!Y$6,$AL42*$AF$29,0), IF('CO-PO Mapping'!Y$7,$AM42*$AG$29,0)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IF('CO-PO Mapping'!Y$6, IF(OR($AR42="-",SUM(IF('CO-PO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IF('CO-PO Mapping'!Y$7, IF(OR($AS42="-",SUM(IF('CO-PO Mapping'!Y$2,$AB$29,0),IF('CO-PO Mapping'!Y$3,$AC$29,0),IF('CO-PO Mapping'!Y$4,$AD$29,0),IF('CO-PO Mapping'!Y$5,$AE$29,0),IF('CO-PO Mapping'!Y$6,$AF$29,0),IF('CO-PO Mapping'!Y$7,$AG$29,0))=0), "-", IF(SUM(IF('CO-PO Mapping'!Y$2,$AH42*$AB$29,0),IF('CO-PO Mapping'!Y$3,$AI42*$AC$29,0),IF('CO-PO Mapping'!Y$4,$AJ42*$AD$29,0),IF('CO-PO Mapping'!Y$5,$AK42*$AE$29,0),IF('CO-PO Mapping'!Y$6,$AL42*$AF$29,0),IF('CO-PO Mapping'!Y$7,$AM42*$AG$29,0))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2" s="95" t="str">
        <f>IF('CO-PO Mapping'!Z$2, IF(OR($AN42="-",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IF(OR($AP42="-", SUM( IF('CO-PO Mapping'!Z$2,$AB$29,0), IF('CO-PO Mapping'!Z$3,$AC$29,0), IF('CO-PO Mapping'!Z$4,$AD$29,0), IF('CO-PO Mapping'!Z$5,$AE$29,0), IF('CO-PO Mapping'!Z$6,$AF$29,0), IF('CO-PO Mapping'!Z$7,$AG$29,0) )=0), "-", IF( SUM( IF('CO-PO Mapping'!Z$2,$AH42*$AB$29,0), IF('CO-PO Mapping'!Z$3,$AI42*$AC$29,0), IF('CO-PO Mapping'!Z$4,$AJ42*$AD$29,0), IF('CO-PO Mapping'!Z$5,$AK42*$AE$29,0), IF('CO-PO Mapping'!Z$6,$AL42*$AF$29,0), IF('CO-PO Mapping'!Z$7,$AM42*$AG$29,0)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IF('CO-PO Mapping'!Z$6, IF(OR($AR42="-",SUM(IF('CO-PO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IF('CO-PO Mapping'!Z$7, IF(OR($AS42="-",SUM(IF('CO-PO Mapping'!Z$2,$AB$29,0),IF('CO-PO Mapping'!Z$3,$AC$29,0),IF('CO-PO Mapping'!Z$4,$AD$29,0),IF('CO-PO Mapping'!Z$5,$AE$29,0),IF('CO-PO Mapping'!Z$6,$AF$29,0),IF('CO-PO Mapping'!Z$7,$AG$29,0))=0), "-", IF(SUM(IF('CO-PO Mapping'!Z$2,$AH42*$AB$29,0),IF('CO-PO Mapping'!Z$3,$AI42*$AC$29,0),IF('CO-PO Mapping'!Z$4,$AJ42*$AD$29,0),IF('CO-PO Mapping'!Z$5,$AK42*$AE$29,0),IF('CO-PO Mapping'!Z$6,$AL42*$AF$29,0),IF('CO-PO Mapping'!Z$7,$AM42*$AG$29,0))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3" spans="1:57" ht="16.5" customHeight="1">
      <c r="A43" s="117">
        <v>22235103093</v>
      </c>
      <c r="B43" s="118" t="s">
        <v>160</v>
      </c>
      <c r="C43" s="74">
        <v>4</v>
      </c>
      <c r="D43" s="75"/>
      <c r="E43" s="75">
        <v>20</v>
      </c>
      <c r="F43" s="75"/>
      <c r="G43" s="75"/>
      <c r="H43" s="103">
        <f t="shared" si="2"/>
        <v>24</v>
      </c>
      <c r="I43" s="75">
        <v>5</v>
      </c>
      <c r="J43" s="75">
        <v>5</v>
      </c>
      <c r="K43" s="75">
        <v>5</v>
      </c>
      <c r="L43" s="75"/>
      <c r="M43" s="75"/>
      <c r="N43" s="75"/>
      <c r="O43" s="105">
        <f t="shared" si="3"/>
        <v>15</v>
      </c>
      <c r="P43" s="75">
        <v>10</v>
      </c>
      <c r="Q43" s="75">
        <v>10</v>
      </c>
      <c r="R43" s="75"/>
      <c r="S43" s="75"/>
      <c r="T43" s="75"/>
      <c r="U43" s="75"/>
      <c r="V43" s="104">
        <f t="shared" si="4"/>
        <v>20</v>
      </c>
      <c r="W43" s="83">
        <f t="shared" si="5"/>
        <v>59</v>
      </c>
      <c r="X43" s="98" t="str">
        <f t="shared" si="10"/>
        <v>B (Minus)</v>
      </c>
      <c r="Y43" s="46"/>
      <c r="Z43" s="42">
        <f t="shared" si="6"/>
        <v>22235103093</v>
      </c>
      <c r="AA43" s="43" t="str">
        <f t="shared" si="7"/>
        <v>Md. Fazla Rabbi</v>
      </c>
      <c r="AB43" s="90">
        <f t="shared" si="11"/>
        <v>29</v>
      </c>
      <c r="AC43" s="90">
        <f t="shared" si="8"/>
        <v>15</v>
      </c>
      <c r="AD43" s="90">
        <f t="shared" si="8"/>
        <v>15</v>
      </c>
      <c r="AE43" s="90">
        <f t="shared" si="8"/>
        <v>0</v>
      </c>
      <c r="AF43" s="90">
        <f t="shared" si="8"/>
        <v>0</v>
      </c>
      <c r="AG43" s="90">
        <f t="shared" si="8"/>
        <v>0</v>
      </c>
      <c r="AH43" s="92">
        <f t="shared" si="12"/>
        <v>72.5</v>
      </c>
      <c r="AI43" s="92">
        <f t="shared" si="13"/>
        <v>50</v>
      </c>
      <c r="AJ43" s="92">
        <f t="shared" si="14"/>
        <v>50</v>
      </c>
      <c r="AK43" s="92">
        <f t="shared" si="22"/>
        <v>0</v>
      </c>
      <c r="AL43" s="92">
        <f t="shared" si="15"/>
        <v>0</v>
      </c>
      <c r="AM43" s="92">
        <f t="shared" si="16"/>
        <v>0</v>
      </c>
      <c r="AN43" s="93" t="str">
        <f t="shared" si="23"/>
        <v>Y</v>
      </c>
      <c r="AO43" s="93" t="str">
        <f t="shared" si="17"/>
        <v>Y</v>
      </c>
      <c r="AP43" s="93" t="str">
        <f t="shared" si="18"/>
        <v>Y</v>
      </c>
      <c r="AQ43" s="93" t="str">
        <f t="shared" si="19"/>
        <v>N</v>
      </c>
      <c r="AR43" s="93" t="str">
        <f t="shared" si="20"/>
        <v>N</v>
      </c>
      <c r="AS43" s="93" t="str">
        <f t="shared" si="21"/>
        <v>N</v>
      </c>
      <c r="AT43" s="95" t="str">
        <f>IF('CO-PO Mapping'!O$2, IF(OR($AN43="-",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IF(OR($AP43="-", SUM( IF('CO-PO Mapping'!O$2,$AB$29,0), IF('CO-PO Mapping'!O$3,$AC$29,0), IF('CO-PO Mapping'!O$4,$AD$29,0), IF('CO-PO Mapping'!O$5,$AE$29,0), IF('CO-PO Mapping'!O$6,$AF$29,0), IF('CO-PO Mapping'!O$7,$AG$29,0) )=0), "-", IF( SUM( IF('CO-PO Mapping'!O$2,$AH43*$AB$29,0), IF('CO-PO Mapping'!O$3,$AI43*$AC$29,0), IF('CO-PO Mapping'!O$4,$AJ43*$AD$29,0), IF('CO-PO Mapping'!O$5,$AK43*$AE$29,0), IF('CO-PO Mapping'!O$6,$AL43*$AF$29,0), IF('CO-PO Mapping'!O$7,$AM43*$AG$29,0)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IF('CO-PO Mapping'!O$6, IF(OR($AR43="-",SUM(IF('CO-PO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IF('CO-PO Mapping'!O$7, IF(OR($AS43="-",SUM(IF('CO-PO Mapping'!O$2,$AB$29,0),IF('CO-PO Mapping'!O$3,$AC$29,0),IF('CO-PO Mapping'!O$4,$AD$29,0),IF('CO-PO Mapping'!O$5,$AE$29,0),IF('CO-PO Mapping'!O$6,$AF$29,0),IF('CO-PO Mapping'!O$7,$AG$29,0))=0), "-", IF(SUM(IF('CO-PO Mapping'!O$2,$AH43*$AB$29,0),IF('CO-PO Mapping'!O$3,$AI43*$AC$29,0),IF('CO-PO Mapping'!O$4,$AJ43*$AD$29,0),IF('CO-PO Mapping'!O$5,$AK43*$AE$29,0),IF('CO-PO Mapping'!O$6,$AL43*$AF$29,0),IF('CO-PO Mapping'!O$7,$AM43*$AG$29,0))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3" s="95" t="str">
        <f>IF('CO-PO Mapping'!P$2, IF(OR($AN43="-",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IF(OR($AP43="-", SUM( IF('CO-PO Mapping'!P$2,$AB$29,0), IF('CO-PO Mapping'!P$3,$AC$29,0), IF('CO-PO Mapping'!P$4,$AD$29,0), IF('CO-PO Mapping'!P$5,$AE$29,0), IF('CO-PO Mapping'!P$6,$AF$29,0), IF('CO-PO Mapping'!P$7,$AG$29,0) )=0), "-", IF( SUM( IF('CO-PO Mapping'!P$2,$AH43*$AB$29,0), IF('CO-PO Mapping'!P$3,$AI43*$AC$29,0), IF('CO-PO Mapping'!P$4,$AJ43*$AD$29,0), IF('CO-PO Mapping'!P$5,$AK43*$AE$29,0), IF('CO-PO Mapping'!P$6,$AL43*$AF$29,0), IF('CO-PO Mapping'!P$7,$AM43*$AG$29,0)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IF('CO-PO Mapping'!P$6, IF(OR($AR43="-",SUM(IF('CO-PO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IF('CO-PO Mapping'!P$7, IF(OR($AS43="-",SUM(IF('CO-PO Mapping'!P$2,$AB$29,0),IF('CO-PO Mapping'!P$3,$AC$29,0),IF('CO-PO Mapping'!P$4,$AD$29,0),IF('CO-PO Mapping'!P$5,$AE$29,0),IF('CO-PO Mapping'!P$6,$AF$29,0),IF('CO-PO Mapping'!P$7,$AG$29,0))=0), "-", IF(SUM(IF('CO-PO Mapping'!P$2,$AH43*$AB$29,0),IF('CO-PO Mapping'!P$3,$AI43*$AC$29,0),IF('CO-PO Mapping'!P$4,$AJ43*$AD$29,0),IF('CO-PO Mapping'!P$5,$AK43*$AE$29,0),IF('CO-PO Mapping'!P$6,$AL43*$AF$29,0),IF('CO-PO Mapping'!P$7,$AM43*$AG$29,0))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3" s="95" t="str">
        <f>IF('CO-PO Mapping'!Q$2, IF(OR($AN43="-",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IF(OR($AP43="-", SUM( IF('CO-PO Mapping'!Q$2,$AB$29,0), IF('CO-PO Mapping'!Q$3,$AC$29,0), IF('CO-PO Mapping'!Q$4,$AD$29,0), IF('CO-PO Mapping'!Q$5,$AE$29,0), IF('CO-PO Mapping'!Q$6,$AF$29,0), IF('CO-PO Mapping'!Q$7,$AG$29,0) )=0), "-", IF( SUM( IF('CO-PO Mapping'!Q$2,$AH43*$AB$29,0), IF('CO-PO Mapping'!Q$3,$AI43*$AC$29,0), IF('CO-PO Mapping'!Q$4,$AJ43*$AD$29,0), IF('CO-PO Mapping'!Q$5,$AK43*$AE$29,0), IF('CO-PO Mapping'!Q$6,$AL43*$AF$29,0), IF('CO-PO Mapping'!Q$7,$AM43*$AG$29,0)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IF('CO-PO Mapping'!Q$6, IF(OR($AR43="-",SUM(IF('CO-PO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IF('CO-PO Mapping'!Q$7, IF(OR($AS43="-",SUM(IF('CO-PO Mapping'!Q$2,$AB$29,0),IF('CO-PO Mapping'!Q$3,$AC$29,0),IF('CO-PO Mapping'!Q$4,$AD$29,0),IF('CO-PO Mapping'!Q$5,$AE$29,0),IF('CO-PO Mapping'!Q$6,$AF$29,0),IF('CO-PO Mapping'!Q$7,$AG$29,0))=0), "-", IF(SUM(IF('CO-PO Mapping'!Q$2,$AH43*$AB$29,0),IF('CO-PO Mapping'!Q$3,$AI43*$AC$29,0),IF('CO-PO Mapping'!Q$4,$AJ43*$AD$29,0),IF('CO-PO Mapping'!Q$5,$AK43*$AE$29,0),IF('CO-PO Mapping'!Q$6,$AL43*$AF$29,0),IF('CO-PO Mapping'!Q$7,$AM43*$AG$29,0))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43" s="95" t="str">
        <f>IF('CO-PO Mapping'!R$2, IF(OR($AN43="-",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IF(OR($AP43="-", SUM( IF('CO-PO Mapping'!R$2,$AB$29,0), IF('CO-PO Mapping'!R$3,$AC$29,0), IF('CO-PO Mapping'!R$4,$AD$29,0), IF('CO-PO Mapping'!R$5,$AE$29,0), IF('CO-PO Mapping'!R$6,$AF$29,0), IF('CO-PO Mapping'!R$7,$AG$29,0) )=0), "-", IF( SUM( IF('CO-PO Mapping'!R$2,$AH43*$AB$29,0), IF('CO-PO Mapping'!R$3,$AI43*$AC$29,0), IF('CO-PO Mapping'!R$4,$AJ43*$AD$29,0), IF('CO-PO Mapping'!R$5,$AK43*$AE$29,0), IF('CO-PO Mapping'!R$6,$AL43*$AF$29,0), IF('CO-PO Mapping'!R$7,$AM43*$AG$29,0)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IF('CO-PO Mapping'!R$6, IF(OR($AR43="-",SUM(IF('CO-PO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IF('CO-PO Mapping'!R$7, IF(OR($AS43="-",SUM(IF('CO-PO Mapping'!R$2,$AB$29,0),IF('CO-PO Mapping'!R$3,$AC$29,0),IF('CO-PO Mapping'!R$4,$AD$29,0),IF('CO-PO Mapping'!R$5,$AE$29,0),IF('CO-PO Mapping'!R$6,$AF$29,0),IF('CO-PO Mapping'!R$7,$AG$29,0))=0), "-", IF(SUM(IF('CO-PO Mapping'!R$2,$AH43*$AB$29,0),IF('CO-PO Mapping'!R$3,$AI43*$AC$29,0),IF('CO-PO Mapping'!R$4,$AJ43*$AD$29,0),IF('CO-PO Mapping'!R$5,$AK43*$AE$29,0),IF('CO-PO Mapping'!R$6,$AL43*$AF$29,0),IF('CO-PO Mapping'!R$7,$AM43*$AG$29,0))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3" s="95" t="str">
        <f>IF('CO-PO Mapping'!S$2, IF(OR($AN43="-",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IF(OR($AP43="-", SUM( IF('CO-PO Mapping'!S$2,$AB$29,0), IF('CO-PO Mapping'!S$3,$AC$29,0), IF('CO-PO Mapping'!S$4,$AD$29,0), IF('CO-PO Mapping'!S$5,$AE$29,0), IF('CO-PO Mapping'!S$6,$AF$29,0), IF('CO-PO Mapping'!S$7,$AG$29,0) )=0), "-", IF( SUM( IF('CO-PO Mapping'!S$2,$AH43*$AB$29,0), IF('CO-PO Mapping'!S$3,$AI43*$AC$29,0), IF('CO-PO Mapping'!S$4,$AJ43*$AD$29,0), IF('CO-PO Mapping'!S$5,$AK43*$AE$29,0), IF('CO-PO Mapping'!S$6,$AL43*$AF$29,0), IF('CO-PO Mapping'!S$7,$AM43*$AG$29,0)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IF('CO-PO Mapping'!S$6, IF(OR($AR43="-",SUM(IF('CO-PO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IF('CO-PO Mapping'!S$7, IF(OR($AS43="-",SUM(IF('CO-PO Mapping'!S$2,$AB$29,0),IF('CO-PO Mapping'!S$3,$AC$29,0),IF('CO-PO Mapping'!S$4,$AD$29,0),IF('CO-PO Mapping'!S$5,$AE$29,0),IF('CO-PO Mapping'!S$6,$AF$29,0),IF('CO-PO Mapping'!S$7,$AG$29,0))=0), "-", IF(SUM(IF('CO-PO Mapping'!S$2,$AH43*$AB$29,0),IF('CO-PO Mapping'!S$3,$AI43*$AC$29,0),IF('CO-PO Mapping'!S$4,$AJ43*$AD$29,0),IF('CO-PO Mapping'!S$5,$AK43*$AE$29,0),IF('CO-PO Mapping'!S$6,$AL43*$AF$29,0),IF('CO-PO Mapping'!S$7,$AM43*$AG$29,0))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3" s="95" t="str">
        <f>IF('CO-PO Mapping'!T$2, IF(OR($AN43="-",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IF(OR($AP43="-", SUM( IF('CO-PO Mapping'!T$2,$AB$29,0), IF('CO-PO Mapping'!T$3,$AC$29,0), IF('CO-PO Mapping'!T$4,$AD$29,0), IF('CO-PO Mapping'!T$5,$AE$29,0), IF('CO-PO Mapping'!T$6,$AF$29,0), IF('CO-PO Mapping'!T$7,$AG$29,0) )=0), "-", IF( SUM( IF('CO-PO Mapping'!T$2,$AH43*$AB$29,0), IF('CO-PO Mapping'!T$3,$AI43*$AC$29,0), IF('CO-PO Mapping'!T$4,$AJ43*$AD$29,0), IF('CO-PO Mapping'!T$5,$AK43*$AE$29,0), IF('CO-PO Mapping'!T$6,$AL43*$AF$29,0), IF('CO-PO Mapping'!T$7,$AM43*$AG$29,0)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IF('CO-PO Mapping'!T$6, IF(OR($AR43="-",SUM(IF('CO-PO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IF('CO-PO Mapping'!T$7, IF(OR($AS43="-",SUM(IF('CO-PO Mapping'!T$2,$AB$29,0),IF('CO-PO Mapping'!T$3,$AC$29,0),IF('CO-PO Mapping'!T$4,$AD$29,0),IF('CO-PO Mapping'!T$5,$AE$29,0),IF('CO-PO Mapping'!T$6,$AF$29,0),IF('CO-PO Mapping'!T$7,$AG$29,0))=0), "-", IF(SUM(IF('CO-PO Mapping'!T$2,$AH43*$AB$29,0),IF('CO-PO Mapping'!T$3,$AI43*$AC$29,0),IF('CO-PO Mapping'!T$4,$AJ43*$AD$29,0),IF('CO-PO Mapping'!T$5,$AK43*$AE$29,0),IF('CO-PO Mapping'!T$6,$AL43*$AF$29,0),IF('CO-PO Mapping'!T$7,$AM43*$AG$29,0))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3" s="95" t="str">
        <f>IF('CO-PO Mapping'!U$2, IF(OR($AN43="-",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IF(OR($AP43="-", SUM( IF('CO-PO Mapping'!U$2,$AB$29,0), IF('CO-PO Mapping'!U$3,$AC$29,0), IF('CO-PO Mapping'!U$4,$AD$29,0), IF('CO-PO Mapping'!U$5,$AE$29,0), IF('CO-PO Mapping'!U$6,$AF$29,0), IF('CO-PO Mapping'!U$7,$AG$29,0) )=0), "-", IF( SUM( IF('CO-PO Mapping'!U$2,$AH43*$AB$29,0), IF('CO-PO Mapping'!U$3,$AI43*$AC$29,0), IF('CO-PO Mapping'!U$4,$AJ43*$AD$29,0), IF('CO-PO Mapping'!U$5,$AK43*$AE$29,0), IF('CO-PO Mapping'!U$6,$AL43*$AF$29,0), IF('CO-PO Mapping'!U$7,$AM43*$AG$29,0)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IF('CO-PO Mapping'!U$6, IF(OR($AR43="-",SUM(IF('CO-PO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IF('CO-PO Mapping'!U$7, IF(OR($AS43="-",SUM(IF('CO-PO Mapping'!U$2,$AB$29,0),IF('CO-PO Mapping'!U$3,$AC$29,0),IF('CO-PO Mapping'!U$4,$AD$29,0),IF('CO-PO Mapping'!U$5,$AE$29,0),IF('CO-PO Mapping'!U$6,$AF$29,0),IF('CO-PO Mapping'!U$7,$AG$29,0))=0), "-", IF(SUM(IF('CO-PO Mapping'!U$2,$AH43*$AB$29,0),IF('CO-PO Mapping'!U$3,$AI43*$AC$29,0),IF('CO-PO Mapping'!U$4,$AJ43*$AD$29,0),IF('CO-PO Mapping'!U$5,$AK43*$AE$29,0),IF('CO-PO Mapping'!U$6,$AL43*$AF$29,0),IF('CO-PO Mapping'!U$7,$AM43*$AG$29,0))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3" s="95" t="str">
        <f>IF('CO-PO Mapping'!V$2, IF(OR($AN43="-",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IF(OR($AP43="-", SUM( IF('CO-PO Mapping'!V$2,$AB$29,0), IF('CO-PO Mapping'!V$3,$AC$29,0), IF('CO-PO Mapping'!V$4,$AD$29,0), IF('CO-PO Mapping'!V$5,$AE$29,0), IF('CO-PO Mapping'!V$6,$AF$29,0), IF('CO-PO Mapping'!V$7,$AG$29,0) )=0), "-", IF( SUM( IF('CO-PO Mapping'!V$2,$AH43*$AB$29,0), IF('CO-PO Mapping'!V$3,$AI43*$AC$29,0), IF('CO-PO Mapping'!V$4,$AJ43*$AD$29,0), IF('CO-PO Mapping'!V$5,$AK43*$AE$29,0), IF('CO-PO Mapping'!V$6,$AL43*$AF$29,0), IF('CO-PO Mapping'!V$7,$AM43*$AG$29,0)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IF('CO-PO Mapping'!V$6, IF(OR($AR43="-",SUM(IF('CO-PO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IF('CO-PO Mapping'!V$7, IF(OR($AS43="-",SUM(IF('CO-PO Mapping'!V$2,$AB$29,0),IF('CO-PO Mapping'!V$3,$AC$29,0),IF('CO-PO Mapping'!V$4,$AD$29,0),IF('CO-PO Mapping'!V$5,$AE$29,0),IF('CO-PO Mapping'!V$6,$AF$29,0),IF('CO-PO Mapping'!V$7,$AG$29,0))=0), "-", IF(SUM(IF('CO-PO Mapping'!V$2,$AH43*$AB$29,0),IF('CO-PO Mapping'!V$3,$AI43*$AC$29,0),IF('CO-PO Mapping'!V$4,$AJ43*$AD$29,0),IF('CO-PO Mapping'!V$5,$AK43*$AE$29,0),IF('CO-PO Mapping'!V$6,$AL43*$AF$29,0),IF('CO-PO Mapping'!V$7,$AM43*$AG$29,0))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3" s="95" t="str">
        <f>IF('CO-PO Mapping'!W$2, IF(OR($AN43="-",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IF(OR($AP43="-", SUM( IF('CO-PO Mapping'!W$2,$AB$29,0), IF('CO-PO Mapping'!W$3,$AC$29,0), IF('CO-PO Mapping'!W$4,$AD$29,0), IF('CO-PO Mapping'!W$5,$AE$29,0), IF('CO-PO Mapping'!W$6,$AF$29,0), IF('CO-PO Mapping'!W$7,$AG$29,0) )=0), "-", IF( SUM( IF('CO-PO Mapping'!W$2,$AH43*$AB$29,0), IF('CO-PO Mapping'!W$3,$AI43*$AC$29,0), IF('CO-PO Mapping'!W$4,$AJ43*$AD$29,0), IF('CO-PO Mapping'!W$5,$AK43*$AE$29,0), IF('CO-PO Mapping'!W$6,$AL43*$AF$29,0), IF('CO-PO Mapping'!W$7,$AM43*$AG$29,0)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IF('CO-PO Mapping'!W$6, IF(OR($AR43="-",SUM(IF('CO-PO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IF('CO-PO Mapping'!W$7, IF(OR($AS43="-",SUM(IF('CO-PO Mapping'!W$2,$AB$29,0),IF('CO-PO Mapping'!W$3,$AC$29,0),IF('CO-PO Mapping'!W$4,$AD$29,0),IF('CO-PO Mapping'!W$5,$AE$29,0),IF('CO-PO Mapping'!W$6,$AF$29,0),IF('CO-PO Mapping'!W$7,$AG$29,0))=0), "-", IF(SUM(IF('CO-PO Mapping'!W$2,$AH43*$AB$29,0),IF('CO-PO Mapping'!W$3,$AI43*$AC$29,0),IF('CO-PO Mapping'!W$4,$AJ43*$AD$29,0),IF('CO-PO Mapping'!W$5,$AK43*$AE$29,0),IF('CO-PO Mapping'!W$6,$AL43*$AF$29,0),IF('CO-PO Mapping'!W$7,$AM43*$AG$29,0))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3" s="95" t="str">
        <f>IF('CO-PO Mapping'!X$2, IF(OR($AN43="-",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IF(OR($AP43="-", SUM( IF('CO-PO Mapping'!X$2,$AB$29,0), IF('CO-PO Mapping'!X$3,$AC$29,0), IF('CO-PO Mapping'!X$4,$AD$29,0), IF('CO-PO Mapping'!X$5,$AE$29,0), IF('CO-PO Mapping'!X$6,$AF$29,0), IF('CO-PO Mapping'!X$7,$AG$29,0) )=0), "-", IF( SUM( IF('CO-PO Mapping'!X$2,$AH43*$AB$29,0), IF('CO-PO Mapping'!X$3,$AI43*$AC$29,0), IF('CO-PO Mapping'!X$4,$AJ43*$AD$29,0), IF('CO-PO Mapping'!X$5,$AK43*$AE$29,0), IF('CO-PO Mapping'!X$6,$AL43*$AF$29,0), IF('CO-PO Mapping'!X$7,$AM43*$AG$29,0)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IF('CO-PO Mapping'!X$6, IF(OR($AR43="-",SUM(IF('CO-PO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IF('CO-PO Mapping'!X$7, IF(OR($AS43="-",SUM(IF('CO-PO Mapping'!X$2,$AB$29,0),IF('CO-PO Mapping'!X$3,$AC$29,0),IF('CO-PO Mapping'!X$4,$AD$29,0),IF('CO-PO Mapping'!X$5,$AE$29,0),IF('CO-PO Mapping'!X$6,$AF$29,0),IF('CO-PO Mapping'!X$7,$AG$29,0))=0), "-", IF(SUM(IF('CO-PO Mapping'!X$2,$AH43*$AB$29,0),IF('CO-PO Mapping'!X$3,$AI43*$AC$29,0),IF('CO-PO Mapping'!X$4,$AJ43*$AD$29,0),IF('CO-PO Mapping'!X$5,$AK43*$AE$29,0),IF('CO-PO Mapping'!X$6,$AL43*$AF$29,0),IF('CO-PO Mapping'!X$7,$AM43*$AG$29,0))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3" s="95" t="str">
        <f>IF('CO-PO Mapping'!Y$2, IF(OR($AN43="-",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IF(OR($AP43="-", SUM( IF('CO-PO Mapping'!Y$2,$AB$29,0), IF('CO-PO Mapping'!Y$3,$AC$29,0), IF('CO-PO Mapping'!Y$4,$AD$29,0), IF('CO-PO Mapping'!Y$5,$AE$29,0), IF('CO-PO Mapping'!Y$6,$AF$29,0), IF('CO-PO Mapping'!Y$7,$AG$29,0) )=0), "-", IF( SUM( IF('CO-PO Mapping'!Y$2,$AH43*$AB$29,0), IF('CO-PO Mapping'!Y$3,$AI43*$AC$29,0), IF('CO-PO Mapping'!Y$4,$AJ43*$AD$29,0), IF('CO-PO Mapping'!Y$5,$AK43*$AE$29,0), IF('CO-PO Mapping'!Y$6,$AL43*$AF$29,0), IF('CO-PO Mapping'!Y$7,$AM43*$AG$29,0)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IF('CO-PO Mapping'!Y$6, IF(OR($AR43="-",SUM(IF('CO-PO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IF('CO-PO Mapping'!Y$7, IF(OR($AS43="-",SUM(IF('CO-PO Mapping'!Y$2,$AB$29,0),IF('CO-PO Mapping'!Y$3,$AC$29,0),IF('CO-PO Mapping'!Y$4,$AD$29,0),IF('CO-PO Mapping'!Y$5,$AE$29,0),IF('CO-PO Mapping'!Y$6,$AF$29,0),IF('CO-PO Mapping'!Y$7,$AG$29,0))=0), "-", IF(SUM(IF('CO-PO Mapping'!Y$2,$AH43*$AB$29,0),IF('CO-PO Mapping'!Y$3,$AI43*$AC$29,0),IF('CO-PO Mapping'!Y$4,$AJ43*$AD$29,0),IF('CO-PO Mapping'!Y$5,$AK43*$AE$29,0),IF('CO-PO Mapping'!Y$6,$AL43*$AF$29,0),IF('CO-PO Mapping'!Y$7,$AM43*$AG$29,0))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3" s="95" t="str">
        <f>IF('CO-PO Mapping'!Z$2, IF(OR($AN43="-",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IF(OR($AP43="-", SUM( IF('CO-PO Mapping'!Z$2,$AB$29,0), IF('CO-PO Mapping'!Z$3,$AC$29,0), IF('CO-PO Mapping'!Z$4,$AD$29,0), IF('CO-PO Mapping'!Z$5,$AE$29,0), IF('CO-PO Mapping'!Z$6,$AF$29,0), IF('CO-PO Mapping'!Z$7,$AG$29,0) )=0), "-", IF( SUM( IF('CO-PO Mapping'!Z$2,$AH43*$AB$29,0), IF('CO-PO Mapping'!Z$3,$AI43*$AC$29,0), IF('CO-PO Mapping'!Z$4,$AJ43*$AD$29,0), IF('CO-PO Mapping'!Z$5,$AK43*$AE$29,0), IF('CO-PO Mapping'!Z$6,$AL43*$AF$29,0), IF('CO-PO Mapping'!Z$7,$AM43*$AG$29,0)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IF('CO-PO Mapping'!Z$6, IF(OR($AR43="-",SUM(IF('CO-PO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IF('CO-PO Mapping'!Z$7, IF(OR($AS43="-",SUM(IF('CO-PO Mapping'!Z$2,$AB$29,0),IF('CO-PO Mapping'!Z$3,$AC$29,0),IF('CO-PO Mapping'!Z$4,$AD$29,0),IF('CO-PO Mapping'!Z$5,$AE$29,0),IF('CO-PO Mapping'!Z$6,$AF$29,0),IF('CO-PO Mapping'!Z$7,$AG$29,0))=0), "-", IF(SUM(IF('CO-PO Mapping'!Z$2,$AH43*$AB$29,0),IF('CO-PO Mapping'!Z$3,$AI43*$AC$29,0),IF('CO-PO Mapping'!Z$4,$AJ43*$AD$29,0),IF('CO-PO Mapping'!Z$5,$AK43*$AE$29,0),IF('CO-PO Mapping'!Z$6,$AL43*$AF$29,0),IF('CO-PO Mapping'!Z$7,$AM43*$AG$29,0))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4" spans="1:57" ht="16.5" customHeight="1">
      <c r="A44" s="117">
        <v>22235103099</v>
      </c>
      <c r="B44" s="118" t="s">
        <v>161</v>
      </c>
      <c r="C44" s="74">
        <v>4</v>
      </c>
      <c r="D44" s="75"/>
      <c r="E44" s="75">
        <v>20</v>
      </c>
      <c r="F44" s="75"/>
      <c r="G44" s="75"/>
      <c r="H44" s="103">
        <f t="shared" si="2"/>
        <v>24</v>
      </c>
      <c r="I44" s="75">
        <v>8</v>
      </c>
      <c r="J44" s="75">
        <v>5</v>
      </c>
      <c r="K44" s="75">
        <v>5</v>
      </c>
      <c r="L44" s="75"/>
      <c r="M44" s="75"/>
      <c r="N44" s="75"/>
      <c r="O44" s="105">
        <f t="shared" si="3"/>
        <v>18</v>
      </c>
      <c r="P44" s="75">
        <v>10</v>
      </c>
      <c r="Q44" s="75">
        <v>9</v>
      </c>
      <c r="R44" s="75"/>
      <c r="S44" s="75"/>
      <c r="T44" s="75"/>
      <c r="U44" s="75"/>
      <c r="V44" s="104">
        <f t="shared" si="4"/>
        <v>19</v>
      </c>
      <c r="W44" s="83">
        <f t="shared" si="5"/>
        <v>61</v>
      </c>
      <c r="X44" s="98" t="str">
        <f>IF(ISNUMBER(W44),IF(A44&lt;&gt;"",IF(W44&gt;=80,"A (Plus)",IF(W44&gt;=75,"A",IF(W44&gt;=70,"A (Minus)",IF(W44&gt;=65,"B (Plus)",IF(W44&gt;=60,"B",IF(W44&gt;=55,"B (Minus)",IF(W44&gt;=50,"C (Plus)",IF(W44&gt;=45,"C",IF(W44&gt;=40,"D","F (Fail)"))))))))),"-"),IF(O44="A","F (Fail)",IF(V44="A","Incomplete","Error")))</f>
        <v>B</v>
      </c>
      <c r="Y44" s="46"/>
      <c r="Z44" s="42">
        <f t="shared" si="6"/>
        <v>22235103099</v>
      </c>
      <c r="AA44" s="43" t="str">
        <f t="shared" si="7"/>
        <v>Al Mamun Shikdar</v>
      </c>
      <c r="AB44" s="90">
        <f t="shared" si="11"/>
        <v>32</v>
      </c>
      <c r="AC44" s="90">
        <f t="shared" si="8"/>
        <v>15</v>
      </c>
      <c r="AD44" s="90">
        <f t="shared" si="8"/>
        <v>14</v>
      </c>
      <c r="AE44" s="90">
        <f t="shared" si="8"/>
        <v>0</v>
      </c>
      <c r="AF44" s="90">
        <f t="shared" si="8"/>
        <v>0</v>
      </c>
      <c r="AG44" s="90">
        <f t="shared" si="8"/>
        <v>0</v>
      </c>
      <c r="AH44" s="92">
        <f t="shared" si="12"/>
        <v>80</v>
      </c>
      <c r="AI44" s="92">
        <f t="shared" si="13"/>
        <v>50</v>
      </c>
      <c r="AJ44" s="92">
        <f t="shared" si="14"/>
        <v>46.666666666666664</v>
      </c>
      <c r="AK44" s="92">
        <f t="shared" si="22"/>
        <v>0</v>
      </c>
      <c r="AL44" s="92">
        <f t="shared" si="15"/>
        <v>0</v>
      </c>
      <c r="AM44" s="92">
        <f t="shared" si="16"/>
        <v>0</v>
      </c>
      <c r="AN44" s="93" t="str">
        <f t="shared" si="23"/>
        <v>Y</v>
      </c>
      <c r="AO44" s="93" t="str">
        <f t="shared" si="17"/>
        <v>Y</v>
      </c>
      <c r="AP44" s="93" t="str">
        <f t="shared" si="18"/>
        <v>N</v>
      </c>
      <c r="AQ44" s="93" t="str">
        <f t="shared" si="19"/>
        <v>N</v>
      </c>
      <c r="AR44" s="93" t="str">
        <f t="shared" si="20"/>
        <v>N</v>
      </c>
      <c r="AS44" s="93" t="str">
        <f t="shared" si="21"/>
        <v>N</v>
      </c>
      <c r="AT44" s="95" t="str">
        <f>IF('CO-PO Mapping'!O$2, IF(OR($AN44="-",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IF(OR($AP44="-", SUM( IF('CO-PO Mapping'!O$2,$AB$29,0), IF('CO-PO Mapping'!O$3,$AC$29,0), IF('CO-PO Mapping'!O$4,$AD$29,0), IF('CO-PO Mapping'!O$5,$AE$29,0), IF('CO-PO Mapping'!O$6,$AF$29,0), IF('CO-PO Mapping'!O$7,$AG$29,0) )=0), "-", IF( SUM( IF('CO-PO Mapping'!O$2,$AH44*$AB$29,0), IF('CO-PO Mapping'!O$3,$AI44*$AC$29,0), IF('CO-PO Mapping'!O$4,$AJ44*$AD$29,0), IF('CO-PO Mapping'!O$5,$AK44*$AE$29,0), IF('CO-PO Mapping'!O$6,$AL44*$AF$29,0), IF('CO-PO Mapping'!O$7,$AM44*$AG$29,0)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IF('CO-PO Mapping'!O$6, IF(OR($AR44="-",SUM(IF('CO-PO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IF('CO-PO Mapping'!O$7, IF(OR($AS44="-",SUM(IF('CO-PO Mapping'!O$2,$AB$29,0),IF('CO-PO Mapping'!O$3,$AC$29,0),IF('CO-PO Mapping'!O$4,$AD$29,0),IF('CO-PO Mapping'!O$5,$AE$29,0),IF('CO-PO Mapping'!O$6,$AF$29,0),IF('CO-PO Mapping'!O$7,$AG$29,0))=0), "-", IF(SUM(IF('CO-PO Mapping'!O$2,$AH44*$AB$29,0),IF('CO-PO Mapping'!O$3,$AI44*$AC$29,0),IF('CO-PO Mapping'!O$4,$AJ44*$AD$29,0),IF('CO-PO Mapping'!O$5,$AK44*$AE$29,0),IF('CO-PO Mapping'!O$6,$AL44*$AF$29,0),IF('CO-PO Mapping'!O$7,$AM44*$AG$29,0))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4" s="95" t="str">
        <f>IF('CO-PO Mapping'!P$2, IF(OR($AN44="-",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IF(OR($AP44="-", SUM( IF('CO-PO Mapping'!P$2,$AB$29,0), IF('CO-PO Mapping'!P$3,$AC$29,0), IF('CO-PO Mapping'!P$4,$AD$29,0), IF('CO-PO Mapping'!P$5,$AE$29,0), IF('CO-PO Mapping'!P$6,$AF$29,0), IF('CO-PO Mapping'!P$7,$AG$29,0) )=0), "-", IF( SUM( IF('CO-PO Mapping'!P$2,$AH44*$AB$29,0), IF('CO-PO Mapping'!P$3,$AI44*$AC$29,0), IF('CO-PO Mapping'!P$4,$AJ44*$AD$29,0), IF('CO-PO Mapping'!P$5,$AK44*$AE$29,0), IF('CO-PO Mapping'!P$6,$AL44*$AF$29,0), IF('CO-PO Mapping'!P$7,$AM44*$AG$29,0)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IF('CO-PO Mapping'!P$6, IF(OR($AR44="-",SUM(IF('CO-PO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IF('CO-PO Mapping'!P$7, IF(OR($AS44="-",SUM(IF('CO-PO Mapping'!P$2,$AB$29,0),IF('CO-PO Mapping'!P$3,$AC$29,0),IF('CO-PO Mapping'!P$4,$AD$29,0),IF('CO-PO Mapping'!P$5,$AE$29,0),IF('CO-PO Mapping'!P$6,$AF$29,0),IF('CO-PO Mapping'!P$7,$AG$29,0))=0), "-", IF(SUM(IF('CO-PO Mapping'!P$2,$AH44*$AB$29,0),IF('CO-PO Mapping'!P$3,$AI44*$AC$29,0),IF('CO-PO Mapping'!P$4,$AJ44*$AD$29,0),IF('CO-PO Mapping'!P$5,$AK44*$AE$29,0),IF('CO-PO Mapping'!P$6,$AL44*$AF$29,0),IF('CO-PO Mapping'!P$7,$AM44*$AG$29,0))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4" s="95" t="str">
        <f>IF('CO-PO Mapping'!Q$2, IF(OR($AN44="-",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IF(OR($AP44="-", SUM( IF('CO-PO Mapping'!Q$2,$AB$29,0), IF('CO-PO Mapping'!Q$3,$AC$29,0), IF('CO-PO Mapping'!Q$4,$AD$29,0), IF('CO-PO Mapping'!Q$5,$AE$29,0), IF('CO-PO Mapping'!Q$6,$AF$29,0), IF('CO-PO Mapping'!Q$7,$AG$29,0) )=0), "-", IF( SUM( IF('CO-PO Mapping'!Q$2,$AH44*$AB$29,0), IF('CO-PO Mapping'!Q$3,$AI44*$AC$29,0), IF('CO-PO Mapping'!Q$4,$AJ44*$AD$29,0), IF('CO-PO Mapping'!Q$5,$AK44*$AE$29,0), IF('CO-PO Mapping'!Q$6,$AL44*$AF$29,0), IF('CO-PO Mapping'!Q$7,$AM44*$AG$29,0)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IF('CO-PO Mapping'!Q$6, IF(OR($AR44="-",SUM(IF('CO-PO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IF('CO-PO Mapping'!Q$7, IF(OR($AS44="-",SUM(IF('CO-PO Mapping'!Q$2,$AB$29,0),IF('CO-PO Mapping'!Q$3,$AC$29,0),IF('CO-PO Mapping'!Q$4,$AD$29,0),IF('CO-PO Mapping'!Q$5,$AE$29,0),IF('CO-PO Mapping'!Q$6,$AF$29,0),IF('CO-PO Mapping'!Q$7,$AG$29,0))=0), "-", IF(SUM(IF('CO-PO Mapping'!Q$2,$AH44*$AB$29,0),IF('CO-PO Mapping'!Q$3,$AI44*$AC$29,0),IF('CO-PO Mapping'!Q$4,$AJ44*$AD$29,0),IF('CO-PO Mapping'!Q$5,$AK44*$AE$29,0),IF('CO-PO Mapping'!Q$6,$AL44*$AF$29,0),IF('CO-PO Mapping'!Q$7,$AM44*$AG$29,0)) / SUM(IF('CO-PO Mapping'!Q$2,$AB$29,0),IF('CO-PO Mapping'!Q$3,$AC$29,0),IF('CO-PO Mapping'!Q$4,$AD$29,0),IF('CO-PO Mapping'!Q$5,$AE$29,0),IF('CO-PO Mapping'!Q$6,$AF$29,0),IF('CO-PO Mapping'!Q$7,$AG$29,0)) &gt;=$AW$27,"Y","N" ) ), "-"))))))</f>
        <v>N</v>
      </c>
      <c r="AW44" s="95" t="str">
        <f>IF('CO-PO Mapping'!R$2, IF(OR($AN44="-",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IF(OR($AP44="-", SUM( IF('CO-PO Mapping'!R$2,$AB$29,0), IF('CO-PO Mapping'!R$3,$AC$29,0), IF('CO-PO Mapping'!R$4,$AD$29,0), IF('CO-PO Mapping'!R$5,$AE$29,0), IF('CO-PO Mapping'!R$6,$AF$29,0), IF('CO-PO Mapping'!R$7,$AG$29,0) )=0), "-", IF( SUM( IF('CO-PO Mapping'!R$2,$AH44*$AB$29,0), IF('CO-PO Mapping'!R$3,$AI44*$AC$29,0), IF('CO-PO Mapping'!R$4,$AJ44*$AD$29,0), IF('CO-PO Mapping'!R$5,$AK44*$AE$29,0), IF('CO-PO Mapping'!R$6,$AL44*$AF$29,0), IF('CO-PO Mapping'!R$7,$AM44*$AG$29,0)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IF('CO-PO Mapping'!R$6, IF(OR($AR44="-",SUM(IF('CO-PO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IF('CO-PO Mapping'!R$7, IF(OR($AS44="-",SUM(IF('CO-PO Mapping'!R$2,$AB$29,0),IF('CO-PO Mapping'!R$3,$AC$29,0),IF('CO-PO Mapping'!R$4,$AD$29,0),IF('CO-PO Mapping'!R$5,$AE$29,0),IF('CO-PO Mapping'!R$6,$AF$29,0),IF('CO-PO Mapping'!R$7,$AG$29,0))=0), "-", IF(SUM(IF('CO-PO Mapping'!R$2,$AH44*$AB$29,0),IF('CO-PO Mapping'!R$3,$AI44*$AC$29,0),IF('CO-PO Mapping'!R$4,$AJ44*$AD$29,0),IF('CO-PO Mapping'!R$5,$AK44*$AE$29,0),IF('CO-PO Mapping'!R$6,$AL44*$AF$29,0),IF('CO-PO Mapping'!R$7,$AM44*$AG$29,0))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4" s="95" t="str">
        <f>IF('CO-PO Mapping'!S$2, IF(OR($AN44="-",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IF(OR($AP44="-", SUM( IF('CO-PO Mapping'!S$2,$AB$29,0), IF('CO-PO Mapping'!S$3,$AC$29,0), IF('CO-PO Mapping'!S$4,$AD$29,0), IF('CO-PO Mapping'!S$5,$AE$29,0), IF('CO-PO Mapping'!S$6,$AF$29,0), IF('CO-PO Mapping'!S$7,$AG$29,0) )=0), "-", IF( SUM( IF('CO-PO Mapping'!S$2,$AH44*$AB$29,0), IF('CO-PO Mapping'!S$3,$AI44*$AC$29,0), IF('CO-PO Mapping'!S$4,$AJ44*$AD$29,0), IF('CO-PO Mapping'!S$5,$AK44*$AE$29,0), IF('CO-PO Mapping'!S$6,$AL44*$AF$29,0), IF('CO-PO Mapping'!S$7,$AM44*$AG$29,0)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IF('CO-PO Mapping'!S$6, IF(OR($AR44="-",SUM(IF('CO-PO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IF('CO-PO Mapping'!S$7, IF(OR($AS44="-",SUM(IF('CO-PO Mapping'!S$2,$AB$29,0),IF('CO-PO Mapping'!S$3,$AC$29,0),IF('CO-PO Mapping'!S$4,$AD$29,0),IF('CO-PO Mapping'!S$5,$AE$29,0),IF('CO-PO Mapping'!S$6,$AF$29,0),IF('CO-PO Mapping'!S$7,$AG$29,0))=0), "-", IF(SUM(IF('CO-PO Mapping'!S$2,$AH44*$AB$29,0),IF('CO-PO Mapping'!S$3,$AI44*$AC$29,0),IF('CO-PO Mapping'!S$4,$AJ44*$AD$29,0),IF('CO-PO Mapping'!S$5,$AK44*$AE$29,0),IF('CO-PO Mapping'!S$6,$AL44*$AF$29,0),IF('CO-PO Mapping'!S$7,$AM44*$AG$29,0))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4" s="95" t="str">
        <f>IF('CO-PO Mapping'!T$2, IF(OR($AN44="-",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IF(OR($AP44="-", SUM( IF('CO-PO Mapping'!T$2,$AB$29,0), IF('CO-PO Mapping'!T$3,$AC$29,0), IF('CO-PO Mapping'!T$4,$AD$29,0), IF('CO-PO Mapping'!T$5,$AE$29,0), IF('CO-PO Mapping'!T$6,$AF$29,0), IF('CO-PO Mapping'!T$7,$AG$29,0) )=0), "-", IF( SUM( IF('CO-PO Mapping'!T$2,$AH44*$AB$29,0), IF('CO-PO Mapping'!T$3,$AI44*$AC$29,0), IF('CO-PO Mapping'!T$4,$AJ44*$AD$29,0), IF('CO-PO Mapping'!T$5,$AK44*$AE$29,0), IF('CO-PO Mapping'!T$6,$AL44*$AF$29,0), IF('CO-PO Mapping'!T$7,$AM44*$AG$29,0)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IF('CO-PO Mapping'!T$6, IF(OR($AR44="-",SUM(IF('CO-PO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IF('CO-PO Mapping'!T$7, IF(OR($AS44="-",SUM(IF('CO-PO Mapping'!T$2,$AB$29,0),IF('CO-PO Mapping'!T$3,$AC$29,0),IF('CO-PO Mapping'!T$4,$AD$29,0),IF('CO-PO Mapping'!T$5,$AE$29,0),IF('CO-PO Mapping'!T$6,$AF$29,0),IF('CO-PO Mapping'!T$7,$AG$29,0))=0), "-", IF(SUM(IF('CO-PO Mapping'!T$2,$AH44*$AB$29,0),IF('CO-PO Mapping'!T$3,$AI44*$AC$29,0),IF('CO-PO Mapping'!T$4,$AJ44*$AD$29,0),IF('CO-PO Mapping'!T$5,$AK44*$AE$29,0),IF('CO-PO Mapping'!T$6,$AL44*$AF$29,0),IF('CO-PO Mapping'!T$7,$AM44*$AG$29,0))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4" s="95" t="str">
        <f>IF('CO-PO Mapping'!U$2, IF(OR($AN44="-",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IF(OR($AP44="-", SUM( IF('CO-PO Mapping'!U$2,$AB$29,0), IF('CO-PO Mapping'!U$3,$AC$29,0), IF('CO-PO Mapping'!U$4,$AD$29,0), IF('CO-PO Mapping'!U$5,$AE$29,0), IF('CO-PO Mapping'!U$6,$AF$29,0), IF('CO-PO Mapping'!U$7,$AG$29,0) )=0), "-", IF( SUM( IF('CO-PO Mapping'!U$2,$AH44*$AB$29,0), IF('CO-PO Mapping'!U$3,$AI44*$AC$29,0), IF('CO-PO Mapping'!U$4,$AJ44*$AD$29,0), IF('CO-PO Mapping'!U$5,$AK44*$AE$29,0), IF('CO-PO Mapping'!U$6,$AL44*$AF$29,0), IF('CO-PO Mapping'!U$7,$AM44*$AG$29,0)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IF('CO-PO Mapping'!U$6, IF(OR($AR44="-",SUM(IF('CO-PO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IF('CO-PO Mapping'!U$7, IF(OR($AS44="-",SUM(IF('CO-PO Mapping'!U$2,$AB$29,0),IF('CO-PO Mapping'!U$3,$AC$29,0),IF('CO-PO Mapping'!U$4,$AD$29,0),IF('CO-PO Mapping'!U$5,$AE$29,0),IF('CO-PO Mapping'!U$6,$AF$29,0),IF('CO-PO Mapping'!U$7,$AG$29,0))=0), "-", IF(SUM(IF('CO-PO Mapping'!U$2,$AH44*$AB$29,0),IF('CO-PO Mapping'!U$3,$AI44*$AC$29,0),IF('CO-PO Mapping'!U$4,$AJ44*$AD$29,0),IF('CO-PO Mapping'!U$5,$AK44*$AE$29,0),IF('CO-PO Mapping'!U$6,$AL44*$AF$29,0),IF('CO-PO Mapping'!U$7,$AM44*$AG$29,0))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4" s="95" t="str">
        <f>IF('CO-PO Mapping'!V$2, IF(OR($AN44="-",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IF(OR($AP44="-", SUM( IF('CO-PO Mapping'!V$2,$AB$29,0), IF('CO-PO Mapping'!V$3,$AC$29,0), IF('CO-PO Mapping'!V$4,$AD$29,0), IF('CO-PO Mapping'!V$5,$AE$29,0), IF('CO-PO Mapping'!V$6,$AF$29,0), IF('CO-PO Mapping'!V$7,$AG$29,0) )=0), "-", IF( SUM( IF('CO-PO Mapping'!V$2,$AH44*$AB$29,0), IF('CO-PO Mapping'!V$3,$AI44*$AC$29,0), IF('CO-PO Mapping'!V$4,$AJ44*$AD$29,0), IF('CO-PO Mapping'!V$5,$AK44*$AE$29,0), IF('CO-PO Mapping'!V$6,$AL44*$AF$29,0), IF('CO-PO Mapping'!V$7,$AM44*$AG$29,0)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IF('CO-PO Mapping'!V$6, IF(OR($AR44="-",SUM(IF('CO-PO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IF('CO-PO Mapping'!V$7, IF(OR($AS44="-",SUM(IF('CO-PO Mapping'!V$2,$AB$29,0),IF('CO-PO Mapping'!V$3,$AC$29,0),IF('CO-PO Mapping'!V$4,$AD$29,0),IF('CO-PO Mapping'!V$5,$AE$29,0),IF('CO-PO Mapping'!V$6,$AF$29,0),IF('CO-PO Mapping'!V$7,$AG$29,0))=0), "-", IF(SUM(IF('CO-PO Mapping'!V$2,$AH44*$AB$29,0),IF('CO-PO Mapping'!V$3,$AI44*$AC$29,0),IF('CO-PO Mapping'!V$4,$AJ44*$AD$29,0),IF('CO-PO Mapping'!V$5,$AK44*$AE$29,0),IF('CO-PO Mapping'!V$6,$AL44*$AF$29,0),IF('CO-PO Mapping'!V$7,$AM44*$AG$29,0))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4" s="95" t="str">
        <f>IF('CO-PO Mapping'!W$2, IF(OR($AN44="-",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IF(OR($AP44="-", SUM( IF('CO-PO Mapping'!W$2,$AB$29,0), IF('CO-PO Mapping'!W$3,$AC$29,0), IF('CO-PO Mapping'!W$4,$AD$29,0), IF('CO-PO Mapping'!W$5,$AE$29,0), IF('CO-PO Mapping'!W$6,$AF$29,0), IF('CO-PO Mapping'!W$7,$AG$29,0) )=0), "-", IF( SUM( IF('CO-PO Mapping'!W$2,$AH44*$AB$29,0), IF('CO-PO Mapping'!W$3,$AI44*$AC$29,0), IF('CO-PO Mapping'!W$4,$AJ44*$AD$29,0), IF('CO-PO Mapping'!W$5,$AK44*$AE$29,0), IF('CO-PO Mapping'!W$6,$AL44*$AF$29,0), IF('CO-PO Mapping'!W$7,$AM44*$AG$29,0)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IF('CO-PO Mapping'!W$6, IF(OR($AR44="-",SUM(IF('CO-PO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IF('CO-PO Mapping'!W$7, IF(OR($AS44="-",SUM(IF('CO-PO Mapping'!W$2,$AB$29,0),IF('CO-PO Mapping'!W$3,$AC$29,0),IF('CO-PO Mapping'!W$4,$AD$29,0),IF('CO-PO Mapping'!W$5,$AE$29,0),IF('CO-PO Mapping'!W$6,$AF$29,0),IF('CO-PO Mapping'!W$7,$AG$29,0))=0), "-", IF(SUM(IF('CO-PO Mapping'!W$2,$AH44*$AB$29,0),IF('CO-PO Mapping'!W$3,$AI44*$AC$29,0),IF('CO-PO Mapping'!W$4,$AJ44*$AD$29,0),IF('CO-PO Mapping'!W$5,$AK44*$AE$29,0),IF('CO-PO Mapping'!W$6,$AL44*$AF$29,0),IF('CO-PO Mapping'!W$7,$AM44*$AG$29,0))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4" s="95" t="str">
        <f>IF('CO-PO Mapping'!X$2, IF(OR($AN44="-",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IF(OR($AP44="-", SUM( IF('CO-PO Mapping'!X$2,$AB$29,0), IF('CO-PO Mapping'!X$3,$AC$29,0), IF('CO-PO Mapping'!X$4,$AD$29,0), IF('CO-PO Mapping'!X$5,$AE$29,0), IF('CO-PO Mapping'!X$6,$AF$29,0), IF('CO-PO Mapping'!X$7,$AG$29,0) )=0), "-", IF( SUM( IF('CO-PO Mapping'!X$2,$AH44*$AB$29,0), IF('CO-PO Mapping'!X$3,$AI44*$AC$29,0), IF('CO-PO Mapping'!X$4,$AJ44*$AD$29,0), IF('CO-PO Mapping'!X$5,$AK44*$AE$29,0), IF('CO-PO Mapping'!X$6,$AL44*$AF$29,0), IF('CO-PO Mapping'!X$7,$AM44*$AG$29,0)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IF('CO-PO Mapping'!X$6, IF(OR($AR44="-",SUM(IF('CO-PO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IF('CO-PO Mapping'!X$7, IF(OR($AS44="-",SUM(IF('CO-PO Mapping'!X$2,$AB$29,0),IF('CO-PO Mapping'!X$3,$AC$29,0),IF('CO-PO Mapping'!X$4,$AD$29,0),IF('CO-PO Mapping'!X$5,$AE$29,0),IF('CO-PO Mapping'!X$6,$AF$29,0),IF('CO-PO Mapping'!X$7,$AG$29,0))=0), "-", IF(SUM(IF('CO-PO Mapping'!X$2,$AH44*$AB$29,0),IF('CO-PO Mapping'!X$3,$AI44*$AC$29,0),IF('CO-PO Mapping'!X$4,$AJ44*$AD$29,0),IF('CO-PO Mapping'!X$5,$AK44*$AE$29,0),IF('CO-PO Mapping'!X$6,$AL44*$AF$29,0),IF('CO-PO Mapping'!X$7,$AM44*$AG$29,0))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4" s="95" t="str">
        <f>IF('CO-PO Mapping'!Y$2, IF(OR($AN44="-",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IF(OR($AP44="-", SUM( IF('CO-PO Mapping'!Y$2,$AB$29,0), IF('CO-PO Mapping'!Y$3,$AC$29,0), IF('CO-PO Mapping'!Y$4,$AD$29,0), IF('CO-PO Mapping'!Y$5,$AE$29,0), IF('CO-PO Mapping'!Y$6,$AF$29,0), IF('CO-PO Mapping'!Y$7,$AG$29,0) )=0), "-", IF( SUM( IF('CO-PO Mapping'!Y$2,$AH44*$AB$29,0), IF('CO-PO Mapping'!Y$3,$AI44*$AC$29,0), IF('CO-PO Mapping'!Y$4,$AJ44*$AD$29,0), IF('CO-PO Mapping'!Y$5,$AK44*$AE$29,0), IF('CO-PO Mapping'!Y$6,$AL44*$AF$29,0), IF('CO-PO Mapping'!Y$7,$AM44*$AG$29,0)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IF('CO-PO Mapping'!Y$6, IF(OR($AR44="-",SUM(IF('CO-PO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IF('CO-PO Mapping'!Y$7, IF(OR($AS44="-",SUM(IF('CO-PO Mapping'!Y$2,$AB$29,0),IF('CO-PO Mapping'!Y$3,$AC$29,0),IF('CO-PO Mapping'!Y$4,$AD$29,0),IF('CO-PO Mapping'!Y$5,$AE$29,0),IF('CO-PO Mapping'!Y$6,$AF$29,0),IF('CO-PO Mapping'!Y$7,$AG$29,0))=0), "-", IF(SUM(IF('CO-PO Mapping'!Y$2,$AH44*$AB$29,0),IF('CO-PO Mapping'!Y$3,$AI44*$AC$29,0),IF('CO-PO Mapping'!Y$4,$AJ44*$AD$29,0),IF('CO-PO Mapping'!Y$5,$AK44*$AE$29,0),IF('CO-PO Mapping'!Y$6,$AL44*$AF$29,0),IF('CO-PO Mapping'!Y$7,$AM44*$AG$29,0))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4" s="95" t="str">
        <f>IF('CO-PO Mapping'!Z$2, IF(OR($AN44="-",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IF(OR($AP44="-", SUM( IF('CO-PO Mapping'!Z$2,$AB$29,0), IF('CO-PO Mapping'!Z$3,$AC$29,0), IF('CO-PO Mapping'!Z$4,$AD$29,0), IF('CO-PO Mapping'!Z$5,$AE$29,0), IF('CO-PO Mapping'!Z$6,$AF$29,0), IF('CO-PO Mapping'!Z$7,$AG$29,0) )=0), "-", IF( SUM( IF('CO-PO Mapping'!Z$2,$AH44*$AB$29,0), IF('CO-PO Mapping'!Z$3,$AI44*$AC$29,0), IF('CO-PO Mapping'!Z$4,$AJ44*$AD$29,0), IF('CO-PO Mapping'!Z$5,$AK44*$AE$29,0), IF('CO-PO Mapping'!Z$6,$AL44*$AF$29,0), IF('CO-PO Mapping'!Z$7,$AM44*$AG$29,0)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IF('CO-PO Mapping'!Z$6, IF(OR($AR44="-",SUM(IF('CO-PO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IF('CO-PO Mapping'!Z$7, IF(OR($AS44="-",SUM(IF('CO-PO Mapping'!Z$2,$AB$29,0),IF('CO-PO Mapping'!Z$3,$AC$29,0),IF('CO-PO Mapping'!Z$4,$AD$29,0),IF('CO-PO Mapping'!Z$5,$AE$29,0),IF('CO-PO Mapping'!Z$6,$AF$29,0),IF('CO-PO Mapping'!Z$7,$AG$29,0))=0), "-", IF(SUM(IF('CO-PO Mapping'!Z$2,$AH44*$AB$29,0),IF('CO-PO Mapping'!Z$3,$AI44*$AC$29,0),IF('CO-PO Mapping'!Z$4,$AJ44*$AD$29,0),IF('CO-PO Mapping'!Z$5,$AK44*$AE$29,0),IF('CO-PO Mapping'!Z$6,$AL44*$AF$29,0),IF('CO-PO Mapping'!Z$7,$AM44*$AG$29,0))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5" spans="1:57" ht="16.5" customHeight="1">
      <c r="A45" s="117">
        <v>22235103105</v>
      </c>
      <c r="B45" s="118" t="s">
        <v>162</v>
      </c>
      <c r="C45" s="74">
        <v>4</v>
      </c>
      <c r="D45" s="75"/>
      <c r="E45" s="75">
        <v>20</v>
      </c>
      <c r="F45" s="75"/>
      <c r="G45" s="75"/>
      <c r="H45" s="103">
        <f t="shared" si="2"/>
        <v>24</v>
      </c>
      <c r="I45" s="75">
        <v>8</v>
      </c>
      <c r="J45" s="75">
        <v>7</v>
      </c>
      <c r="K45" s="75">
        <v>5</v>
      </c>
      <c r="L45" s="75"/>
      <c r="M45" s="75"/>
      <c r="N45" s="75"/>
      <c r="O45" s="105">
        <f t="shared" si="3"/>
        <v>20</v>
      </c>
      <c r="P45" s="77">
        <v>18</v>
      </c>
      <c r="Q45" s="75">
        <v>12</v>
      </c>
      <c r="R45" s="75"/>
      <c r="S45" s="75"/>
      <c r="T45" s="75"/>
      <c r="U45" s="75"/>
      <c r="V45" s="104">
        <f t="shared" si="4"/>
        <v>30</v>
      </c>
      <c r="W45" s="83">
        <f t="shared" si="5"/>
        <v>74</v>
      </c>
      <c r="X45" s="98" t="str">
        <f t="shared" ref="X45" si="24">IF(ISNUMBER(W45),IF(A45&lt;&gt;"",IF(W45&gt;=80,"A (Plus)",IF(W45&gt;=75,"A",IF(W45&gt;=70,"A (Minus)",IF(W45&gt;=65,"B (Plus)",IF(W45&gt;=60,"B",IF(W45&gt;=55,"B (Minus)",IF(W45&gt;=50,"C (Plus)",IF(W45&gt;=45,"C",IF(W45&gt;=40,"D","F (Fail)"))))))))),"-"),IF(O45="A","F (Fail)",IF(V45="A","Incomplete","Error")))</f>
        <v>A (Minus)</v>
      </c>
      <c r="Y45" s="46"/>
      <c r="Z45" s="42">
        <f t="shared" si="6"/>
        <v>22235103105</v>
      </c>
      <c r="AA45" s="43" t="str">
        <f t="shared" si="7"/>
        <v>Shariar Soton</v>
      </c>
      <c r="AB45" s="90">
        <f t="shared" si="11"/>
        <v>32</v>
      </c>
      <c r="AC45" s="90">
        <f t="shared" si="8"/>
        <v>25</v>
      </c>
      <c r="AD45" s="90">
        <f t="shared" si="8"/>
        <v>17</v>
      </c>
      <c r="AE45" s="90">
        <f t="shared" si="8"/>
        <v>0</v>
      </c>
      <c r="AF45" s="90">
        <f t="shared" si="8"/>
        <v>0</v>
      </c>
      <c r="AG45" s="90">
        <f t="shared" si="8"/>
        <v>0</v>
      </c>
      <c r="AH45" s="92">
        <f t="shared" si="12"/>
        <v>80</v>
      </c>
      <c r="AI45" s="92">
        <f t="shared" si="13"/>
        <v>83.333333333333329</v>
      </c>
      <c r="AJ45" s="92">
        <f t="shared" si="14"/>
        <v>56.666666666666664</v>
      </c>
      <c r="AK45" s="92">
        <f t="shared" si="22"/>
        <v>0</v>
      </c>
      <c r="AL45" s="92">
        <f t="shared" si="15"/>
        <v>0</v>
      </c>
      <c r="AM45" s="92">
        <f t="shared" si="16"/>
        <v>0</v>
      </c>
      <c r="AN45" s="93" t="str">
        <f t="shared" si="23"/>
        <v>Y</v>
      </c>
      <c r="AO45" s="93" t="str">
        <f t="shared" si="17"/>
        <v>Y</v>
      </c>
      <c r="AP45" s="93" t="str">
        <f t="shared" si="18"/>
        <v>Y</v>
      </c>
      <c r="AQ45" s="93" t="str">
        <f t="shared" si="19"/>
        <v>N</v>
      </c>
      <c r="AR45" s="93" t="str">
        <f t="shared" si="20"/>
        <v>N</v>
      </c>
      <c r="AS45" s="93" t="str">
        <f t="shared" si="21"/>
        <v>N</v>
      </c>
      <c r="AT45" s="95" t="str">
        <f>IF('CO-PO Mapping'!O$2, IF(OR($AN45="-",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IF(OR($AP45="-", SUM( IF('CO-PO Mapping'!O$2,$AB$29,0), IF('CO-PO Mapping'!O$3,$AC$29,0), IF('CO-PO Mapping'!O$4,$AD$29,0), IF('CO-PO Mapping'!O$5,$AE$29,0), IF('CO-PO Mapping'!O$6,$AF$29,0), IF('CO-PO Mapping'!O$7,$AG$29,0) )=0), "-", IF( SUM( IF('CO-PO Mapping'!O$2,$AH45*$AB$29,0), IF('CO-PO Mapping'!O$3,$AI45*$AC$29,0), IF('CO-PO Mapping'!O$4,$AJ45*$AD$29,0), IF('CO-PO Mapping'!O$5,$AK45*$AE$29,0), IF('CO-PO Mapping'!O$6,$AL45*$AF$29,0), IF('CO-PO Mapping'!O$7,$AM45*$AG$29,0)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IF('CO-PO Mapping'!O$6, IF(OR($AR45="-",SUM(IF('CO-PO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IF('CO-PO Mapping'!O$7, IF(OR($AS45="-",SUM(IF('CO-PO Mapping'!O$2,$AB$29,0),IF('CO-PO Mapping'!O$3,$AC$29,0),IF('CO-PO Mapping'!O$4,$AD$29,0),IF('CO-PO Mapping'!O$5,$AE$29,0),IF('CO-PO Mapping'!O$6,$AF$29,0),IF('CO-PO Mapping'!O$7,$AG$29,0))=0), "-", IF(SUM(IF('CO-PO Mapping'!O$2,$AH45*$AB$29,0),IF('CO-PO Mapping'!O$3,$AI45*$AC$29,0),IF('CO-PO Mapping'!O$4,$AJ45*$AD$29,0),IF('CO-PO Mapping'!O$5,$AK45*$AE$29,0),IF('CO-PO Mapping'!O$6,$AL45*$AF$29,0),IF('CO-PO Mapping'!O$7,$AM45*$AG$29,0))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5" s="95" t="str">
        <f>IF('CO-PO Mapping'!P$2, IF(OR($AN45="-",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IF(OR($AP45="-", SUM( IF('CO-PO Mapping'!P$2,$AB$29,0), IF('CO-PO Mapping'!P$3,$AC$29,0), IF('CO-PO Mapping'!P$4,$AD$29,0), IF('CO-PO Mapping'!P$5,$AE$29,0), IF('CO-PO Mapping'!P$6,$AF$29,0), IF('CO-PO Mapping'!P$7,$AG$29,0) )=0), "-", IF( SUM( IF('CO-PO Mapping'!P$2,$AH45*$AB$29,0), IF('CO-PO Mapping'!P$3,$AI45*$AC$29,0), IF('CO-PO Mapping'!P$4,$AJ45*$AD$29,0), IF('CO-PO Mapping'!P$5,$AK45*$AE$29,0), IF('CO-PO Mapping'!P$6,$AL45*$AF$29,0), IF('CO-PO Mapping'!P$7,$AM45*$AG$29,0)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IF('CO-PO Mapping'!P$6, IF(OR($AR45="-",SUM(IF('CO-PO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IF('CO-PO Mapping'!P$7, IF(OR($AS45="-",SUM(IF('CO-PO Mapping'!P$2,$AB$29,0),IF('CO-PO Mapping'!P$3,$AC$29,0),IF('CO-PO Mapping'!P$4,$AD$29,0),IF('CO-PO Mapping'!P$5,$AE$29,0),IF('CO-PO Mapping'!P$6,$AF$29,0),IF('CO-PO Mapping'!P$7,$AG$29,0))=0), "-", IF(SUM(IF('CO-PO Mapping'!P$2,$AH45*$AB$29,0),IF('CO-PO Mapping'!P$3,$AI45*$AC$29,0),IF('CO-PO Mapping'!P$4,$AJ45*$AD$29,0),IF('CO-PO Mapping'!P$5,$AK45*$AE$29,0),IF('CO-PO Mapping'!P$6,$AL45*$AF$29,0),IF('CO-PO Mapping'!P$7,$AM45*$AG$29,0))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5" s="95" t="str">
        <f>IF('CO-PO Mapping'!Q$2, IF(OR($AN45="-",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IF(OR($AP45="-", SUM( IF('CO-PO Mapping'!Q$2,$AB$29,0), IF('CO-PO Mapping'!Q$3,$AC$29,0), IF('CO-PO Mapping'!Q$4,$AD$29,0), IF('CO-PO Mapping'!Q$5,$AE$29,0), IF('CO-PO Mapping'!Q$6,$AF$29,0), IF('CO-PO Mapping'!Q$7,$AG$29,0) )=0), "-", IF( SUM( IF('CO-PO Mapping'!Q$2,$AH45*$AB$29,0), IF('CO-PO Mapping'!Q$3,$AI45*$AC$29,0), IF('CO-PO Mapping'!Q$4,$AJ45*$AD$29,0), IF('CO-PO Mapping'!Q$5,$AK45*$AE$29,0), IF('CO-PO Mapping'!Q$6,$AL45*$AF$29,0), IF('CO-PO Mapping'!Q$7,$AM45*$AG$29,0)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IF('CO-PO Mapping'!Q$6, IF(OR($AR45="-",SUM(IF('CO-PO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IF('CO-PO Mapping'!Q$7, IF(OR($AS45="-",SUM(IF('CO-PO Mapping'!Q$2,$AB$29,0),IF('CO-PO Mapping'!Q$3,$AC$29,0),IF('CO-PO Mapping'!Q$4,$AD$29,0),IF('CO-PO Mapping'!Q$5,$AE$29,0),IF('CO-PO Mapping'!Q$6,$AF$29,0),IF('CO-PO Mapping'!Q$7,$AG$29,0))=0), "-", IF(SUM(IF('CO-PO Mapping'!Q$2,$AH45*$AB$29,0),IF('CO-PO Mapping'!Q$3,$AI45*$AC$29,0),IF('CO-PO Mapping'!Q$4,$AJ45*$AD$29,0),IF('CO-PO Mapping'!Q$5,$AK45*$AE$29,0),IF('CO-PO Mapping'!Q$6,$AL45*$AF$29,0),IF('CO-PO Mapping'!Q$7,$AM45*$AG$29,0))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45" s="95" t="str">
        <f>IF('CO-PO Mapping'!R$2, IF(OR($AN45="-",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IF(OR($AP45="-", SUM( IF('CO-PO Mapping'!R$2,$AB$29,0), IF('CO-PO Mapping'!R$3,$AC$29,0), IF('CO-PO Mapping'!R$4,$AD$29,0), IF('CO-PO Mapping'!R$5,$AE$29,0), IF('CO-PO Mapping'!R$6,$AF$29,0), IF('CO-PO Mapping'!R$7,$AG$29,0) )=0), "-", IF( SUM( IF('CO-PO Mapping'!R$2,$AH45*$AB$29,0), IF('CO-PO Mapping'!R$3,$AI45*$AC$29,0), IF('CO-PO Mapping'!R$4,$AJ45*$AD$29,0), IF('CO-PO Mapping'!R$5,$AK45*$AE$29,0), IF('CO-PO Mapping'!R$6,$AL45*$AF$29,0), IF('CO-PO Mapping'!R$7,$AM45*$AG$29,0)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IF('CO-PO Mapping'!R$6, IF(OR($AR45="-",SUM(IF('CO-PO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IF('CO-PO Mapping'!R$7, IF(OR($AS45="-",SUM(IF('CO-PO Mapping'!R$2,$AB$29,0),IF('CO-PO Mapping'!R$3,$AC$29,0),IF('CO-PO Mapping'!R$4,$AD$29,0),IF('CO-PO Mapping'!R$5,$AE$29,0),IF('CO-PO Mapping'!R$6,$AF$29,0),IF('CO-PO Mapping'!R$7,$AG$29,0))=0), "-", IF(SUM(IF('CO-PO Mapping'!R$2,$AH45*$AB$29,0),IF('CO-PO Mapping'!R$3,$AI45*$AC$29,0),IF('CO-PO Mapping'!R$4,$AJ45*$AD$29,0),IF('CO-PO Mapping'!R$5,$AK45*$AE$29,0),IF('CO-PO Mapping'!R$6,$AL45*$AF$29,0),IF('CO-PO Mapping'!R$7,$AM45*$AG$29,0))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5" s="95" t="str">
        <f>IF('CO-PO Mapping'!S$2, IF(OR($AN45="-",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IF(OR($AP45="-", SUM( IF('CO-PO Mapping'!S$2,$AB$29,0), IF('CO-PO Mapping'!S$3,$AC$29,0), IF('CO-PO Mapping'!S$4,$AD$29,0), IF('CO-PO Mapping'!S$5,$AE$29,0), IF('CO-PO Mapping'!S$6,$AF$29,0), IF('CO-PO Mapping'!S$7,$AG$29,0) )=0), "-", IF( SUM( IF('CO-PO Mapping'!S$2,$AH45*$AB$29,0), IF('CO-PO Mapping'!S$3,$AI45*$AC$29,0), IF('CO-PO Mapping'!S$4,$AJ45*$AD$29,0), IF('CO-PO Mapping'!S$5,$AK45*$AE$29,0), IF('CO-PO Mapping'!S$6,$AL45*$AF$29,0), IF('CO-PO Mapping'!S$7,$AM45*$AG$29,0)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IF('CO-PO Mapping'!S$6, IF(OR($AR45="-",SUM(IF('CO-PO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IF('CO-PO Mapping'!S$7, IF(OR($AS45="-",SUM(IF('CO-PO Mapping'!S$2,$AB$29,0),IF('CO-PO Mapping'!S$3,$AC$29,0),IF('CO-PO Mapping'!S$4,$AD$29,0),IF('CO-PO Mapping'!S$5,$AE$29,0),IF('CO-PO Mapping'!S$6,$AF$29,0),IF('CO-PO Mapping'!S$7,$AG$29,0))=0), "-", IF(SUM(IF('CO-PO Mapping'!S$2,$AH45*$AB$29,0),IF('CO-PO Mapping'!S$3,$AI45*$AC$29,0),IF('CO-PO Mapping'!S$4,$AJ45*$AD$29,0),IF('CO-PO Mapping'!S$5,$AK45*$AE$29,0),IF('CO-PO Mapping'!S$6,$AL45*$AF$29,0),IF('CO-PO Mapping'!S$7,$AM45*$AG$29,0))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5" s="95" t="str">
        <f>IF('CO-PO Mapping'!T$2, IF(OR($AN45="-",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IF(OR($AP45="-", SUM( IF('CO-PO Mapping'!T$2,$AB$29,0), IF('CO-PO Mapping'!T$3,$AC$29,0), IF('CO-PO Mapping'!T$4,$AD$29,0), IF('CO-PO Mapping'!T$5,$AE$29,0), IF('CO-PO Mapping'!T$6,$AF$29,0), IF('CO-PO Mapping'!T$7,$AG$29,0) )=0), "-", IF( SUM( IF('CO-PO Mapping'!T$2,$AH45*$AB$29,0), IF('CO-PO Mapping'!T$3,$AI45*$AC$29,0), IF('CO-PO Mapping'!T$4,$AJ45*$AD$29,0), IF('CO-PO Mapping'!T$5,$AK45*$AE$29,0), IF('CO-PO Mapping'!T$6,$AL45*$AF$29,0), IF('CO-PO Mapping'!T$7,$AM45*$AG$29,0)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IF('CO-PO Mapping'!T$6, IF(OR($AR45="-",SUM(IF('CO-PO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IF('CO-PO Mapping'!T$7, IF(OR($AS45="-",SUM(IF('CO-PO Mapping'!T$2,$AB$29,0),IF('CO-PO Mapping'!T$3,$AC$29,0),IF('CO-PO Mapping'!T$4,$AD$29,0),IF('CO-PO Mapping'!T$5,$AE$29,0),IF('CO-PO Mapping'!T$6,$AF$29,0),IF('CO-PO Mapping'!T$7,$AG$29,0))=0), "-", IF(SUM(IF('CO-PO Mapping'!T$2,$AH45*$AB$29,0),IF('CO-PO Mapping'!T$3,$AI45*$AC$29,0),IF('CO-PO Mapping'!T$4,$AJ45*$AD$29,0),IF('CO-PO Mapping'!T$5,$AK45*$AE$29,0),IF('CO-PO Mapping'!T$6,$AL45*$AF$29,0),IF('CO-PO Mapping'!T$7,$AM45*$AG$29,0))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5" s="95" t="str">
        <f>IF('CO-PO Mapping'!U$2, IF(OR($AN45="-",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IF(OR($AP45="-", SUM( IF('CO-PO Mapping'!U$2,$AB$29,0), IF('CO-PO Mapping'!U$3,$AC$29,0), IF('CO-PO Mapping'!U$4,$AD$29,0), IF('CO-PO Mapping'!U$5,$AE$29,0), IF('CO-PO Mapping'!U$6,$AF$29,0), IF('CO-PO Mapping'!U$7,$AG$29,0) )=0), "-", IF( SUM( IF('CO-PO Mapping'!U$2,$AH45*$AB$29,0), IF('CO-PO Mapping'!U$3,$AI45*$AC$29,0), IF('CO-PO Mapping'!U$4,$AJ45*$AD$29,0), IF('CO-PO Mapping'!U$5,$AK45*$AE$29,0), IF('CO-PO Mapping'!U$6,$AL45*$AF$29,0), IF('CO-PO Mapping'!U$7,$AM45*$AG$29,0)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IF('CO-PO Mapping'!U$6, IF(OR($AR45="-",SUM(IF('CO-PO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IF('CO-PO Mapping'!U$7, IF(OR($AS45="-",SUM(IF('CO-PO Mapping'!U$2,$AB$29,0),IF('CO-PO Mapping'!U$3,$AC$29,0),IF('CO-PO Mapping'!U$4,$AD$29,0),IF('CO-PO Mapping'!U$5,$AE$29,0),IF('CO-PO Mapping'!U$6,$AF$29,0),IF('CO-PO Mapping'!U$7,$AG$29,0))=0), "-", IF(SUM(IF('CO-PO Mapping'!U$2,$AH45*$AB$29,0),IF('CO-PO Mapping'!U$3,$AI45*$AC$29,0),IF('CO-PO Mapping'!U$4,$AJ45*$AD$29,0),IF('CO-PO Mapping'!U$5,$AK45*$AE$29,0),IF('CO-PO Mapping'!U$6,$AL45*$AF$29,0),IF('CO-PO Mapping'!U$7,$AM45*$AG$29,0))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5" s="95" t="str">
        <f>IF('CO-PO Mapping'!V$2, IF(OR($AN45="-",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IF(OR($AP45="-", SUM( IF('CO-PO Mapping'!V$2,$AB$29,0), IF('CO-PO Mapping'!V$3,$AC$29,0), IF('CO-PO Mapping'!V$4,$AD$29,0), IF('CO-PO Mapping'!V$5,$AE$29,0), IF('CO-PO Mapping'!V$6,$AF$29,0), IF('CO-PO Mapping'!V$7,$AG$29,0) )=0), "-", IF( SUM( IF('CO-PO Mapping'!V$2,$AH45*$AB$29,0), IF('CO-PO Mapping'!V$3,$AI45*$AC$29,0), IF('CO-PO Mapping'!V$4,$AJ45*$AD$29,0), IF('CO-PO Mapping'!V$5,$AK45*$AE$29,0), IF('CO-PO Mapping'!V$6,$AL45*$AF$29,0), IF('CO-PO Mapping'!V$7,$AM45*$AG$29,0)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IF('CO-PO Mapping'!V$6, IF(OR($AR45="-",SUM(IF('CO-PO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IF('CO-PO Mapping'!V$7, IF(OR($AS45="-",SUM(IF('CO-PO Mapping'!V$2,$AB$29,0),IF('CO-PO Mapping'!V$3,$AC$29,0),IF('CO-PO Mapping'!V$4,$AD$29,0),IF('CO-PO Mapping'!V$5,$AE$29,0),IF('CO-PO Mapping'!V$6,$AF$29,0),IF('CO-PO Mapping'!V$7,$AG$29,0))=0), "-", IF(SUM(IF('CO-PO Mapping'!V$2,$AH45*$AB$29,0),IF('CO-PO Mapping'!V$3,$AI45*$AC$29,0),IF('CO-PO Mapping'!V$4,$AJ45*$AD$29,0),IF('CO-PO Mapping'!V$5,$AK45*$AE$29,0),IF('CO-PO Mapping'!V$6,$AL45*$AF$29,0),IF('CO-PO Mapping'!V$7,$AM45*$AG$29,0))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5" s="95" t="str">
        <f>IF('CO-PO Mapping'!W$2, IF(OR($AN45="-",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IF(OR($AP45="-", SUM( IF('CO-PO Mapping'!W$2,$AB$29,0), IF('CO-PO Mapping'!W$3,$AC$29,0), IF('CO-PO Mapping'!W$4,$AD$29,0), IF('CO-PO Mapping'!W$5,$AE$29,0), IF('CO-PO Mapping'!W$6,$AF$29,0), IF('CO-PO Mapping'!W$7,$AG$29,0) )=0), "-", IF( SUM( IF('CO-PO Mapping'!W$2,$AH45*$AB$29,0), IF('CO-PO Mapping'!W$3,$AI45*$AC$29,0), IF('CO-PO Mapping'!W$4,$AJ45*$AD$29,0), IF('CO-PO Mapping'!W$5,$AK45*$AE$29,0), IF('CO-PO Mapping'!W$6,$AL45*$AF$29,0), IF('CO-PO Mapping'!W$7,$AM45*$AG$29,0)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IF('CO-PO Mapping'!W$6, IF(OR($AR45="-",SUM(IF('CO-PO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IF('CO-PO Mapping'!W$7, IF(OR($AS45="-",SUM(IF('CO-PO Mapping'!W$2,$AB$29,0),IF('CO-PO Mapping'!W$3,$AC$29,0),IF('CO-PO Mapping'!W$4,$AD$29,0),IF('CO-PO Mapping'!W$5,$AE$29,0),IF('CO-PO Mapping'!W$6,$AF$29,0),IF('CO-PO Mapping'!W$7,$AG$29,0))=0), "-", IF(SUM(IF('CO-PO Mapping'!W$2,$AH45*$AB$29,0),IF('CO-PO Mapping'!W$3,$AI45*$AC$29,0),IF('CO-PO Mapping'!W$4,$AJ45*$AD$29,0),IF('CO-PO Mapping'!W$5,$AK45*$AE$29,0),IF('CO-PO Mapping'!W$6,$AL45*$AF$29,0),IF('CO-PO Mapping'!W$7,$AM45*$AG$29,0))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5" s="95" t="str">
        <f>IF('CO-PO Mapping'!X$2, IF(OR($AN45="-",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IF(OR($AP45="-", SUM( IF('CO-PO Mapping'!X$2,$AB$29,0), IF('CO-PO Mapping'!X$3,$AC$29,0), IF('CO-PO Mapping'!X$4,$AD$29,0), IF('CO-PO Mapping'!X$5,$AE$29,0), IF('CO-PO Mapping'!X$6,$AF$29,0), IF('CO-PO Mapping'!X$7,$AG$29,0) )=0), "-", IF( SUM( IF('CO-PO Mapping'!X$2,$AH45*$AB$29,0), IF('CO-PO Mapping'!X$3,$AI45*$AC$29,0), IF('CO-PO Mapping'!X$4,$AJ45*$AD$29,0), IF('CO-PO Mapping'!X$5,$AK45*$AE$29,0), IF('CO-PO Mapping'!X$6,$AL45*$AF$29,0), IF('CO-PO Mapping'!X$7,$AM45*$AG$29,0)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IF('CO-PO Mapping'!X$6, IF(OR($AR45="-",SUM(IF('CO-PO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IF('CO-PO Mapping'!X$7, IF(OR($AS45="-",SUM(IF('CO-PO Mapping'!X$2,$AB$29,0),IF('CO-PO Mapping'!X$3,$AC$29,0),IF('CO-PO Mapping'!X$4,$AD$29,0),IF('CO-PO Mapping'!X$5,$AE$29,0),IF('CO-PO Mapping'!X$6,$AF$29,0),IF('CO-PO Mapping'!X$7,$AG$29,0))=0), "-", IF(SUM(IF('CO-PO Mapping'!X$2,$AH45*$AB$29,0),IF('CO-PO Mapping'!X$3,$AI45*$AC$29,0),IF('CO-PO Mapping'!X$4,$AJ45*$AD$29,0),IF('CO-PO Mapping'!X$5,$AK45*$AE$29,0),IF('CO-PO Mapping'!X$6,$AL45*$AF$29,0),IF('CO-PO Mapping'!X$7,$AM45*$AG$29,0))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5" s="95" t="str">
        <f>IF('CO-PO Mapping'!Y$2, IF(OR($AN45="-",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IF(OR($AP45="-", SUM( IF('CO-PO Mapping'!Y$2,$AB$29,0), IF('CO-PO Mapping'!Y$3,$AC$29,0), IF('CO-PO Mapping'!Y$4,$AD$29,0), IF('CO-PO Mapping'!Y$5,$AE$29,0), IF('CO-PO Mapping'!Y$6,$AF$29,0), IF('CO-PO Mapping'!Y$7,$AG$29,0) )=0), "-", IF( SUM( IF('CO-PO Mapping'!Y$2,$AH45*$AB$29,0), IF('CO-PO Mapping'!Y$3,$AI45*$AC$29,0), IF('CO-PO Mapping'!Y$4,$AJ45*$AD$29,0), IF('CO-PO Mapping'!Y$5,$AK45*$AE$29,0), IF('CO-PO Mapping'!Y$6,$AL45*$AF$29,0), IF('CO-PO Mapping'!Y$7,$AM45*$AG$29,0)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IF('CO-PO Mapping'!Y$6, IF(OR($AR45="-",SUM(IF('CO-PO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IF('CO-PO Mapping'!Y$7, IF(OR($AS45="-",SUM(IF('CO-PO Mapping'!Y$2,$AB$29,0),IF('CO-PO Mapping'!Y$3,$AC$29,0),IF('CO-PO Mapping'!Y$4,$AD$29,0),IF('CO-PO Mapping'!Y$5,$AE$29,0),IF('CO-PO Mapping'!Y$6,$AF$29,0),IF('CO-PO Mapping'!Y$7,$AG$29,0))=0), "-", IF(SUM(IF('CO-PO Mapping'!Y$2,$AH45*$AB$29,0),IF('CO-PO Mapping'!Y$3,$AI45*$AC$29,0),IF('CO-PO Mapping'!Y$4,$AJ45*$AD$29,0),IF('CO-PO Mapping'!Y$5,$AK45*$AE$29,0),IF('CO-PO Mapping'!Y$6,$AL45*$AF$29,0),IF('CO-PO Mapping'!Y$7,$AM45*$AG$29,0))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5" s="95" t="str">
        <f>IF('CO-PO Mapping'!Z$2, IF(OR($AN45="-",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IF(OR($AP45="-", SUM( IF('CO-PO Mapping'!Z$2,$AB$29,0), IF('CO-PO Mapping'!Z$3,$AC$29,0), IF('CO-PO Mapping'!Z$4,$AD$29,0), IF('CO-PO Mapping'!Z$5,$AE$29,0), IF('CO-PO Mapping'!Z$6,$AF$29,0), IF('CO-PO Mapping'!Z$7,$AG$29,0) )=0), "-", IF( SUM( IF('CO-PO Mapping'!Z$2,$AH45*$AB$29,0), IF('CO-PO Mapping'!Z$3,$AI45*$AC$29,0), IF('CO-PO Mapping'!Z$4,$AJ45*$AD$29,0), IF('CO-PO Mapping'!Z$5,$AK45*$AE$29,0), IF('CO-PO Mapping'!Z$6,$AL45*$AF$29,0), IF('CO-PO Mapping'!Z$7,$AM45*$AG$29,0)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IF('CO-PO Mapping'!Z$6, IF(OR($AR45="-",SUM(IF('CO-PO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IF('CO-PO Mapping'!Z$7, IF(OR($AS45="-",SUM(IF('CO-PO Mapping'!Z$2,$AB$29,0),IF('CO-PO Mapping'!Z$3,$AC$29,0),IF('CO-PO Mapping'!Z$4,$AD$29,0),IF('CO-PO Mapping'!Z$5,$AE$29,0),IF('CO-PO Mapping'!Z$6,$AF$29,0),IF('CO-PO Mapping'!Z$7,$AG$29,0))=0), "-", IF(SUM(IF('CO-PO Mapping'!Z$2,$AH45*$AB$29,0),IF('CO-PO Mapping'!Z$3,$AI45*$AC$29,0),IF('CO-PO Mapping'!Z$4,$AJ45*$AD$29,0),IF('CO-PO Mapping'!Z$5,$AK45*$AE$29,0),IF('CO-PO Mapping'!Z$6,$AL45*$AF$29,0),IF('CO-PO Mapping'!Z$7,$AM45*$AG$29,0))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6" spans="1:57" ht="15" customHeight="1">
      <c r="A46" s="117">
        <v>22235103129</v>
      </c>
      <c r="B46" s="118" t="s">
        <v>163</v>
      </c>
      <c r="C46" s="70">
        <v>4</v>
      </c>
      <c r="D46" s="70"/>
      <c r="E46" s="71">
        <v>20</v>
      </c>
      <c r="F46" s="70"/>
      <c r="G46" s="71"/>
      <c r="H46" s="103">
        <f t="shared" si="2"/>
        <v>24</v>
      </c>
      <c r="I46" s="77">
        <v>8</v>
      </c>
      <c r="J46" s="75">
        <v>8</v>
      </c>
      <c r="K46" s="75">
        <v>9</v>
      </c>
      <c r="L46" s="75"/>
      <c r="M46" s="75"/>
      <c r="N46" s="75"/>
      <c r="O46" s="105">
        <f t="shared" si="3"/>
        <v>25</v>
      </c>
      <c r="P46" s="75">
        <v>16</v>
      </c>
      <c r="Q46" s="75">
        <v>16</v>
      </c>
      <c r="R46" s="75"/>
      <c r="S46" s="75"/>
      <c r="T46" s="75"/>
      <c r="U46" s="75"/>
      <c r="V46" s="104">
        <f t="shared" si="4"/>
        <v>32</v>
      </c>
      <c r="W46" s="83">
        <f t="shared" si="5"/>
        <v>81</v>
      </c>
      <c r="X46" s="98" t="str">
        <f>IF(ISNUMBER(W46),IF(A46&lt;&gt;"",IF(W46&gt;=80,"A (Plus)",IF(W46&gt;=75,"A",IF(W46&gt;=70,"A (Minus)",IF(W46&gt;=65,"B (Plus)",IF(W46&gt;=60,"B",IF(W46&gt;=55,"B (Minus)",IF(W46&gt;=50,"C (Plus)",IF(W46&gt;=45,"C",IF(W46&gt;=40,"D","F (Fail)"))))))))),"-"),IF(O46="A","F (Fail)",IF(V46="A","Incomplete","Error")))</f>
        <v>A (Plus)</v>
      </c>
      <c r="Y46" s="47"/>
      <c r="Z46" s="42">
        <f t="shared" si="6"/>
        <v>22235103129</v>
      </c>
      <c r="AA46" s="43" t="str">
        <f t="shared" si="7"/>
        <v>Minhajur Rahman</v>
      </c>
      <c r="AB46" s="90">
        <f t="shared" si="11"/>
        <v>32</v>
      </c>
      <c r="AC46" s="90">
        <f t="shared" si="11"/>
        <v>24</v>
      </c>
      <c r="AD46" s="90">
        <f t="shared" si="11"/>
        <v>25</v>
      </c>
      <c r="AE46" s="90">
        <f t="shared" si="11"/>
        <v>0</v>
      </c>
      <c r="AF46" s="90">
        <f t="shared" si="11"/>
        <v>0</v>
      </c>
      <c r="AG46" s="90">
        <f t="shared" ref="AG46:AG100" si="25">IF($W46="Absent",0,SUMIF($C$28:$U$28,SUBSTITUTE(SUBSTITUTE(AG$28,"[",""),"]",""),$C46:$U46))</f>
        <v>0</v>
      </c>
      <c r="AH46" s="92">
        <f t="shared" si="12"/>
        <v>80</v>
      </c>
      <c r="AI46" s="92">
        <f t="shared" si="13"/>
        <v>80</v>
      </c>
      <c r="AJ46" s="92">
        <f t="shared" si="14"/>
        <v>83.333333333333329</v>
      </c>
      <c r="AK46" s="92">
        <f t="shared" si="22"/>
        <v>0</v>
      </c>
      <c r="AL46" s="92">
        <f t="shared" si="15"/>
        <v>0</v>
      </c>
      <c r="AM46" s="92">
        <f>IF($AG$29=0,0,AG46*100/$AG$29)</f>
        <v>0</v>
      </c>
      <c r="AN46" s="93" t="str">
        <f t="shared" si="23"/>
        <v>Y</v>
      </c>
      <c r="AO46" s="93" t="str">
        <f t="shared" si="17"/>
        <v>Y</v>
      </c>
      <c r="AP46" s="93" t="str">
        <f t="shared" si="18"/>
        <v>Y</v>
      </c>
      <c r="AQ46" s="93" t="str">
        <f t="shared" si="19"/>
        <v>N</v>
      </c>
      <c r="AR46" s="93" t="str">
        <f t="shared" si="20"/>
        <v>N</v>
      </c>
      <c r="AS46" s="93" t="str">
        <f t="shared" si="21"/>
        <v>N</v>
      </c>
      <c r="AT46" s="95" t="str">
        <f>IF('CO-PO Mapping'!O$2, IF(OR($AN46="-",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IF(OR($AP46="-", SUM( IF('CO-PO Mapping'!O$2,$AB$29,0), IF('CO-PO Mapping'!O$3,$AC$29,0), IF('CO-PO Mapping'!O$4,$AD$29,0), IF('CO-PO Mapping'!O$5,$AE$29,0), IF('CO-PO Mapping'!O$6,$AF$29,0), IF('CO-PO Mapping'!O$7,$AG$29,0) )=0), "-", IF( SUM( IF('CO-PO Mapping'!O$2,$AH46*$AB$29,0), IF('CO-PO Mapping'!O$3,$AI46*$AC$29,0), IF('CO-PO Mapping'!O$4,$AJ46*$AD$29,0), IF('CO-PO Mapping'!O$5,$AK46*$AE$29,0), IF('CO-PO Mapping'!O$6,$AL46*$AF$29,0), IF('CO-PO Mapping'!O$7,$AM46*$AG$29,0)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IF('CO-PO Mapping'!O$6, IF(OR($AR46="-",SUM(IF('CO-PO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IF('CO-PO Mapping'!O$7, IF(OR($AS46="-",SUM(IF('CO-PO Mapping'!O$2,$AB$29,0),IF('CO-PO Mapping'!O$3,$AC$29,0),IF('CO-PO Mapping'!O$4,$AD$29,0),IF('CO-PO Mapping'!O$5,$AE$29,0),IF('CO-PO Mapping'!O$6,$AF$29,0),IF('CO-PO Mapping'!O$7,$AG$29,0))=0), "-", IF(SUM(IF('CO-PO Mapping'!O$2,$AH46*$AB$29,0),IF('CO-PO Mapping'!O$3,$AI46*$AC$29,0),IF('CO-PO Mapping'!O$4,$AJ46*$AD$29,0),IF('CO-PO Mapping'!O$5,$AK46*$AE$29,0),IF('CO-PO Mapping'!O$6,$AL46*$AF$29,0),IF('CO-PO Mapping'!O$7,$AM46*$AG$29,0))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6" s="95" t="str">
        <f>IF('CO-PO Mapping'!P$2, IF(OR($AN46="-",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IF(OR($AP46="-", SUM( IF('CO-PO Mapping'!P$2,$AB$29,0), IF('CO-PO Mapping'!P$3,$AC$29,0), IF('CO-PO Mapping'!P$4,$AD$29,0), IF('CO-PO Mapping'!P$5,$AE$29,0), IF('CO-PO Mapping'!P$6,$AF$29,0), IF('CO-PO Mapping'!P$7,$AG$29,0) )=0), "-", IF( SUM( IF('CO-PO Mapping'!P$2,$AH46*$AB$29,0), IF('CO-PO Mapping'!P$3,$AI46*$AC$29,0), IF('CO-PO Mapping'!P$4,$AJ46*$AD$29,0), IF('CO-PO Mapping'!P$5,$AK46*$AE$29,0), IF('CO-PO Mapping'!P$6,$AL46*$AF$29,0), IF('CO-PO Mapping'!P$7,$AM46*$AG$29,0)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IF('CO-PO Mapping'!P$6, IF(OR($AR46="-",SUM(IF('CO-PO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IF('CO-PO Mapping'!P$7, IF(OR($AS46="-",SUM(IF('CO-PO Mapping'!P$2,$AB$29,0),IF('CO-PO Mapping'!P$3,$AC$29,0),IF('CO-PO Mapping'!P$4,$AD$29,0),IF('CO-PO Mapping'!P$5,$AE$29,0),IF('CO-PO Mapping'!P$6,$AF$29,0),IF('CO-PO Mapping'!P$7,$AG$29,0))=0), "-", IF(SUM(IF('CO-PO Mapping'!P$2,$AH46*$AB$29,0),IF('CO-PO Mapping'!P$3,$AI46*$AC$29,0),IF('CO-PO Mapping'!P$4,$AJ46*$AD$29,0),IF('CO-PO Mapping'!P$5,$AK46*$AE$29,0),IF('CO-PO Mapping'!P$6,$AL46*$AF$29,0),IF('CO-PO Mapping'!P$7,$AM46*$AG$29,0))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6" s="95" t="str">
        <f>IF('CO-PO Mapping'!Q$2, IF(OR($AN46="-",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IF(OR($AP46="-", SUM( IF('CO-PO Mapping'!Q$2,$AB$29,0), IF('CO-PO Mapping'!Q$3,$AC$29,0), IF('CO-PO Mapping'!Q$4,$AD$29,0), IF('CO-PO Mapping'!Q$5,$AE$29,0), IF('CO-PO Mapping'!Q$6,$AF$29,0), IF('CO-PO Mapping'!Q$7,$AG$29,0) )=0), "-", IF( SUM( IF('CO-PO Mapping'!Q$2,$AH46*$AB$29,0), IF('CO-PO Mapping'!Q$3,$AI46*$AC$29,0), IF('CO-PO Mapping'!Q$4,$AJ46*$AD$29,0), IF('CO-PO Mapping'!Q$5,$AK46*$AE$29,0), IF('CO-PO Mapping'!Q$6,$AL46*$AF$29,0), IF('CO-PO Mapping'!Q$7,$AM46*$AG$29,0)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IF('CO-PO Mapping'!Q$6, IF(OR($AR46="-",SUM(IF('CO-PO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IF('CO-PO Mapping'!Q$7, IF(OR($AS46="-",SUM(IF('CO-PO Mapping'!Q$2,$AB$29,0),IF('CO-PO Mapping'!Q$3,$AC$29,0),IF('CO-PO Mapping'!Q$4,$AD$29,0),IF('CO-PO Mapping'!Q$5,$AE$29,0),IF('CO-PO Mapping'!Q$6,$AF$29,0),IF('CO-PO Mapping'!Q$7,$AG$29,0))=0), "-", IF(SUM(IF('CO-PO Mapping'!Q$2,$AH46*$AB$29,0),IF('CO-PO Mapping'!Q$3,$AI46*$AC$29,0),IF('CO-PO Mapping'!Q$4,$AJ46*$AD$29,0),IF('CO-PO Mapping'!Q$5,$AK46*$AE$29,0),IF('CO-PO Mapping'!Q$6,$AL46*$AF$29,0),IF('CO-PO Mapping'!Q$7,$AM46*$AG$29,0))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46" s="95" t="str">
        <f>IF('CO-PO Mapping'!R$2, IF(OR($AN46="-",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IF(OR($AP46="-", SUM( IF('CO-PO Mapping'!R$2,$AB$29,0), IF('CO-PO Mapping'!R$3,$AC$29,0), IF('CO-PO Mapping'!R$4,$AD$29,0), IF('CO-PO Mapping'!R$5,$AE$29,0), IF('CO-PO Mapping'!R$6,$AF$29,0), IF('CO-PO Mapping'!R$7,$AG$29,0) )=0), "-", IF( SUM( IF('CO-PO Mapping'!R$2,$AH46*$AB$29,0), IF('CO-PO Mapping'!R$3,$AI46*$AC$29,0), IF('CO-PO Mapping'!R$4,$AJ46*$AD$29,0), IF('CO-PO Mapping'!R$5,$AK46*$AE$29,0), IF('CO-PO Mapping'!R$6,$AL46*$AF$29,0), IF('CO-PO Mapping'!R$7,$AM46*$AG$29,0)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IF('CO-PO Mapping'!R$6, IF(OR($AR46="-",SUM(IF('CO-PO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IF('CO-PO Mapping'!R$7, IF(OR($AS46="-",SUM(IF('CO-PO Mapping'!R$2,$AB$29,0),IF('CO-PO Mapping'!R$3,$AC$29,0),IF('CO-PO Mapping'!R$4,$AD$29,0),IF('CO-PO Mapping'!R$5,$AE$29,0),IF('CO-PO Mapping'!R$6,$AF$29,0),IF('CO-PO Mapping'!R$7,$AG$29,0))=0), "-", IF(SUM(IF('CO-PO Mapping'!R$2,$AH46*$AB$29,0),IF('CO-PO Mapping'!R$3,$AI46*$AC$29,0),IF('CO-PO Mapping'!R$4,$AJ46*$AD$29,0),IF('CO-PO Mapping'!R$5,$AK46*$AE$29,0),IF('CO-PO Mapping'!R$6,$AL46*$AF$29,0),IF('CO-PO Mapping'!R$7,$AM46*$AG$29,0))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6" s="95" t="str">
        <f>IF('CO-PO Mapping'!S$2, IF(OR($AN46="-",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IF(OR($AP46="-", SUM( IF('CO-PO Mapping'!S$2,$AB$29,0), IF('CO-PO Mapping'!S$3,$AC$29,0), IF('CO-PO Mapping'!S$4,$AD$29,0), IF('CO-PO Mapping'!S$5,$AE$29,0), IF('CO-PO Mapping'!S$6,$AF$29,0), IF('CO-PO Mapping'!S$7,$AG$29,0) )=0), "-", IF( SUM( IF('CO-PO Mapping'!S$2,$AH46*$AB$29,0), IF('CO-PO Mapping'!S$3,$AI46*$AC$29,0), IF('CO-PO Mapping'!S$4,$AJ46*$AD$29,0), IF('CO-PO Mapping'!S$5,$AK46*$AE$29,0), IF('CO-PO Mapping'!S$6,$AL46*$AF$29,0), IF('CO-PO Mapping'!S$7,$AM46*$AG$29,0)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IF('CO-PO Mapping'!S$6, IF(OR($AR46="-",SUM(IF('CO-PO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IF('CO-PO Mapping'!S$7, IF(OR($AS46="-",SUM(IF('CO-PO Mapping'!S$2,$AB$29,0),IF('CO-PO Mapping'!S$3,$AC$29,0),IF('CO-PO Mapping'!S$4,$AD$29,0),IF('CO-PO Mapping'!S$5,$AE$29,0),IF('CO-PO Mapping'!S$6,$AF$29,0),IF('CO-PO Mapping'!S$7,$AG$29,0))=0), "-", IF(SUM(IF('CO-PO Mapping'!S$2,$AH46*$AB$29,0),IF('CO-PO Mapping'!S$3,$AI46*$AC$29,0),IF('CO-PO Mapping'!S$4,$AJ46*$AD$29,0),IF('CO-PO Mapping'!S$5,$AK46*$AE$29,0),IF('CO-PO Mapping'!S$6,$AL46*$AF$29,0),IF('CO-PO Mapping'!S$7,$AM46*$AG$29,0))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6" s="95" t="str">
        <f>IF('CO-PO Mapping'!T$2, IF(OR($AN46="-",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IF(OR($AP46="-", SUM( IF('CO-PO Mapping'!T$2,$AB$29,0), IF('CO-PO Mapping'!T$3,$AC$29,0), IF('CO-PO Mapping'!T$4,$AD$29,0), IF('CO-PO Mapping'!T$5,$AE$29,0), IF('CO-PO Mapping'!T$6,$AF$29,0), IF('CO-PO Mapping'!T$7,$AG$29,0) )=0), "-", IF( SUM( IF('CO-PO Mapping'!T$2,$AH46*$AB$29,0), IF('CO-PO Mapping'!T$3,$AI46*$AC$29,0), IF('CO-PO Mapping'!T$4,$AJ46*$AD$29,0), IF('CO-PO Mapping'!T$5,$AK46*$AE$29,0), IF('CO-PO Mapping'!T$6,$AL46*$AF$29,0), IF('CO-PO Mapping'!T$7,$AM46*$AG$29,0)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IF('CO-PO Mapping'!T$6, IF(OR($AR46="-",SUM(IF('CO-PO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IF('CO-PO Mapping'!T$7, IF(OR($AS46="-",SUM(IF('CO-PO Mapping'!T$2,$AB$29,0),IF('CO-PO Mapping'!T$3,$AC$29,0),IF('CO-PO Mapping'!T$4,$AD$29,0),IF('CO-PO Mapping'!T$5,$AE$29,0),IF('CO-PO Mapping'!T$6,$AF$29,0),IF('CO-PO Mapping'!T$7,$AG$29,0))=0), "-", IF(SUM(IF('CO-PO Mapping'!T$2,$AH46*$AB$29,0),IF('CO-PO Mapping'!T$3,$AI46*$AC$29,0),IF('CO-PO Mapping'!T$4,$AJ46*$AD$29,0),IF('CO-PO Mapping'!T$5,$AK46*$AE$29,0),IF('CO-PO Mapping'!T$6,$AL46*$AF$29,0),IF('CO-PO Mapping'!T$7,$AM46*$AG$29,0))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6" s="95" t="str">
        <f>IF('CO-PO Mapping'!U$2, IF(OR($AN46="-",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IF(OR($AP46="-", SUM( IF('CO-PO Mapping'!U$2,$AB$29,0), IF('CO-PO Mapping'!U$3,$AC$29,0), IF('CO-PO Mapping'!U$4,$AD$29,0), IF('CO-PO Mapping'!U$5,$AE$29,0), IF('CO-PO Mapping'!U$6,$AF$29,0), IF('CO-PO Mapping'!U$7,$AG$29,0) )=0), "-", IF( SUM( IF('CO-PO Mapping'!U$2,$AH46*$AB$29,0), IF('CO-PO Mapping'!U$3,$AI46*$AC$29,0), IF('CO-PO Mapping'!U$4,$AJ46*$AD$29,0), IF('CO-PO Mapping'!U$5,$AK46*$AE$29,0), IF('CO-PO Mapping'!U$6,$AL46*$AF$29,0), IF('CO-PO Mapping'!U$7,$AM46*$AG$29,0)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IF('CO-PO Mapping'!U$6, IF(OR($AR46="-",SUM(IF('CO-PO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IF('CO-PO Mapping'!U$7, IF(OR($AS46="-",SUM(IF('CO-PO Mapping'!U$2,$AB$29,0),IF('CO-PO Mapping'!U$3,$AC$29,0),IF('CO-PO Mapping'!U$4,$AD$29,0),IF('CO-PO Mapping'!U$5,$AE$29,0),IF('CO-PO Mapping'!U$6,$AF$29,0),IF('CO-PO Mapping'!U$7,$AG$29,0))=0), "-", IF(SUM(IF('CO-PO Mapping'!U$2,$AH46*$AB$29,0),IF('CO-PO Mapping'!U$3,$AI46*$AC$29,0),IF('CO-PO Mapping'!U$4,$AJ46*$AD$29,0),IF('CO-PO Mapping'!U$5,$AK46*$AE$29,0),IF('CO-PO Mapping'!U$6,$AL46*$AF$29,0),IF('CO-PO Mapping'!U$7,$AM46*$AG$29,0))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6" s="95" t="str">
        <f>IF('CO-PO Mapping'!V$2, IF(OR($AN46="-",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IF(OR($AP46="-", SUM( IF('CO-PO Mapping'!V$2,$AB$29,0), IF('CO-PO Mapping'!V$3,$AC$29,0), IF('CO-PO Mapping'!V$4,$AD$29,0), IF('CO-PO Mapping'!V$5,$AE$29,0), IF('CO-PO Mapping'!V$6,$AF$29,0), IF('CO-PO Mapping'!V$7,$AG$29,0) )=0), "-", IF( SUM( IF('CO-PO Mapping'!V$2,$AH46*$AB$29,0), IF('CO-PO Mapping'!V$3,$AI46*$AC$29,0), IF('CO-PO Mapping'!V$4,$AJ46*$AD$29,0), IF('CO-PO Mapping'!V$5,$AK46*$AE$29,0), IF('CO-PO Mapping'!V$6,$AL46*$AF$29,0), IF('CO-PO Mapping'!V$7,$AM46*$AG$29,0)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IF('CO-PO Mapping'!V$6, IF(OR($AR46="-",SUM(IF('CO-PO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IF('CO-PO Mapping'!V$7, IF(OR($AS46="-",SUM(IF('CO-PO Mapping'!V$2,$AB$29,0),IF('CO-PO Mapping'!V$3,$AC$29,0),IF('CO-PO Mapping'!V$4,$AD$29,0),IF('CO-PO Mapping'!V$5,$AE$29,0),IF('CO-PO Mapping'!V$6,$AF$29,0),IF('CO-PO Mapping'!V$7,$AG$29,0))=0), "-", IF(SUM(IF('CO-PO Mapping'!V$2,$AH46*$AB$29,0),IF('CO-PO Mapping'!V$3,$AI46*$AC$29,0),IF('CO-PO Mapping'!V$4,$AJ46*$AD$29,0),IF('CO-PO Mapping'!V$5,$AK46*$AE$29,0),IF('CO-PO Mapping'!V$6,$AL46*$AF$29,0),IF('CO-PO Mapping'!V$7,$AM46*$AG$29,0))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6" s="95" t="str">
        <f>IF('CO-PO Mapping'!W$2, IF(OR($AN46="-",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IF(OR($AP46="-", SUM( IF('CO-PO Mapping'!W$2,$AB$29,0), IF('CO-PO Mapping'!W$3,$AC$29,0), IF('CO-PO Mapping'!W$4,$AD$29,0), IF('CO-PO Mapping'!W$5,$AE$29,0), IF('CO-PO Mapping'!W$6,$AF$29,0), IF('CO-PO Mapping'!W$7,$AG$29,0) )=0), "-", IF( SUM( IF('CO-PO Mapping'!W$2,$AH46*$AB$29,0), IF('CO-PO Mapping'!W$3,$AI46*$AC$29,0), IF('CO-PO Mapping'!W$4,$AJ46*$AD$29,0), IF('CO-PO Mapping'!W$5,$AK46*$AE$29,0), IF('CO-PO Mapping'!W$6,$AL46*$AF$29,0), IF('CO-PO Mapping'!W$7,$AM46*$AG$29,0)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IF('CO-PO Mapping'!W$6, IF(OR($AR46="-",SUM(IF('CO-PO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IF('CO-PO Mapping'!W$7, IF(OR($AS46="-",SUM(IF('CO-PO Mapping'!W$2,$AB$29,0),IF('CO-PO Mapping'!W$3,$AC$29,0),IF('CO-PO Mapping'!W$4,$AD$29,0),IF('CO-PO Mapping'!W$5,$AE$29,0),IF('CO-PO Mapping'!W$6,$AF$29,0),IF('CO-PO Mapping'!W$7,$AG$29,0))=0), "-", IF(SUM(IF('CO-PO Mapping'!W$2,$AH46*$AB$29,0),IF('CO-PO Mapping'!W$3,$AI46*$AC$29,0),IF('CO-PO Mapping'!W$4,$AJ46*$AD$29,0),IF('CO-PO Mapping'!W$5,$AK46*$AE$29,0),IF('CO-PO Mapping'!W$6,$AL46*$AF$29,0),IF('CO-PO Mapping'!W$7,$AM46*$AG$29,0))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6" s="95" t="str">
        <f>IF('CO-PO Mapping'!X$2, IF(OR($AN46="-",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IF(OR($AP46="-", SUM( IF('CO-PO Mapping'!X$2,$AB$29,0), IF('CO-PO Mapping'!X$3,$AC$29,0), IF('CO-PO Mapping'!X$4,$AD$29,0), IF('CO-PO Mapping'!X$5,$AE$29,0), IF('CO-PO Mapping'!X$6,$AF$29,0), IF('CO-PO Mapping'!X$7,$AG$29,0) )=0), "-", IF( SUM( IF('CO-PO Mapping'!X$2,$AH46*$AB$29,0), IF('CO-PO Mapping'!X$3,$AI46*$AC$29,0), IF('CO-PO Mapping'!X$4,$AJ46*$AD$29,0), IF('CO-PO Mapping'!X$5,$AK46*$AE$29,0), IF('CO-PO Mapping'!X$6,$AL46*$AF$29,0), IF('CO-PO Mapping'!X$7,$AM46*$AG$29,0)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IF('CO-PO Mapping'!X$6, IF(OR($AR46="-",SUM(IF('CO-PO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IF('CO-PO Mapping'!X$7, IF(OR($AS46="-",SUM(IF('CO-PO Mapping'!X$2,$AB$29,0),IF('CO-PO Mapping'!X$3,$AC$29,0),IF('CO-PO Mapping'!X$4,$AD$29,0),IF('CO-PO Mapping'!X$5,$AE$29,0),IF('CO-PO Mapping'!X$6,$AF$29,0),IF('CO-PO Mapping'!X$7,$AG$29,0))=0), "-", IF(SUM(IF('CO-PO Mapping'!X$2,$AH46*$AB$29,0),IF('CO-PO Mapping'!X$3,$AI46*$AC$29,0),IF('CO-PO Mapping'!X$4,$AJ46*$AD$29,0),IF('CO-PO Mapping'!X$5,$AK46*$AE$29,0),IF('CO-PO Mapping'!X$6,$AL46*$AF$29,0),IF('CO-PO Mapping'!X$7,$AM46*$AG$29,0))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6" s="95" t="str">
        <f>IF('CO-PO Mapping'!Y$2, IF(OR($AN46="-",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IF(OR($AP46="-", SUM( IF('CO-PO Mapping'!Y$2,$AB$29,0), IF('CO-PO Mapping'!Y$3,$AC$29,0), IF('CO-PO Mapping'!Y$4,$AD$29,0), IF('CO-PO Mapping'!Y$5,$AE$29,0), IF('CO-PO Mapping'!Y$6,$AF$29,0), IF('CO-PO Mapping'!Y$7,$AG$29,0) )=0), "-", IF( SUM( IF('CO-PO Mapping'!Y$2,$AH46*$AB$29,0), IF('CO-PO Mapping'!Y$3,$AI46*$AC$29,0), IF('CO-PO Mapping'!Y$4,$AJ46*$AD$29,0), IF('CO-PO Mapping'!Y$5,$AK46*$AE$29,0), IF('CO-PO Mapping'!Y$6,$AL46*$AF$29,0), IF('CO-PO Mapping'!Y$7,$AM46*$AG$29,0)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IF('CO-PO Mapping'!Y$6, IF(OR($AR46="-",SUM(IF('CO-PO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IF('CO-PO Mapping'!Y$7, IF(OR($AS46="-",SUM(IF('CO-PO Mapping'!Y$2,$AB$29,0),IF('CO-PO Mapping'!Y$3,$AC$29,0),IF('CO-PO Mapping'!Y$4,$AD$29,0),IF('CO-PO Mapping'!Y$5,$AE$29,0),IF('CO-PO Mapping'!Y$6,$AF$29,0),IF('CO-PO Mapping'!Y$7,$AG$29,0))=0), "-", IF(SUM(IF('CO-PO Mapping'!Y$2,$AH46*$AB$29,0),IF('CO-PO Mapping'!Y$3,$AI46*$AC$29,0),IF('CO-PO Mapping'!Y$4,$AJ46*$AD$29,0),IF('CO-PO Mapping'!Y$5,$AK46*$AE$29,0),IF('CO-PO Mapping'!Y$6,$AL46*$AF$29,0),IF('CO-PO Mapping'!Y$7,$AM46*$AG$29,0))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6" s="95" t="str">
        <f>IF('CO-PO Mapping'!Z$2, IF(OR($AN46="-",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IF(OR($AP46="-", SUM( IF('CO-PO Mapping'!Z$2,$AB$29,0), IF('CO-PO Mapping'!Z$3,$AC$29,0), IF('CO-PO Mapping'!Z$4,$AD$29,0), IF('CO-PO Mapping'!Z$5,$AE$29,0), IF('CO-PO Mapping'!Z$6,$AF$29,0), IF('CO-PO Mapping'!Z$7,$AG$29,0) )=0), "-", IF( SUM( IF('CO-PO Mapping'!Z$2,$AH46*$AB$29,0), IF('CO-PO Mapping'!Z$3,$AI46*$AC$29,0), IF('CO-PO Mapping'!Z$4,$AJ46*$AD$29,0), IF('CO-PO Mapping'!Z$5,$AK46*$AE$29,0), IF('CO-PO Mapping'!Z$6,$AL46*$AF$29,0), IF('CO-PO Mapping'!Z$7,$AM46*$AG$29,0)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IF('CO-PO Mapping'!Z$6, IF(OR($AR46="-",SUM(IF('CO-PO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IF('CO-PO Mapping'!Z$7, IF(OR($AS46="-",SUM(IF('CO-PO Mapping'!Z$2,$AB$29,0),IF('CO-PO Mapping'!Z$3,$AC$29,0),IF('CO-PO Mapping'!Z$4,$AD$29,0),IF('CO-PO Mapping'!Z$5,$AE$29,0),IF('CO-PO Mapping'!Z$6,$AF$29,0),IF('CO-PO Mapping'!Z$7,$AG$29,0))=0), "-", IF(SUM(IF('CO-PO Mapping'!Z$2,$AH46*$AB$29,0),IF('CO-PO Mapping'!Z$3,$AI46*$AC$29,0),IF('CO-PO Mapping'!Z$4,$AJ46*$AD$29,0),IF('CO-PO Mapping'!Z$5,$AK46*$AE$29,0),IF('CO-PO Mapping'!Z$6,$AL46*$AF$29,0),IF('CO-PO Mapping'!Z$7,$AM46*$AG$29,0))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7" spans="1:57" ht="15" customHeight="1">
      <c r="A47" s="117">
        <v>22235103132</v>
      </c>
      <c r="B47" s="118" t="s">
        <v>164</v>
      </c>
      <c r="C47" s="70">
        <v>4</v>
      </c>
      <c r="D47" s="71"/>
      <c r="E47" s="71">
        <v>20</v>
      </c>
      <c r="F47" s="71"/>
      <c r="G47" s="71"/>
      <c r="H47" s="103">
        <f t="shared" si="2"/>
        <v>24</v>
      </c>
      <c r="I47" s="77">
        <v>7</v>
      </c>
      <c r="J47" s="75">
        <v>7</v>
      </c>
      <c r="K47" s="75">
        <v>4</v>
      </c>
      <c r="L47" s="75"/>
      <c r="M47" s="75"/>
      <c r="N47" s="75"/>
      <c r="O47" s="105">
        <f t="shared" si="3"/>
        <v>18</v>
      </c>
      <c r="P47" s="75">
        <v>8</v>
      </c>
      <c r="Q47" s="75">
        <v>11</v>
      </c>
      <c r="R47" s="75"/>
      <c r="S47" s="75"/>
      <c r="T47" s="75"/>
      <c r="U47" s="75"/>
      <c r="V47" s="104">
        <f t="shared" si="4"/>
        <v>19</v>
      </c>
      <c r="W47" s="83">
        <f t="shared" si="5"/>
        <v>61</v>
      </c>
      <c r="X47" s="98" t="str">
        <f t="shared" si="10"/>
        <v>B</v>
      </c>
      <c r="Y47" s="47"/>
      <c r="Z47" s="42">
        <f t="shared" si="6"/>
        <v>22235103132</v>
      </c>
      <c r="AA47" s="43" t="str">
        <f t="shared" si="7"/>
        <v>Md. Omar Faruk Fahim</v>
      </c>
      <c r="AB47" s="90">
        <f t="shared" si="11"/>
        <v>31</v>
      </c>
      <c r="AC47" s="90">
        <f t="shared" si="11"/>
        <v>15</v>
      </c>
      <c r="AD47" s="90">
        <f t="shared" si="11"/>
        <v>15</v>
      </c>
      <c r="AE47" s="90">
        <f t="shared" si="11"/>
        <v>0</v>
      </c>
      <c r="AF47" s="90">
        <f t="shared" si="11"/>
        <v>0</v>
      </c>
      <c r="AG47" s="90">
        <f t="shared" si="25"/>
        <v>0</v>
      </c>
      <c r="AH47" s="92">
        <f t="shared" si="12"/>
        <v>77.5</v>
      </c>
      <c r="AI47" s="92">
        <f t="shared" si="13"/>
        <v>50</v>
      </c>
      <c r="AJ47" s="92">
        <f t="shared" si="14"/>
        <v>50</v>
      </c>
      <c r="AK47" s="92">
        <f t="shared" si="22"/>
        <v>0</v>
      </c>
      <c r="AL47" s="92">
        <f t="shared" si="15"/>
        <v>0</v>
      </c>
      <c r="AM47" s="92">
        <f t="shared" si="16"/>
        <v>0</v>
      </c>
      <c r="AN47" s="93" t="str">
        <f t="shared" si="23"/>
        <v>Y</v>
      </c>
      <c r="AO47" s="93" t="str">
        <f t="shared" si="17"/>
        <v>Y</v>
      </c>
      <c r="AP47" s="93" t="str">
        <f t="shared" si="18"/>
        <v>Y</v>
      </c>
      <c r="AQ47" s="93" t="str">
        <f t="shared" si="19"/>
        <v>N</v>
      </c>
      <c r="AR47" s="93" t="str">
        <f t="shared" si="20"/>
        <v>N</v>
      </c>
      <c r="AS47" s="93" t="str">
        <f t="shared" si="21"/>
        <v>N</v>
      </c>
      <c r="AT47" s="95" t="str">
        <f>IF('CO-PO Mapping'!O$2, IF(OR($AN47="-",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IF(OR($AP47="-", SUM( IF('CO-PO Mapping'!O$2,$AB$29,0), IF('CO-PO Mapping'!O$3,$AC$29,0), IF('CO-PO Mapping'!O$4,$AD$29,0), IF('CO-PO Mapping'!O$5,$AE$29,0), IF('CO-PO Mapping'!O$6,$AF$29,0), IF('CO-PO Mapping'!O$7,$AG$29,0) )=0), "-", IF( SUM( IF('CO-PO Mapping'!O$2,$AH47*$AB$29,0), IF('CO-PO Mapping'!O$3,$AI47*$AC$29,0), IF('CO-PO Mapping'!O$4,$AJ47*$AD$29,0), IF('CO-PO Mapping'!O$5,$AK47*$AE$29,0), IF('CO-PO Mapping'!O$6,$AL47*$AF$29,0), IF('CO-PO Mapping'!O$7,$AM47*$AG$29,0)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IF('CO-PO Mapping'!O$6, IF(OR($AR47="-",SUM(IF('CO-PO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IF('CO-PO Mapping'!O$7, IF(OR($AS47="-",SUM(IF('CO-PO Mapping'!O$2,$AB$29,0),IF('CO-PO Mapping'!O$3,$AC$29,0),IF('CO-PO Mapping'!O$4,$AD$29,0),IF('CO-PO Mapping'!O$5,$AE$29,0),IF('CO-PO Mapping'!O$6,$AF$29,0),IF('CO-PO Mapping'!O$7,$AG$29,0))=0), "-", IF(SUM(IF('CO-PO Mapping'!O$2,$AH47*$AB$29,0),IF('CO-PO Mapping'!O$3,$AI47*$AC$29,0),IF('CO-PO Mapping'!O$4,$AJ47*$AD$29,0),IF('CO-PO Mapping'!O$5,$AK47*$AE$29,0),IF('CO-PO Mapping'!O$6,$AL47*$AF$29,0),IF('CO-PO Mapping'!O$7,$AM47*$AG$29,0))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7" s="95" t="str">
        <f>IF('CO-PO Mapping'!P$2, IF(OR($AN47="-",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IF(OR($AP47="-", SUM( IF('CO-PO Mapping'!P$2,$AB$29,0), IF('CO-PO Mapping'!P$3,$AC$29,0), IF('CO-PO Mapping'!P$4,$AD$29,0), IF('CO-PO Mapping'!P$5,$AE$29,0), IF('CO-PO Mapping'!P$6,$AF$29,0), IF('CO-PO Mapping'!P$7,$AG$29,0) )=0), "-", IF( SUM( IF('CO-PO Mapping'!P$2,$AH47*$AB$29,0), IF('CO-PO Mapping'!P$3,$AI47*$AC$29,0), IF('CO-PO Mapping'!P$4,$AJ47*$AD$29,0), IF('CO-PO Mapping'!P$5,$AK47*$AE$29,0), IF('CO-PO Mapping'!P$6,$AL47*$AF$29,0), IF('CO-PO Mapping'!P$7,$AM47*$AG$29,0)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IF('CO-PO Mapping'!P$6, IF(OR($AR47="-",SUM(IF('CO-PO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IF('CO-PO Mapping'!P$7, IF(OR($AS47="-",SUM(IF('CO-PO Mapping'!P$2,$AB$29,0),IF('CO-PO Mapping'!P$3,$AC$29,0),IF('CO-PO Mapping'!P$4,$AD$29,0),IF('CO-PO Mapping'!P$5,$AE$29,0),IF('CO-PO Mapping'!P$6,$AF$29,0),IF('CO-PO Mapping'!P$7,$AG$29,0))=0), "-", IF(SUM(IF('CO-PO Mapping'!P$2,$AH47*$AB$29,0),IF('CO-PO Mapping'!P$3,$AI47*$AC$29,0),IF('CO-PO Mapping'!P$4,$AJ47*$AD$29,0),IF('CO-PO Mapping'!P$5,$AK47*$AE$29,0),IF('CO-PO Mapping'!P$6,$AL47*$AF$29,0),IF('CO-PO Mapping'!P$7,$AM47*$AG$29,0))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7" s="95" t="str">
        <f>IF('CO-PO Mapping'!Q$2, IF(OR($AN47="-",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IF(OR($AP47="-", SUM( IF('CO-PO Mapping'!Q$2,$AB$29,0), IF('CO-PO Mapping'!Q$3,$AC$29,0), IF('CO-PO Mapping'!Q$4,$AD$29,0), IF('CO-PO Mapping'!Q$5,$AE$29,0), IF('CO-PO Mapping'!Q$6,$AF$29,0), IF('CO-PO Mapping'!Q$7,$AG$29,0) )=0), "-", IF( SUM( IF('CO-PO Mapping'!Q$2,$AH47*$AB$29,0), IF('CO-PO Mapping'!Q$3,$AI47*$AC$29,0), IF('CO-PO Mapping'!Q$4,$AJ47*$AD$29,0), IF('CO-PO Mapping'!Q$5,$AK47*$AE$29,0), IF('CO-PO Mapping'!Q$6,$AL47*$AF$29,0), IF('CO-PO Mapping'!Q$7,$AM47*$AG$29,0)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IF('CO-PO Mapping'!Q$6, IF(OR($AR47="-",SUM(IF('CO-PO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IF('CO-PO Mapping'!Q$7, IF(OR($AS47="-",SUM(IF('CO-PO Mapping'!Q$2,$AB$29,0),IF('CO-PO Mapping'!Q$3,$AC$29,0),IF('CO-PO Mapping'!Q$4,$AD$29,0),IF('CO-PO Mapping'!Q$5,$AE$29,0),IF('CO-PO Mapping'!Q$6,$AF$29,0),IF('CO-PO Mapping'!Q$7,$AG$29,0))=0), "-", IF(SUM(IF('CO-PO Mapping'!Q$2,$AH47*$AB$29,0),IF('CO-PO Mapping'!Q$3,$AI47*$AC$29,0),IF('CO-PO Mapping'!Q$4,$AJ47*$AD$29,0),IF('CO-PO Mapping'!Q$5,$AK47*$AE$29,0),IF('CO-PO Mapping'!Q$6,$AL47*$AF$29,0),IF('CO-PO Mapping'!Q$7,$AM47*$AG$29,0))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47" s="95" t="str">
        <f>IF('CO-PO Mapping'!R$2, IF(OR($AN47="-",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IF(OR($AP47="-", SUM( IF('CO-PO Mapping'!R$2,$AB$29,0), IF('CO-PO Mapping'!R$3,$AC$29,0), IF('CO-PO Mapping'!R$4,$AD$29,0), IF('CO-PO Mapping'!R$5,$AE$29,0), IF('CO-PO Mapping'!R$6,$AF$29,0), IF('CO-PO Mapping'!R$7,$AG$29,0) )=0), "-", IF( SUM( IF('CO-PO Mapping'!R$2,$AH47*$AB$29,0), IF('CO-PO Mapping'!R$3,$AI47*$AC$29,0), IF('CO-PO Mapping'!R$4,$AJ47*$AD$29,0), IF('CO-PO Mapping'!R$5,$AK47*$AE$29,0), IF('CO-PO Mapping'!R$6,$AL47*$AF$29,0), IF('CO-PO Mapping'!R$7,$AM47*$AG$29,0)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IF('CO-PO Mapping'!R$6, IF(OR($AR47="-",SUM(IF('CO-PO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IF('CO-PO Mapping'!R$7, IF(OR($AS47="-",SUM(IF('CO-PO Mapping'!R$2,$AB$29,0),IF('CO-PO Mapping'!R$3,$AC$29,0),IF('CO-PO Mapping'!R$4,$AD$29,0),IF('CO-PO Mapping'!R$5,$AE$29,0),IF('CO-PO Mapping'!R$6,$AF$29,0),IF('CO-PO Mapping'!R$7,$AG$29,0))=0), "-", IF(SUM(IF('CO-PO Mapping'!R$2,$AH47*$AB$29,0),IF('CO-PO Mapping'!R$3,$AI47*$AC$29,0),IF('CO-PO Mapping'!R$4,$AJ47*$AD$29,0),IF('CO-PO Mapping'!R$5,$AK47*$AE$29,0),IF('CO-PO Mapping'!R$6,$AL47*$AF$29,0),IF('CO-PO Mapping'!R$7,$AM47*$AG$29,0))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7" s="95" t="str">
        <f>IF('CO-PO Mapping'!S$2, IF(OR($AN47="-",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IF(OR($AP47="-", SUM( IF('CO-PO Mapping'!S$2,$AB$29,0), IF('CO-PO Mapping'!S$3,$AC$29,0), IF('CO-PO Mapping'!S$4,$AD$29,0), IF('CO-PO Mapping'!S$5,$AE$29,0), IF('CO-PO Mapping'!S$6,$AF$29,0), IF('CO-PO Mapping'!S$7,$AG$29,0) )=0), "-", IF( SUM( IF('CO-PO Mapping'!S$2,$AH47*$AB$29,0), IF('CO-PO Mapping'!S$3,$AI47*$AC$29,0), IF('CO-PO Mapping'!S$4,$AJ47*$AD$29,0), IF('CO-PO Mapping'!S$5,$AK47*$AE$29,0), IF('CO-PO Mapping'!S$6,$AL47*$AF$29,0), IF('CO-PO Mapping'!S$7,$AM47*$AG$29,0)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IF('CO-PO Mapping'!S$6, IF(OR($AR47="-",SUM(IF('CO-PO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IF('CO-PO Mapping'!S$7, IF(OR($AS47="-",SUM(IF('CO-PO Mapping'!S$2,$AB$29,0),IF('CO-PO Mapping'!S$3,$AC$29,0),IF('CO-PO Mapping'!S$4,$AD$29,0),IF('CO-PO Mapping'!S$5,$AE$29,0),IF('CO-PO Mapping'!S$6,$AF$29,0),IF('CO-PO Mapping'!S$7,$AG$29,0))=0), "-", IF(SUM(IF('CO-PO Mapping'!S$2,$AH47*$AB$29,0),IF('CO-PO Mapping'!S$3,$AI47*$AC$29,0),IF('CO-PO Mapping'!S$4,$AJ47*$AD$29,0),IF('CO-PO Mapping'!S$5,$AK47*$AE$29,0),IF('CO-PO Mapping'!S$6,$AL47*$AF$29,0),IF('CO-PO Mapping'!S$7,$AM47*$AG$29,0))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7" s="95" t="str">
        <f>IF('CO-PO Mapping'!T$2, IF(OR($AN47="-",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IF(OR($AP47="-", SUM( IF('CO-PO Mapping'!T$2,$AB$29,0), IF('CO-PO Mapping'!T$3,$AC$29,0), IF('CO-PO Mapping'!T$4,$AD$29,0), IF('CO-PO Mapping'!T$5,$AE$29,0), IF('CO-PO Mapping'!T$6,$AF$29,0), IF('CO-PO Mapping'!T$7,$AG$29,0) )=0), "-", IF( SUM( IF('CO-PO Mapping'!T$2,$AH47*$AB$29,0), IF('CO-PO Mapping'!T$3,$AI47*$AC$29,0), IF('CO-PO Mapping'!T$4,$AJ47*$AD$29,0), IF('CO-PO Mapping'!T$5,$AK47*$AE$29,0), IF('CO-PO Mapping'!T$6,$AL47*$AF$29,0), IF('CO-PO Mapping'!T$7,$AM47*$AG$29,0)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IF('CO-PO Mapping'!T$6, IF(OR($AR47="-",SUM(IF('CO-PO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IF('CO-PO Mapping'!T$7, IF(OR($AS47="-",SUM(IF('CO-PO Mapping'!T$2,$AB$29,0),IF('CO-PO Mapping'!T$3,$AC$29,0),IF('CO-PO Mapping'!T$4,$AD$29,0),IF('CO-PO Mapping'!T$5,$AE$29,0),IF('CO-PO Mapping'!T$6,$AF$29,0),IF('CO-PO Mapping'!T$7,$AG$29,0))=0), "-", IF(SUM(IF('CO-PO Mapping'!T$2,$AH47*$AB$29,0),IF('CO-PO Mapping'!T$3,$AI47*$AC$29,0),IF('CO-PO Mapping'!T$4,$AJ47*$AD$29,0),IF('CO-PO Mapping'!T$5,$AK47*$AE$29,0),IF('CO-PO Mapping'!T$6,$AL47*$AF$29,0),IF('CO-PO Mapping'!T$7,$AM47*$AG$29,0))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7" s="95" t="str">
        <f>IF('CO-PO Mapping'!U$2, IF(OR($AN47="-",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IF(OR($AP47="-", SUM( IF('CO-PO Mapping'!U$2,$AB$29,0), IF('CO-PO Mapping'!U$3,$AC$29,0), IF('CO-PO Mapping'!U$4,$AD$29,0), IF('CO-PO Mapping'!U$5,$AE$29,0), IF('CO-PO Mapping'!U$6,$AF$29,0), IF('CO-PO Mapping'!U$7,$AG$29,0) )=0), "-", IF( SUM( IF('CO-PO Mapping'!U$2,$AH47*$AB$29,0), IF('CO-PO Mapping'!U$3,$AI47*$AC$29,0), IF('CO-PO Mapping'!U$4,$AJ47*$AD$29,0), IF('CO-PO Mapping'!U$5,$AK47*$AE$29,0), IF('CO-PO Mapping'!U$6,$AL47*$AF$29,0), IF('CO-PO Mapping'!U$7,$AM47*$AG$29,0)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IF('CO-PO Mapping'!U$6, IF(OR($AR47="-",SUM(IF('CO-PO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IF('CO-PO Mapping'!U$7, IF(OR($AS47="-",SUM(IF('CO-PO Mapping'!U$2,$AB$29,0),IF('CO-PO Mapping'!U$3,$AC$29,0),IF('CO-PO Mapping'!U$4,$AD$29,0),IF('CO-PO Mapping'!U$5,$AE$29,0),IF('CO-PO Mapping'!U$6,$AF$29,0),IF('CO-PO Mapping'!U$7,$AG$29,0))=0), "-", IF(SUM(IF('CO-PO Mapping'!U$2,$AH47*$AB$29,0),IF('CO-PO Mapping'!U$3,$AI47*$AC$29,0),IF('CO-PO Mapping'!U$4,$AJ47*$AD$29,0),IF('CO-PO Mapping'!U$5,$AK47*$AE$29,0),IF('CO-PO Mapping'!U$6,$AL47*$AF$29,0),IF('CO-PO Mapping'!U$7,$AM47*$AG$29,0))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7" s="95" t="str">
        <f>IF('CO-PO Mapping'!V$2, IF(OR($AN47="-",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IF(OR($AP47="-", SUM( IF('CO-PO Mapping'!V$2,$AB$29,0), IF('CO-PO Mapping'!V$3,$AC$29,0), IF('CO-PO Mapping'!V$4,$AD$29,0), IF('CO-PO Mapping'!V$5,$AE$29,0), IF('CO-PO Mapping'!V$6,$AF$29,0), IF('CO-PO Mapping'!V$7,$AG$29,0) )=0), "-", IF( SUM( IF('CO-PO Mapping'!V$2,$AH47*$AB$29,0), IF('CO-PO Mapping'!V$3,$AI47*$AC$29,0), IF('CO-PO Mapping'!V$4,$AJ47*$AD$29,0), IF('CO-PO Mapping'!V$5,$AK47*$AE$29,0), IF('CO-PO Mapping'!V$6,$AL47*$AF$29,0), IF('CO-PO Mapping'!V$7,$AM47*$AG$29,0)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IF('CO-PO Mapping'!V$6, IF(OR($AR47="-",SUM(IF('CO-PO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IF('CO-PO Mapping'!V$7, IF(OR($AS47="-",SUM(IF('CO-PO Mapping'!V$2,$AB$29,0),IF('CO-PO Mapping'!V$3,$AC$29,0),IF('CO-PO Mapping'!V$4,$AD$29,0),IF('CO-PO Mapping'!V$5,$AE$29,0),IF('CO-PO Mapping'!V$6,$AF$29,0),IF('CO-PO Mapping'!V$7,$AG$29,0))=0), "-", IF(SUM(IF('CO-PO Mapping'!V$2,$AH47*$AB$29,0),IF('CO-PO Mapping'!V$3,$AI47*$AC$29,0),IF('CO-PO Mapping'!V$4,$AJ47*$AD$29,0),IF('CO-PO Mapping'!V$5,$AK47*$AE$29,0),IF('CO-PO Mapping'!V$6,$AL47*$AF$29,0),IF('CO-PO Mapping'!V$7,$AM47*$AG$29,0))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7" s="95" t="str">
        <f>IF('CO-PO Mapping'!W$2, IF(OR($AN47="-",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IF(OR($AP47="-", SUM( IF('CO-PO Mapping'!W$2,$AB$29,0), IF('CO-PO Mapping'!W$3,$AC$29,0), IF('CO-PO Mapping'!W$4,$AD$29,0), IF('CO-PO Mapping'!W$5,$AE$29,0), IF('CO-PO Mapping'!W$6,$AF$29,0), IF('CO-PO Mapping'!W$7,$AG$29,0) )=0), "-", IF( SUM( IF('CO-PO Mapping'!W$2,$AH47*$AB$29,0), IF('CO-PO Mapping'!W$3,$AI47*$AC$29,0), IF('CO-PO Mapping'!W$4,$AJ47*$AD$29,0), IF('CO-PO Mapping'!W$5,$AK47*$AE$29,0), IF('CO-PO Mapping'!W$6,$AL47*$AF$29,0), IF('CO-PO Mapping'!W$7,$AM47*$AG$29,0)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IF('CO-PO Mapping'!W$6, IF(OR($AR47="-",SUM(IF('CO-PO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IF('CO-PO Mapping'!W$7, IF(OR($AS47="-",SUM(IF('CO-PO Mapping'!W$2,$AB$29,0),IF('CO-PO Mapping'!W$3,$AC$29,0),IF('CO-PO Mapping'!W$4,$AD$29,0),IF('CO-PO Mapping'!W$5,$AE$29,0),IF('CO-PO Mapping'!W$6,$AF$29,0),IF('CO-PO Mapping'!W$7,$AG$29,0))=0), "-", IF(SUM(IF('CO-PO Mapping'!W$2,$AH47*$AB$29,0),IF('CO-PO Mapping'!W$3,$AI47*$AC$29,0),IF('CO-PO Mapping'!W$4,$AJ47*$AD$29,0),IF('CO-PO Mapping'!W$5,$AK47*$AE$29,0),IF('CO-PO Mapping'!W$6,$AL47*$AF$29,0),IF('CO-PO Mapping'!W$7,$AM47*$AG$29,0))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7" s="95" t="str">
        <f>IF('CO-PO Mapping'!X$2, IF(OR($AN47="-",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IF(OR($AP47="-", SUM( IF('CO-PO Mapping'!X$2,$AB$29,0), IF('CO-PO Mapping'!X$3,$AC$29,0), IF('CO-PO Mapping'!X$4,$AD$29,0), IF('CO-PO Mapping'!X$5,$AE$29,0), IF('CO-PO Mapping'!X$6,$AF$29,0), IF('CO-PO Mapping'!X$7,$AG$29,0) )=0), "-", IF( SUM( IF('CO-PO Mapping'!X$2,$AH47*$AB$29,0), IF('CO-PO Mapping'!X$3,$AI47*$AC$29,0), IF('CO-PO Mapping'!X$4,$AJ47*$AD$29,0), IF('CO-PO Mapping'!X$5,$AK47*$AE$29,0), IF('CO-PO Mapping'!X$6,$AL47*$AF$29,0), IF('CO-PO Mapping'!X$7,$AM47*$AG$29,0)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IF('CO-PO Mapping'!X$6, IF(OR($AR47="-",SUM(IF('CO-PO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IF('CO-PO Mapping'!X$7, IF(OR($AS47="-",SUM(IF('CO-PO Mapping'!X$2,$AB$29,0),IF('CO-PO Mapping'!X$3,$AC$29,0),IF('CO-PO Mapping'!X$4,$AD$29,0),IF('CO-PO Mapping'!X$5,$AE$29,0),IF('CO-PO Mapping'!X$6,$AF$29,0),IF('CO-PO Mapping'!X$7,$AG$29,0))=0), "-", IF(SUM(IF('CO-PO Mapping'!X$2,$AH47*$AB$29,0),IF('CO-PO Mapping'!X$3,$AI47*$AC$29,0),IF('CO-PO Mapping'!X$4,$AJ47*$AD$29,0),IF('CO-PO Mapping'!X$5,$AK47*$AE$29,0),IF('CO-PO Mapping'!X$6,$AL47*$AF$29,0),IF('CO-PO Mapping'!X$7,$AM47*$AG$29,0))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7" s="95" t="str">
        <f>IF('CO-PO Mapping'!Y$2, IF(OR($AN47="-",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IF(OR($AP47="-", SUM( IF('CO-PO Mapping'!Y$2,$AB$29,0), IF('CO-PO Mapping'!Y$3,$AC$29,0), IF('CO-PO Mapping'!Y$4,$AD$29,0), IF('CO-PO Mapping'!Y$5,$AE$29,0), IF('CO-PO Mapping'!Y$6,$AF$29,0), IF('CO-PO Mapping'!Y$7,$AG$29,0) )=0), "-", IF( SUM( IF('CO-PO Mapping'!Y$2,$AH47*$AB$29,0), IF('CO-PO Mapping'!Y$3,$AI47*$AC$29,0), IF('CO-PO Mapping'!Y$4,$AJ47*$AD$29,0), IF('CO-PO Mapping'!Y$5,$AK47*$AE$29,0), IF('CO-PO Mapping'!Y$6,$AL47*$AF$29,0), IF('CO-PO Mapping'!Y$7,$AM47*$AG$29,0)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IF('CO-PO Mapping'!Y$6, IF(OR($AR47="-",SUM(IF('CO-PO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IF('CO-PO Mapping'!Y$7, IF(OR($AS47="-",SUM(IF('CO-PO Mapping'!Y$2,$AB$29,0),IF('CO-PO Mapping'!Y$3,$AC$29,0),IF('CO-PO Mapping'!Y$4,$AD$29,0),IF('CO-PO Mapping'!Y$5,$AE$29,0),IF('CO-PO Mapping'!Y$6,$AF$29,0),IF('CO-PO Mapping'!Y$7,$AG$29,0))=0), "-", IF(SUM(IF('CO-PO Mapping'!Y$2,$AH47*$AB$29,0),IF('CO-PO Mapping'!Y$3,$AI47*$AC$29,0),IF('CO-PO Mapping'!Y$4,$AJ47*$AD$29,0),IF('CO-PO Mapping'!Y$5,$AK47*$AE$29,0),IF('CO-PO Mapping'!Y$6,$AL47*$AF$29,0),IF('CO-PO Mapping'!Y$7,$AM47*$AG$29,0))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7" s="95" t="str">
        <f>IF('CO-PO Mapping'!Z$2, IF(OR($AN47="-",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IF(OR($AP47="-", SUM( IF('CO-PO Mapping'!Z$2,$AB$29,0), IF('CO-PO Mapping'!Z$3,$AC$29,0), IF('CO-PO Mapping'!Z$4,$AD$29,0), IF('CO-PO Mapping'!Z$5,$AE$29,0), IF('CO-PO Mapping'!Z$6,$AF$29,0), IF('CO-PO Mapping'!Z$7,$AG$29,0) )=0), "-", IF( SUM( IF('CO-PO Mapping'!Z$2,$AH47*$AB$29,0), IF('CO-PO Mapping'!Z$3,$AI47*$AC$29,0), IF('CO-PO Mapping'!Z$4,$AJ47*$AD$29,0), IF('CO-PO Mapping'!Z$5,$AK47*$AE$29,0), IF('CO-PO Mapping'!Z$6,$AL47*$AF$29,0), IF('CO-PO Mapping'!Z$7,$AM47*$AG$29,0)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IF('CO-PO Mapping'!Z$6, IF(OR($AR47="-",SUM(IF('CO-PO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IF('CO-PO Mapping'!Z$7, IF(OR($AS47="-",SUM(IF('CO-PO Mapping'!Z$2,$AB$29,0),IF('CO-PO Mapping'!Z$3,$AC$29,0),IF('CO-PO Mapping'!Z$4,$AD$29,0),IF('CO-PO Mapping'!Z$5,$AE$29,0),IF('CO-PO Mapping'!Z$6,$AF$29,0),IF('CO-PO Mapping'!Z$7,$AG$29,0))=0), "-", IF(SUM(IF('CO-PO Mapping'!Z$2,$AH47*$AB$29,0),IF('CO-PO Mapping'!Z$3,$AI47*$AC$29,0),IF('CO-PO Mapping'!Z$4,$AJ47*$AD$29,0),IF('CO-PO Mapping'!Z$5,$AK47*$AE$29,0),IF('CO-PO Mapping'!Z$6,$AL47*$AF$29,0),IF('CO-PO Mapping'!Z$7,$AM47*$AG$29,0))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8" spans="1:57" ht="15" customHeight="1">
      <c r="A48" s="117">
        <v>22235103139</v>
      </c>
      <c r="B48" s="118" t="s">
        <v>165</v>
      </c>
      <c r="C48" s="70">
        <v>4</v>
      </c>
      <c r="D48" s="69"/>
      <c r="E48" s="69">
        <v>20</v>
      </c>
      <c r="F48" s="69"/>
      <c r="G48" s="69"/>
      <c r="H48" s="103">
        <f t="shared" si="2"/>
        <v>24</v>
      </c>
      <c r="I48" s="75">
        <v>4</v>
      </c>
      <c r="J48" s="75">
        <v>5</v>
      </c>
      <c r="K48" s="75">
        <v>6</v>
      </c>
      <c r="L48" s="75"/>
      <c r="M48" s="75"/>
      <c r="N48" s="75"/>
      <c r="O48" s="105">
        <f t="shared" si="3"/>
        <v>15</v>
      </c>
      <c r="P48" s="75">
        <v>10</v>
      </c>
      <c r="Q48" s="75">
        <v>10</v>
      </c>
      <c r="R48" s="75"/>
      <c r="S48" s="75"/>
      <c r="T48" s="75"/>
      <c r="U48" s="75"/>
      <c r="V48" s="104">
        <f t="shared" si="4"/>
        <v>20</v>
      </c>
      <c r="W48" s="83">
        <f t="shared" si="5"/>
        <v>59</v>
      </c>
      <c r="X48" s="98" t="str">
        <f t="shared" si="10"/>
        <v>B (Minus)</v>
      </c>
      <c r="Y48" s="47"/>
      <c r="Z48" s="42">
        <f t="shared" si="6"/>
        <v>22235103139</v>
      </c>
      <c r="AA48" s="43" t="str">
        <f t="shared" si="7"/>
        <v>Muhammad Nazmus Sakib</v>
      </c>
      <c r="AB48" s="90">
        <f t="shared" si="11"/>
        <v>28</v>
      </c>
      <c r="AC48" s="90">
        <f t="shared" si="11"/>
        <v>15</v>
      </c>
      <c r="AD48" s="90">
        <f t="shared" si="11"/>
        <v>16</v>
      </c>
      <c r="AE48" s="90">
        <f t="shared" si="11"/>
        <v>0</v>
      </c>
      <c r="AF48" s="90">
        <f t="shared" si="11"/>
        <v>0</v>
      </c>
      <c r="AG48" s="90">
        <f t="shared" si="25"/>
        <v>0</v>
      </c>
      <c r="AH48" s="92">
        <f t="shared" si="12"/>
        <v>70</v>
      </c>
      <c r="AI48" s="92">
        <f t="shared" si="13"/>
        <v>50</v>
      </c>
      <c r="AJ48" s="92">
        <f t="shared" si="14"/>
        <v>53.333333333333336</v>
      </c>
      <c r="AK48" s="92">
        <f t="shared" si="22"/>
        <v>0</v>
      </c>
      <c r="AL48" s="92">
        <f t="shared" si="15"/>
        <v>0</v>
      </c>
      <c r="AM48" s="92">
        <f t="shared" si="16"/>
        <v>0</v>
      </c>
      <c r="AN48" s="93" t="str">
        <f t="shared" si="23"/>
        <v>Y</v>
      </c>
      <c r="AO48" s="93" t="str">
        <f t="shared" si="17"/>
        <v>Y</v>
      </c>
      <c r="AP48" s="93" t="str">
        <f t="shared" si="18"/>
        <v>Y</v>
      </c>
      <c r="AQ48" s="93" t="str">
        <f t="shared" si="19"/>
        <v>N</v>
      </c>
      <c r="AR48" s="93" t="str">
        <f t="shared" si="20"/>
        <v>N</v>
      </c>
      <c r="AS48" s="93" t="str">
        <f t="shared" si="21"/>
        <v>N</v>
      </c>
      <c r="AT48" s="95" t="str">
        <f>IF('CO-PO Mapping'!O$2, IF(OR($AN48="-",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IF(OR($AP48="-", SUM( IF('CO-PO Mapping'!O$2,$AB$29,0), IF('CO-PO Mapping'!O$3,$AC$29,0), IF('CO-PO Mapping'!O$4,$AD$29,0), IF('CO-PO Mapping'!O$5,$AE$29,0), IF('CO-PO Mapping'!O$6,$AF$29,0), IF('CO-PO Mapping'!O$7,$AG$29,0) )=0), "-", IF( SUM( IF('CO-PO Mapping'!O$2,$AH48*$AB$29,0), IF('CO-PO Mapping'!O$3,$AI48*$AC$29,0), IF('CO-PO Mapping'!O$4,$AJ48*$AD$29,0), IF('CO-PO Mapping'!O$5,$AK48*$AE$29,0), IF('CO-PO Mapping'!O$6,$AL48*$AF$29,0), IF('CO-PO Mapping'!O$7,$AM48*$AG$29,0)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IF('CO-PO Mapping'!O$6, IF(OR($AR48="-",SUM(IF('CO-PO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IF('CO-PO Mapping'!O$7, IF(OR($AS48="-",SUM(IF('CO-PO Mapping'!O$2,$AB$29,0),IF('CO-PO Mapping'!O$3,$AC$29,0),IF('CO-PO Mapping'!O$4,$AD$29,0),IF('CO-PO Mapping'!O$5,$AE$29,0),IF('CO-PO Mapping'!O$6,$AF$29,0),IF('CO-PO Mapping'!O$7,$AG$29,0))=0), "-", IF(SUM(IF('CO-PO Mapping'!O$2,$AH48*$AB$29,0),IF('CO-PO Mapping'!O$3,$AI48*$AC$29,0),IF('CO-PO Mapping'!O$4,$AJ48*$AD$29,0),IF('CO-PO Mapping'!O$5,$AK48*$AE$29,0),IF('CO-PO Mapping'!O$6,$AL48*$AF$29,0),IF('CO-PO Mapping'!O$7,$AM48*$AG$29,0))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8" s="95" t="str">
        <f>IF('CO-PO Mapping'!P$2, IF(OR($AN48="-",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IF(OR($AP48="-", SUM( IF('CO-PO Mapping'!P$2,$AB$29,0), IF('CO-PO Mapping'!P$3,$AC$29,0), IF('CO-PO Mapping'!P$4,$AD$29,0), IF('CO-PO Mapping'!P$5,$AE$29,0), IF('CO-PO Mapping'!P$6,$AF$29,0), IF('CO-PO Mapping'!P$7,$AG$29,0) )=0), "-", IF( SUM( IF('CO-PO Mapping'!P$2,$AH48*$AB$29,0), IF('CO-PO Mapping'!P$3,$AI48*$AC$29,0), IF('CO-PO Mapping'!P$4,$AJ48*$AD$29,0), IF('CO-PO Mapping'!P$5,$AK48*$AE$29,0), IF('CO-PO Mapping'!P$6,$AL48*$AF$29,0), IF('CO-PO Mapping'!P$7,$AM48*$AG$29,0)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IF('CO-PO Mapping'!P$6, IF(OR($AR48="-",SUM(IF('CO-PO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IF('CO-PO Mapping'!P$7, IF(OR($AS48="-",SUM(IF('CO-PO Mapping'!P$2,$AB$29,0),IF('CO-PO Mapping'!P$3,$AC$29,0),IF('CO-PO Mapping'!P$4,$AD$29,0),IF('CO-PO Mapping'!P$5,$AE$29,0),IF('CO-PO Mapping'!P$6,$AF$29,0),IF('CO-PO Mapping'!P$7,$AG$29,0))=0), "-", IF(SUM(IF('CO-PO Mapping'!P$2,$AH48*$AB$29,0),IF('CO-PO Mapping'!P$3,$AI48*$AC$29,0),IF('CO-PO Mapping'!P$4,$AJ48*$AD$29,0),IF('CO-PO Mapping'!P$5,$AK48*$AE$29,0),IF('CO-PO Mapping'!P$6,$AL48*$AF$29,0),IF('CO-PO Mapping'!P$7,$AM48*$AG$29,0))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8" s="95" t="str">
        <f>IF('CO-PO Mapping'!Q$2, IF(OR($AN48="-",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IF(OR($AP48="-", SUM( IF('CO-PO Mapping'!Q$2,$AB$29,0), IF('CO-PO Mapping'!Q$3,$AC$29,0), IF('CO-PO Mapping'!Q$4,$AD$29,0), IF('CO-PO Mapping'!Q$5,$AE$29,0), IF('CO-PO Mapping'!Q$6,$AF$29,0), IF('CO-PO Mapping'!Q$7,$AG$29,0) )=0), "-", IF( SUM( IF('CO-PO Mapping'!Q$2,$AH48*$AB$29,0), IF('CO-PO Mapping'!Q$3,$AI48*$AC$29,0), IF('CO-PO Mapping'!Q$4,$AJ48*$AD$29,0), IF('CO-PO Mapping'!Q$5,$AK48*$AE$29,0), IF('CO-PO Mapping'!Q$6,$AL48*$AF$29,0), IF('CO-PO Mapping'!Q$7,$AM48*$AG$29,0)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IF('CO-PO Mapping'!Q$6, IF(OR($AR48="-",SUM(IF('CO-PO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IF('CO-PO Mapping'!Q$7, IF(OR($AS48="-",SUM(IF('CO-PO Mapping'!Q$2,$AB$29,0),IF('CO-PO Mapping'!Q$3,$AC$29,0),IF('CO-PO Mapping'!Q$4,$AD$29,0),IF('CO-PO Mapping'!Q$5,$AE$29,0),IF('CO-PO Mapping'!Q$6,$AF$29,0),IF('CO-PO Mapping'!Q$7,$AG$29,0))=0), "-", IF(SUM(IF('CO-PO Mapping'!Q$2,$AH48*$AB$29,0),IF('CO-PO Mapping'!Q$3,$AI48*$AC$29,0),IF('CO-PO Mapping'!Q$4,$AJ48*$AD$29,0),IF('CO-PO Mapping'!Q$5,$AK48*$AE$29,0),IF('CO-PO Mapping'!Q$6,$AL48*$AF$29,0),IF('CO-PO Mapping'!Q$7,$AM48*$AG$29,0))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48" s="95" t="str">
        <f>IF('CO-PO Mapping'!R$2, IF(OR($AN48="-",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IF(OR($AP48="-", SUM( IF('CO-PO Mapping'!R$2,$AB$29,0), IF('CO-PO Mapping'!R$3,$AC$29,0), IF('CO-PO Mapping'!R$4,$AD$29,0), IF('CO-PO Mapping'!R$5,$AE$29,0), IF('CO-PO Mapping'!R$6,$AF$29,0), IF('CO-PO Mapping'!R$7,$AG$29,0) )=0), "-", IF( SUM( IF('CO-PO Mapping'!R$2,$AH48*$AB$29,0), IF('CO-PO Mapping'!R$3,$AI48*$AC$29,0), IF('CO-PO Mapping'!R$4,$AJ48*$AD$29,0), IF('CO-PO Mapping'!R$5,$AK48*$AE$29,0), IF('CO-PO Mapping'!R$6,$AL48*$AF$29,0), IF('CO-PO Mapping'!R$7,$AM48*$AG$29,0)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IF('CO-PO Mapping'!R$6, IF(OR($AR48="-",SUM(IF('CO-PO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IF('CO-PO Mapping'!R$7, IF(OR($AS48="-",SUM(IF('CO-PO Mapping'!R$2,$AB$29,0),IF('CO-PO Mapping'!R$3,$AC$29,0),IF('CO-PO Mapping'!R$4,$AD$29,0),IF('CO-PO Mapping'!R$5,$AE$29,0),IF('CO-PO Mapping'!R$6,$AF$29,0),IF('CO-PO Mapping'!R$7,$AG$29,0))=0), "-", IF(SUM(IF('CO-PO Mapping'!R$2,$AH48*$AB$29,0),IF('CO-PO Mapping'!R$3,$AI48*$AC$29,0),IF('CO-PO Mapping'!R$4,$AJ48*$AD$29,0),IF('CO-PO Mapping'!R$5,$AK48*$AE$29,0),IF('CO-PO Mapping'!R$6,$AL48*$AF$29,0),IF('CO-PO Mapping'!R$7,$AM48*$AG$29,0))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8" s="95" t="str">
        <f>IF('CO-PO Mapping'!S$2, IF(OR($AN48="-",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IF(OR($AP48="-", SUM( IF('CO-PO Mapping'!S$2,$AB$29,0), IF('CO-PO Mapping'!S$3,$AC$29,0), IF('CO-PO Mapping'!S$4,$AD$29,0), IF('CO-PO Mapping'!S$5,$AE$29,0), IF('CO-PO Mapping'!S$6,$AF$29,0), IF('CO-PO Mapping'!S$7,$AG$29,0) )=0), "-", IF( SUM( IF('CO-PO Mapping'!S$2,$AH48*$AB$29,0), IF('CO-PO Mapping'!S$3,$AI48*$AC$29,0), IF('CO-PO Mapping'!S$4,$AJ48*$AD$29,0), IF('CO-PO Mapping'!S$5,$AK48*$AE$29,0), IF('CO-PO Mapping'!S$6,$AL48*$AF$29,0), IF('CO-PO Mapping'!S$7,$AM48*$AG$29,0)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IF('CO-PO Mapping'!S$6, IF(OR($AR48="-",SUM(IF('CO-PO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IF('CO-PO Mapping'!S$7, IF(OR($AS48="-",SUM(IF('CO-PO Mapping'!S$2,$AB$29,0),IF('CO-PO Mapping'!S$3,$AC$29,0),IF('CO-PO Mapping'!S$4,$AD$29,0),IF('CO-PO Mapping'!S$5,$AE$29,0),IF('CO-PO Mapping'!S$6,$AF$29,0),IF('CO-PO Mapping'!S$7,$AG$29,0))=0), "-", IF(SUM(IF('CO-PO Mapping'!S$2,$AH48*$AB$29,0),IF('CO-PO Mapping'!S$3,$AI48*$AC$29,0),IF('CO-PO Mapping'!S$4,$AJ48*$AD$29,0),IF('CO-PO Mapping'!S$5,$AK48*$AE$29,0),IF('CO-PO Mapping'!S$6,$AL48*$AF$29,0),IF('CO-PO Mapping'!S$7,$AM48*$AG$29,0))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8" s="95" t="str">
        <f>IF('CO-PO Mapping'!T$2, IF(OR($AN48="-",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IF(OR($AP48="-", SUM( IF('CO-PO Mapping'!T$2,$AB$29,0), IF('CO-PO Mapping'!T$3,$AC$29,0), IF('CO-PO Mapping'!T$4,$AD$29,0), IF('CO-PO Mapping'!T$5,$AE$29,0), IF('CO-PO Mapping'!T$6,$AF$29,0), IF('CO-PO Mapping'!T$7,$AG$29,0) )=0), "-", IF( SUM( IF('CO-PO Mapping'!T$2,$AH48*$AB$29,0), IF('CO-PO Mapping'!T$3,$AI48*$AC$29,0), IF('CO-PO Mapping'!T$4,$AJ48*$AD$29,0), IF('CO-PO Mapping'!T$5,$AK48*$AE$29,0), IF('CO-PO Mapping'!T$6,$AL48*$AF$29,0), IF('CO-PO Mapping'!T$7,$AM48*$AG$29,0)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IF('CO-PO Mapping'!T$6, IF(OR($AR48="-",SUM(IF('CO-PO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IF('CO-PO Mapping'!T$7, IF(OR($AS48="-",SUM(IF('CO-PO Mapping'!T$2,$AB$29,0),IF('CO-PO Mapping'!T$3,$AC$29,0),IF('CO-PO Mapping'!T$4,$AD$29,0),IF('CO-PO Mapping'!T$5,$AE$29,0),IF('CO-PO Mapping'!T$6,$AF$29,0),IF('CO-PO Mapping'!T$7,$AG$29,0))=0), "-", IF(SUM(IF('CO-PO Mapping'!T$2,$AH48*$AB$29,0),IF('CO-PO Mapping'!T$3,$AI48*$AC$29,0),IF('CO-PO Mapping'!T$4,$AJ48*$AD$29,0),IF('CO-PO Mapping'!T$5,$AK48*$AE$29,0),IF('CO-PO Mapping'!T$6,$AL48*$AF$29,0),IF('CO-PO Mapping'!T$7,$AM48*$AG$29,0))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8" s="95" t="str">
        <f>IF('CO-PO Mapping'!U$2, IF(OR($AN48="-",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IF(OR($AP48="-", SUM( IF('CO-PO Mapping'!U$2,$AB$29,0), IF('CO-PO Mapping'!U$3,$AC$29,0), IF('CO-PO Mapping'!U$4,$AD$29,0), IF('CO-PO Mapping'!U$5,$AE$29,0), IF('CO-PO Mapping'!U$6,$AF$29,0), IF('CO-PO Mapping'!U$7,$AG$29,0) )=0), "-", IF( SUM( IF('CO-PO Mapping'!U$2,$AH48*$AB$29,0), IF('CO-PO Mapping'!U$3,$AI48*$AC$29,0), IF('CO-PO Mapping'!U$4,$AJ48*$AD$29,0), IF('CO-PO Mapping'!U$5,$AK48*$AE$29,0), IF('CO-PO Mapping'!U$6,$AL48*$AF$29,0), IF('CO-PO Mapping'!U$7,$AM48*$AG$29,0)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IF('CO-PO Mapping'!U$6, IF(OR($AR48="-",SUM(IF('CO-PO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IF('CO-PO Mapping'!U$7, IF(OR($AS48="-",SUM(IF('CO-PO Mapping'!U$2,$AB$29,0),IF('CO-PO Mapping'!U$3,$AC$29,0),IF('CO-PO Mapping'!U$4,$AD$29,0),IF('CO-PO Mapping'!U$5,$AE$29,0),IF('CO-PO Mapping'!U$6,$AF$29,0),IF('CO-PO Mapping'!U$7,$AG$29,0))=0), "-", IF(SUM(IF('CO-PO Mapping'!U$2,$AH48*$AB$29,0),IF('CO-PO Mapping'!U$3,$AI48*$AC$29,0),IF('CO-PO Mapping'!U$4,$AJ48*$AD$29,0),IF('CO-PO Mapping'!U$5,$AK48*$AE$29,0),IF('CO-PO Mapping'!U$6,$AL48*$AF$29,0),IF('CO-PO Mapping'!U$7,$AM48*$AG$29,0))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8" s="95" t="str">
        <f>IF('CO-PO Mapping'!V$2, IF(OR($AN48="-",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IF(OR($AP48="-", SUM( IF('CO-PO Mapping'!V$2,$AB$29,0), IF('CO-PO Mapping'!V$3,$AC$29,0), IF('CO-PO Mapping'!V$4,$AD$29,0), IF('CO-PO Mapping'!V$5,$AE$29,0), IF('CO-PO Mapping'!V$6,$AF$29,0), IF('CO-PO Mapping'!V$7,$AG$29,0) )=0), "-", IF( SUM( IF('CO-PO Mapping'!V$2,$AH48*$AB$29,0), IF('CO-PO Mapping'!V$3,$AI48*$AC$29,0), IF('CO-PO Mapping'!V$4,$AJ48*$AD$29,0), IF('CO-PO Mapping'!V$5,$AK48*$AE$29,0), IF('CO-PO Mapping'!V$6,$AL48*$AF$29,0), IF('CO-PO Mapping'!V$7,$AM48*$AG$29,0)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IF('CO-PO Mapping'!V$6, IF(OR($AR48="-",SUM(IF('CO-PO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IF('CO-PO Mapping'!V$7, IF(OR($AS48="-",SUM(IF('CO-PO Mapping'!V$2,$AB$29,0),IF('CO-PO Mapping'!V$3,$AC$29,0),IF('CO-PO Mapping'!V$4,$AD$29,0),IF('CO-PO Mapping'!V$5,$AE$29,0),IF('CO-PO Mapping'!V$6,$AF$29,0),IF('CO-PO Mapping'!V$7,$AG$29,0))=0), "-", IF(SUM(IF('CO-PO Mapping'!V$2,$AH48*$AB$29,0),IF('CO-PO Mapping'!V$3,$AI48*$AC$29,0),IF('CO-PO Mapping'!V$4,$AJ48*$AD$29,0),IF('CO-PO Mapping'!V$5,$AK48*$AE$29,0),IF('CO-PO Mapping'!V$6,$AL48*$AF$29,0),IF('CO-PO Mapping'!V$7,$AM48*$AG$29,0))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8" s="95" t="str">
        <f>IF('CO-PO Mapping'!W$2, IF(OR($AN48="-",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IF(OR($AP48="-", SUM( IF('CO-PO Mapping'!W$2,$AB$29,0), IF('CO-PO Mapping'!W$3,$AC$29,0), IF('CO-PO Mapping'!W$4,$AD$29,0), IF('CO-PO Mapping'!W$5,$AE$29,0), IF('CO-PO Mapping'!W$6,$AF$29,0), IF('CO-PO Mapping'!W$7,$AG$29,0) )=0), "-", IF( SUM( IF('CO-PO Mapping'!W$2,$AH48*$AB$29,0), IF('CO-PO Mapping'!W$3,$AI48*$AC$29,0), IF('CO-PO Mapping'!W$4,$AJ48*$AD$29,0), IF('CO-PO Mapping'!W$5,$AK48*$AE$29,0), IF('CO-PO Mapping'!W$6,$AL48*$AF$29,0), IF('CO-PO Mapping'!W$7,$AM48*$AG$29,0)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IF('CO-PO Mapping'!W$6, IF(OR($AR48="-",SUM(IF('CO-PO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IF('CO-PO Mapping'!W$7, IF(OR($AS48="-",SUM(IF('CO-PO Mapping'!W$2,$AB$29,0),IF('CO-PO Mapping'!W$3,$AC$29,0),IF('CO-PO Mapping'!W$4,$AD$29,0),IF('CO-PO Mapping'!W$5,$AE$29,0),IF('CO-PO Mapping'!W$6,$AF$29,0),IF('CO-PO Mapping'!W$7,$AG$29,0))=0), "-", IF(SUM(IF('CO-PO Mapping'!W$2,$AH48*$AB$29,0),IF('CO-PO Mapping'!W$3,$AI48*$AC$29,0),IF('CO-PO Mapping'!W$4,$AJ48*$AD$29,0),IF('CO-PO Mapping'!W$5,$AK48*$AE$29,0),IF('CO-PO Mapping'!W$6,$AL48*$AF$29,0),IF('CO-PO Mapping'!W$7,$AM48*$AG$29,0))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8" s="95" t="str">
        <f>IF('CO-PO Mapping'!X$2, IF(OR($AN48="-",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IF(OR($AP48="-", SUM( IF('CO-PO Mapping'!X$2,$AB$29,0), IF('CO-PO Mapping'!X$3,$AC$29,0), IF('CO-PO Mapping'!X$4,$AD$29,0), IF('CO-PO Mapping'!X$5,$AE$29,0), IF('CO-PO Mapping'!X$6,$AF$29,0), IF('CO-PO Mapping'!X$7,$AG$29,0) )=0), "-", IF( SUM( IF('CO-PO Mapping'!X$2,$AH48*$AB$29,0), IF('CO-PO Mapping'!X$3,$AI48*$AC$29,0), IF('CO-PO Mapping'!X$4,$AJ48*$AD$29,0), IF('CO-PO Mapping'!X$5,$AK48*$AE$29,0), IF('CO-PO Mapping'!X$6,$AL48*$AF$29,0), IF('CO-PO Mapping'!X$7,$AM48*$AG$29,0)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IF('CO-PO Mapping'!X$6, IF(OR($AR48="-",SUM(IF('CO-PO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IF('CO-PO Mapping'!X$7, IF(OR($AS48="-",SUM(IF('CO-PO Mapping'!X$2,$AB$29,0),IF('CO-PO Mapping'!X$3,$AC$29,0),IF('CO-PO Mapping'!X$4,$AD$29,0),IF('CO-PO Mapping'!X$5,$AE$29,0),IF('CO-PO Mapping'!X$6,$AF$29,0),IF('CO-PO Mapping'!X$7,$AG$29,0))=0), "-", IF(SUM(IF('CO-PO Mapping'!X$2,$AH48*$AB$29,0),IF('CO-PO Mapping'!X$3,$AI48*$AC$29,0),IF('CO-PO Mapping'!X$4,$AJ48*$AD$29,0),IF('CO-PO Mapping'!X$5,$AK48*$AE$29,0),IF('CO-PO Mapping'!X$6,$AL48*$AF$29,0),IF('CO-PO Mapping'!X$7,$AM48*$AG$29,0))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8" s="95" t="str">
        <f>IF('CO-PO Mapping'!Y$2, IF(OR($AN48="-",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IF(OR($AP48="-", SUM( IF('CO-PO Mapping'!Y$2,$AB$29,0), IF('CO-PO Mapping'!Y$3,$AC$29,0), IF('CO-PO Mapping'!Y$4,$AD$29,0), IF('CO-PO Mapping'!Y$5,$AE$29,0), IF('CO-PO Mapping'!Y$6,$AF$29,0), IF('CO-PO Mapping'!Y$7,$AG$29,0) )=0), "-", IF( SUM( IF('CO-PO Mapping'!Y$2,$AH48*$AB$29,0), IF('CO-PO Mapping'!Y$3,$AI48*$AC$29,0), IF('CO-PO Mapping'!Y$4,$AJ48*$AD$29,0), IF('CO-PO Mapping'!Y$5,$AK48*$AE$29,0), IF('CO-PO Mapping'!Y$6,$AL48*$AF$29,0), IF('CO-PO Mapping'!Y$7,$AM48*$AG$29,0)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IF('CO-PO Mapping'!Y$6, IF(OR($AR48="-",SUM(IF('CO-PO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IF('CO-PO Mapping'!Y$7, IF(OR($AS48="-",SUM(IF('CO-PO Mapping'!Y$2,$AB$29,0),IF('CO-PO Mapping'!Y$3,$AC$29,0),IF('CO-PO Mapping'!Y$4,$AD$29,0),IF('CO-PO Mapping'!Y$5,$AE$29,0),IF('CO-PO Mapping'!Y$6,$AF$29,0),IF('CO-PO Mapping'!Y$7,$AG$29,0))=0), "-", IF(SUM(IF('CO-PO Mapping'!Y$2,$AH48*$AB$29,0),IF('CO-PO Mapping'!Y$3,$AI48*$AC$29,0),IF('CO-PO Mapping'!Y$4,$AJ48*$AD$29,0),IF('CO-PO Mapping'!Y$5,$AK48*$AE$29,0),IF('CO-PO Mapping'!Y$6,$AL48*$AF$29,0),IF('CO-PO Mapping'!Y$7,$AM48*$AG$29,0))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8" s="95" t="str">
        <f>IF('CO-PO Mapping'!Z$2, IF(OR($AN48="-",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IF(OR($AP48="-", SUM( IF('CO-PO Mapping'!Z$2,$AB$29,0), IF('CO-PO Mapping'!Z$3,$AC$29,0), IF('CO-PO Mapping'!Z$4,$AD$29,0), IF('CO-PO Mapping'!Z$5,$AE$29,0), IF('CO-PO Mapping'!Z$6,$AF$29,0), IF('CO-PO Mapping'!Z$7,$AG$29,0) )=0), "-", IF( SUM( IF('CO-PO Mapping'!Z$2,$AH48*$AB$29,0), IF('CO-PO Mapping'!Z$3,$AI48*$AC$29,0), IF('CO-PO Mapping'!Z$4,$AJ48*$AD$29,0), IF('CO-PO Mapping'!Z$5,$AK48*$AE$29,0), IF('CO-PO Mapping'!Z$6,$AL48*$AF$29,0), IF('CO-PO Mapping'!Z$7,$AM48*$AG$29,0)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IF('CO-PO Mapping'!Z$6, IF(OR($AR48="-",SUM(IF('CO-PO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IF('CO-PO Mapping'!Z$7, IF(OR($AS48="-",SUM(IF('CO-PO Mapping'!Z$2,$AB$29,0),IF('CO-PO Mapping'!Z$3,$AC$29,0),IF('CO-PO Mapping'!Z$4,$AD$29,0),IF('CO-PO Mapping'!Z$5,$AE$29,0),IF('CO-PO Mapping'!Z$6,$AF$29,0),IF('CO-PO Mapping'!Z$7,$AG$29,0))=0), "-", IF(SUM(IF('CO-PO Mapping'!Z$2,$AH48*$AB$29,0),IF('CO-PO Mapping'!Z$3,$AI48*$AC$29,0),IF('CO-PO Mapping'!Z$4,$AJ48*$AD$29,0),IF('CO-PO Mapping'!Z$5,$AK48*$AE$29,0),IF('CO-PO Mapping'!Z$6,$AL48*$AF$29,0),IF('CO-PO Mapping'!Z$7,$AM48*$AG$29,0))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49" spans="1:57" ht="15" customHeight="1">
      <c r="A49" s="117">
        <v>22235103160</v>
      </c>
      <c r="B49" s="118" t="s">
        <v>166</v>
      </c>
      <c r="C49" s="70">
        <v>4</v>
      </c>
      <c r="D49" s="70"/>
      <c r="E49" s="71">
        <v>20</v>
      </c>
      <c r="F49" s="70"/>
      <c r="G49" s="71"/>
      <c r="H49" s="103">
        <f t="shared" si="2"/>
        <v>24</v>
      </c>
      <c r="I49" s="75">
        <v>5</v>
      </c>
      <c r="J49" s="75">
        <v>6</v>
      </c>
      <c r="K49" s="75">
        <v>8</v>
      </c>
      <c r="L49" s="75"/>
      <c r="M49" s="75"/>
      <c r="N49" s="75"/>
      <c r="O49" s="105">
        <f t="shared" si="3"/>
        <v>19</v>
      </c>
      <c r="P49" s="78">
        <v>13</v>
      </c>
      <c r="Q49" s="65">
        <v>15</v>
      </c>
      <c r="R49" s="65"/>
      <c r="S49" s="65"/>
      <c r="T49" s="65"/>
      <c r="U49" s="65"/>
      <c r="V49" s="104">
        <f t="shared" si="4"/>
        <v>28</v>
      </c>
      <c r="W49" s="83">
        <f t="shared" si="5"/>
        <v>71</v>
      </c>
      <c r="X49" s="98" t="str">
        <f t="shared" si="10"/>
        <v>A (Minus)</v>
      </c>
      <c r="Y49" s="47"/>
      <c r="Z49" s="42">
        <f t="shared" si="6"/>
        <v>22235103160</v>
      </c>
      <c r="AA49" s="43" t="str">
        <f t="shared" si="7"/>
        <v>Jebunnesa Zamal</v>
      </c>
      <c r="AB49" s="90">
        <f t="shared" si="11"/>
        <v>29</v>
      </c>
      <c r="AC49" s="90">
        <f t="shared" si="11"/>
        <v>19</v>
      </c>
      <c r="AD49" s="90">
        <f t="shared" si="11"/>
        <v>23</v>
      </c>
      <c r="AE49" s="90">
        <f t="shared" si="11"/>
        <v>0</v>
      </c>
      <c r="AF49" s="90">
        <f t="shared" si="11"/>
        <v>0</v>
      </c>
      <c r="AG49" s="90">
        <f t="shared" si="25"/>
        <v>0</v>
      </c>
      <c r="AH49" s="92">
        <f t="shared" si="12"/>
        <v>72.5</v>
      </c>
      <c r="AI49" s="92">
        <f t="shared" si="13"/>
        <v>63.333333333333336</v>
      </c>
      <c r="AJ49" s="92">
        <f t="shared" si="14"/>
        <v>76.666666666666671</v>
      </c>
      <c r="AK49" s="92">
        <f t="shared" si="22"/>
        <v>0</v>
      </c>
      <c r="AL49" s="92">
        <f t="shared" si="15"/>
        <v>0</v>
      </c>
      <c r="AM49" s="92">
        <f t="shared" si="16"/>
        <v>0</v>
      </c>
      <c r="AN49" s="93" t="str">
        <f t="shared" si="23"/>
        <v>Y</v>
      </c>
      <c r="AO49" s="93" t="str">
        <f t="shared" si="17"/>
        <v>Y</v>
      </c>
      <c r="AP49" s="93" t="str">
        <f t="shared" si="18"/>
        <v>Y</v>
      </c>
      <c r="AQ49" s="93" t="str">
        <f t="shared" si="19"/>
        <v>N</v>
      </c>
      <c r="AR49" s="93" t="str">
        <f t="shared" si="20"/>
        <v>N</v>
      </c>
      <c r="AS49" s="93" t="str">
        <f t="shared" si="21"/>
        <v>N</v>
      </c>
      <c r="AT49" s="95" t="str">
        <f>IF('CO-PO Mapping'!O$2, IF(OR($AN49="-",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IF(OR($AP49="-", SUM( IF('CO-PO Mapping'!O$2,$AB$29,0), IF('CO-PO Mapping'!O$3,$AC$29,0), IF('CO-PO Mapping'!O$4,$AD$29,0), IF('CO-PO Mapping'!O$5,$AE$29,0), IF('CO-PO Mapping'!O$6,$AF$29,0), IF('CO-PO Mapping'!O$7,$AG$29,0) )=0), "-", IF( SUM( IF('CO-PO Mapping'!O$2,$AH49*$AB$29,0), IF('CO-PO Mapping'!O$3,$AI49*$AC$29,0), IF('CO-PO Mapping'!O$4,$AJ49*$AD$29,0), IF('CO-PO Mapping'!O$5,$AK49*$AE$29,0), IF('CO-PO Mapping'!O$6,$AL49*$AF$29,0), IF('CO-PO Mapping'!O$7,$AM49*$AG$29,0)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IF('CO-PO Mapping'!O$6, IF(OR($AR49="-",SUM(IF('CO-PO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IF('CO-PO Mapping'!O$7, IF(OR($AS49="-",SUM(IF('CO-PO Mapping'!O$2,$AB$29,0),IF('CO-PO Mapping'!O$3,$AC$29,0),IF('CO-PO Mapping'!O$4,$AD$29,0),IF('CO-PO Mapping'!O$5,$AE$29,0),IF('CO-PO Mapping'!O$6,$AF$29,0),IF('CO-PO Mapping'!O$7,$AG$29,0))=0), "-", IF(SUM(IF('CO-PO Mapping'!O$2,$AH49*$AB$29,0),IF('CO-PO Mapping'!O$3,$AI49*$AC$29,0),IF('CO-PO Mapping'!O$4,$AJ49*$AD$29,0),IF('CO-PO Mapping'!O$5,$AK49*$AE$29,0),IF('CO-PO Mapping'!O$6,$AL49*$AF$29,0),IF('CO-PO Mapping'!O$7,$AM49*$AG$29,0))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49" s="95" t="str">
        <f>IF('CO-PO Mapping'!P$2, IF(OR($AN49="-",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IF(OR($AP49="-", SUM( IF('CO-PO Mapping'!P$2,$AB$29,0), IF('CO-PO Mapping'!P$3,$AC$29,0), IF('CO-PO Mapping'!P$4,$AD$29,0), IF('CO-PO Mapping'!P$5,$AE$29,0), IF('CO-PO Mapping'!P$6,$AF$29,0), IF('CO-PO Mapping'!P$7,$AG$29,0) )=0), "-", IF( SUM( IF('CO-PO Mapping'!P$2,$AH49*$AB$29,0), IF('CO-PO Mapping'!P$3,$AI49*$AC$29,0), IF('CO-PO Mapping'!P$4,$AJ49*$AD$29,0), IF('CO-PO Mapping'!P$5,$AK49*$AE$29,0), IF('CO-PO Mapping'!P$6,$AL49*$AF$29,0), IF('CO-PO Mapping'!P$7,$AM49*$AG$29,0)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IF('CO-PO Mapping'!P$6, IF(OR($AR49="-",SUM(IF('CO-PO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IF('CO-PO Mapping'!P$7, IF(OR($AS49="-",SUM(IF('CO-PO Mapping'!P$2,$AB$29,0),IF('CO-PO Mapping'!P$3,$AC$29,0),IF('CO-PO Mapping'!P$4,$AD$29,0),IF('CO-PO Mapping'!P$5,$AE$29,0),IF('CO-PO Mapping'!P$6,$AF$29,0),IF('CO-PO Mapping'!P$7,$AG$29,0))=0), "-", IF(SUM(IF('CO-PO Mapping'!P$2,$AH49*$AB$29,0),IF('CO-PO Mapping'!P$3,$AI49*$AC$29,0),IF('CO-PO Mapping'!P$4,$AJ49*$AD$29,0),IF('CO-PO Mapping'!P$5,$AK49*$AE$29,0),IF('CO-PO Mapping'!P$6,$AL49*$AF$29,0),IF('CO-PO Mapping'!P$7,$AM49*$AG$29,0))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49" s="95" t="str">
        <f>IF('CO-PO Mapping'!Q$2, IF(OR($AN49="-",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IF(OR($AP49="-", SUM( IF('CO-PO Mapping'!Q$2,$AB$29,0), IF('CO-PO Mapping'!Q$3,$AC$29,0), IF('CO-PO Mapping'!Q$4,$AD$29,0), IF('CO-PO Mapping'!Q$5,$AE$29,0), IF('CO-PO Mapping'!Q$6,$AF$29,0), IF('CO-PO Mapping'!Q$7,$AG$29,0) )=0), "-", IF( SUM( IF('CO-PO Mapping'!Q$2,$AH49*$AB$29,0), IF('CO-PO Mapping'!Q$3,$AI49*$AC$29,0), IF('CO-PO Mapping'!Q$4,$AJ49*$AD$29,0), IF('CO-PO Mapping'!Q$5,$AK49*$AE$29,0), IF('CO-PO Mapping'!Q$6,$AL49*$AF$29,0), IF('CO-PO Mapping'!Q$7,$AM49*$AG$29,0)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IF('CO-PO Mapping'!Q$6, IF(OR($AR49="-",SUM(IF('CO-PO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IF('CO-PO Mapping'!Q$7, IF(OR($AS49="-",SUM(IF('CO-PO Mapping'!Q$2,$AB$29,0),IF('CO-PO Mapping'!Q$3,$AC$29,0),IF('CO-PO Mapping'!Q$4,$AD$29,0),IF('CO-PO Mapping'!Q$5,$AE$29,0),IF('CO-PO Mapping'!Q$6,$AF$29,0),IF('CO-PO Mapping'!Q$7,$AG$29,0))=0), "-", IF(SUM(IF('CO-PO Mapping'!Q$2,$AH49*$AB$29,0),IF('CO-PO Mapping'!Q$3,$AI49*$AC$29,0),IF('CO-PO Mapping'!Q$4,$AJ49*$AD$29,0),IF('CO-PO Mapping'!Q$5,$AK49*$AE$29,0),IF('CO-PO Mapping'!Q$6,$AL49*$AF$29,0),IF('CO-PO Mapping'!Q$7,$AM49*$AG$29,0))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49" s="95" t="str">
        <f>IF('CO-PO Mapping'!R$2, IF(OR($AN49="-",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IF(OR($AP49="-", SUM( IF('CO-PO Mapping'!R$2,$AB$29,0), IF('CO-PO Mapping'!R$3,$AC$29,0), IF('CO-PO Mapping'!R$4,$AD$29,0), IF('CO-PO Mapping'!R$5,$AE$29,0), IF('CO-PO Mapping'!R$6,$AF$29,0), IF('CO-PO Mapping'!R$7,$AG$29,0) )=0), "-", IF( SUM( IF('CO-PO Mapping'!R$2,$AH49*$AB$29,0), IF('CO-PO Mapping'!R$3,$AI49*$AC$29,0), IF('CO-PO Mapping'!R$4,$AJ49*$AD$29,0), IF('CO-PO Mapping'!R$5,$AK49*$AE$29,0), IF('CO-PO Mapping'!R$6,$AL49*$AF$29,0), IF('CO-PO Mapping'!R$7,$AM49*$AG$29,0)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IF('CO-PO Mapping'!R$6, IF(OR($AR49="-",SUM(IF('CO-PO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IF('CO-PO Mapping'!R$7, IF(OR($AS49="-",SUM(IF('CO-PO Mapping'!R$2,$AB$29,0),IF('CO-PO Mapping'!R$3,$AC$29,0),IF('CO-PO Mapping'!R$4,$AD$29,0),IF('CO-PO Mapping'!R$5,$AE$29,0),IF('CO-PO Mapping'!R$6,$AF$29,0),IF('CO-PO Mapping'!R$7,$AG$29,0))=0), "-", IF(SUM(IF('CO-PO Mapping'!R$2,$AH49*$AB$29,0),IF('CO-PO Mapping'!R$3,$AI49*$AC$29,0),IF('CO-PO Mapping'!R$4,$AJ49*$AD$29,0),IF('CO-PO Mapping'!R$5,$AK49*$AE$29,0),IF('CO-PO Mapping'!R$6,$AL49*$AF$29,0),IF('CO-PO Mapping'!R$7,$AM49*$AG$29,0))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49" s="95" t="str">
        <f>IF('CO-PO Mapping'!S$2, IF(OR($AN49="-",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IF(OR($AP49="-", SUM( IF('CO-PO Mapping'!S$2,$AB$29,0), IF('CO-PO Mapping'!S$3,$AC$29,0), IF('CO-PO Mapping'!S$4,$AD$29,0), IF('CO-PO Mapping'!S$5,$AE$29,0), IF('CO-PO Mapping'!S$6,$AF$29,0), IF('CO-PO Mapping'!S$7,$AG$29,0) )=0), "-", IF( SUM( IF('CO-PO Mapping'!S$2,$AH49*$AB$29,0), IF('CO-PO Mapping'!S$3,$AI49*$AC$29,0), IF('CO-PO Mapping'!S$4,$AJ49*$AD$29,0), IF('CO-PO Mapping'!S$5,$AK49*$AE$29,0), IF('CO-PO Mapping'!S$6,$AL49*$AF$29,0), IF('CO-PO Mapping'!S$7,$AM49*$AG$29,0)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IF('CO-PO Mapping'!S$6, IF(OR($AR49="-",SUM(IF('CO-PO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IF('CO-PO Mapping'!S$7, IF(OR($AS49="-",SUM(IF('CO-PO Mapping'!S$2,$AB$29,0),IF('CO-PO Mapping'!S$3,$AC$29,0),IF('CO-PO Mapping'!S$4,$AD$29,0),IF('CO-PO Mapping'!S$5,$AE$29,0),IF('CO-PO Mapping'!S$6,$AF$29,0),IF('CO-PO Mapping'!S$7,$AG$29,0))=0), "-", IF(SUM(IF('CO-PO Mapping'!S$2,$AH49*$AB$29,0),IF('CO-PO Mapping'!S$3,$AI49*$AC$29,0),IF('CO-PO Mapping'!S$4,$AJ49*$AD$29,0),IF('CO-PO Mapping'!S$5,$AK49*$AE$29,0),IF('CO-PO Mapping'!S$6,$AL49*$AF$29,0),IF('CO-PO Mapping'!S$7,$AM49*$AG$29,0))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49" s="95" t="str">
        <f>IF('CO-PO Mapping'!T$2, IF(OR($AN49="-",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IF(OR($AP49="-", SUM( IF('CO-PO Mapping'!T$2,$AB$29,0), IF('CO-PO Mapping'!T$3,$AC$29,0), IF('CO-PO Mapping'!T$4,$AD$29,0), IF('CO-PO Mapping'!T$5,$AE$29,0), IF('CO-PO Mapping'!T$6,$AF$29,0), IF('CO-PO Mapping'!T$7,$AG$29,0) )=0), "-", IF( SUM( IF('CO-PO Mapping'!T$2,$AH49*$AB$29,0), IF('CO-PO Mapping'!T$3,$AI49*$AC$29,0), IF('CO-PO Mapping'!T$4,$AJ49*$AD$29,0), IF('CO-PO Mapping'!T$5,$AK49*$AE$29,0), IF('CO-PO Mapping'!T$6,$AL49*$AF$29,0), IF('CO-PO Mapping'!T$7,$AM49*$AG$29,0)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IF('CO-PO Mapping'!T$6, IF(OR($AR49="-",SUM(IF('CO-PO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IF('CO-PO Mapping'!T$7, IF(OR($AS49="-",SUM(IF('CO-PO Mapping'!T$2,$AB$29,0),IF('CO-PO Mapping'!T$3,$AC$29,0),IF('CO-PO Mapping'!T$4,$AD$29,0),IF('CO-PO Mapping'!T$5,$AE$29,0),IF('CO-PO Mapping'!T$6,$AF$29,0),IF('CO-PO Mapping'!T$7,$AG$29,0))=0), "-", IF(SUM(IF('CO-PO Mapping'!T$2,$AH49*$AB$29,0),IF('CO-PO Mapping'!T$3,$AI49*$AC$29,0),IF('CO-PO Mapping'!T$4,$AJ49*$AD$29,0),IF('CO-PO Mapping'!T$5,$AK49*$AE$29,0),IF('CO-PO Mapping'!T$6,$AL49*$AF$29,0),IF('CO-PO Mapping'!T$7,$AM49*$AG$29,0))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49" s="95" t="str">
        <f>IF('CO-PO Mapping'!U$2, IF(OR($AN49="-",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IF(OR($AP49="-", SUM( IF('CO-PO Mapping'!U$2,$AB$29,0), IF('CO-PO Mapping'!U$3,$AC$29,0), IF('CO-PO Mapping'!U$4,$AD$29,0), IF('CO-PO Mapping'!U$5,$AE$29,0), IF('CO-PO Mapping'!U$6,$AF$29,0), IF('CO-PO Mapping'!U$7,$AG$29,0) )=0), "-", IF( SUM( IF('CO-PO Mapping'!U$2,$AH49*$AB$29,0), IF('CO-PO Mapping'!U$3,$AI49*$AC$29,0), IF('CO-PO Mapping'!U$4,$AJ49*$AD$29,0), IF('CO-PO Mapping'!U$5,$AK49*$AE$29,0), IF('CO-PO Mapping'!U$6,$AL49*$AF$29,0), IF('CO-PO Mapping'!U$7,$AM49*$AG$29,0)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IF('CO-PO Mapping'!U$6, IF(OR($AR49="-",SUM(IF('CO-PO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IF('CO-PO Mapping'!U$7, IF(OR($AS49="-",SUM(IF('CO-PO Mapping'!U$2,$AB$29,0),IF('CO-PO Mapping'!U$3,$AC$29,0),IF('CO-PO Mapping'!U$4,$AD$29,0),IF('CO-PO Mapping'!U$5,$AE$29,0),IF('CO-PO Mapping'!U$6,$AF$29,0),IF('CO-PO Mapping'!U$7,$AG$29,0))=0), "-", IF(SUM(IF('CO-PO Mapping'!U$2,$AH49*$AB$29,0),IF('CO-PO Mapping'!U$3,$AI49*$AC$29,0),IF('CO-PO Mapping'!U$4,$AJ49*$AD$29,0),IF('CO-PO Mapping'!U$5,$AK49*$AE$29,0),IF('CO-PO Mapping'!U$6,$AL49*$AF$29,0),IF('CO-PO Mapping'!U$7,$AM49*$AG$29,0))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49" s="95" t="str">
        <f>IF('CO-PO Mapping'!V$2, IF(OR($AN49="-",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IF(OR($AP49="-", SUM( IF('CO-PO Mapping'!V$2,$AB$29,0), IF('CO-PO Mapping'!V$3,$AC$29,0), IF('CO-PO Mapping'!V$4,$AD$29,0), IF('CO-PO Mapping'!V$5,$AE$29,0), IF('CO-PO Mapping'!V$6,$AF$29,0), IF('CO-PO Mapping'!V$7,$AG$29,0) )=0), "-", IF( SUM( IF('CO-PO Mapping'!V$2,$AH49*$AB$29,0), IF('CO-PO Mapping'!V$3,$AI49*$AC$29,0), IF('CO-PO Mapping'!V$4,$AJ49*$AD$29,0), IF('CO-PO Mapping'!V$5,$AK49*$AE$29,0), IF('CO-PO Mapping'!V$6,$AL49*$AF$29,0), IF('CO-PO Mapping'!V$7,$AM49*$AG$29,0)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IF('CO-PO Mapping'!V$6, IF(OR($AR49="-",SUM(IF('CO-PO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IF('CO-PO Mapping'!V$7, IF(OR($AS49="-",SUM(IF('CO-PO Mapping'!V$2,$AB$29,0),IF('CO-PO Mapping'!V$3,$AC$29,0),IF('CO-PO Mapping'!V$4,$AD$29,0),IF('CO-PO Mapping'!V$5,$AE$29,0),IF('CO-PO Mapping'!V$6,$AF$29,0),IF('CO-PO Mapping'!V$7,$AG$29,0))=0), "-", IF(SUM(IF('CO-PO Mapping'!V$2,$AH49*$AB$29,0),IF('CO-PO Mapping'!V$3,$AI49*$AC$29,0),IF('CO-PO Mapping'!V$4,$AJ49*$AD$29,0),IF('CO-PO Mapping'!V$5,$AK49*$AE$29,0),IF('CO-PO Mapping'!V$6,$AL49*$AF$29,0),IF('CO-PO Mapping'!V$7,$AM49*$AG$29,0))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49" s="95" t="str">
        <f>IF('CO-PO Mapping'!W$2, IF(OR($AN49="-",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IF(OR($AP49="-", SUM( IF('CO-PO Mapping'!W$2,$AB$29,0), IF('CO-PO Mapping'!W$3,$AC$29,0), IF('CO-PO Mapping'!W$4,$AD$29,0), IF('CO-PO Mapping'!W$5,$AE$29,0), IF('CO-PO Mapping'!W$6,$AF$29,0), IF('CO-PO Mapping'!W$7,$AG$29,0) )=0), "-", IF( SUM( IF('CO-PO Mapping'!W$2,$AH49*$AB$29,0), IF('CO-PO Mapping'!W$3,$AI49*$AC$29,0), IF('CO-PO Mapping'!W$4,$AJ49*$AD$29,0), IF('CO-PO Mapping'!W$5,$AK49*$AE$29,0), IF('CO-PO Mapping'!W$6,$AL49*$AF$29,0), IF('CO-PO Mapping'!W$7,$AM49*$AG$29,0)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IF('CO-PO Mapping'!W$6, IF(OR($AR49="-",SUM(IF('CO-PO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IF('CO-PO Mapping'!W$7, IF(OR($AS49="-",SUM(IF('CO-PO Mapping'!W$2,$AB$29,0),IF('CO-PO Mapping'!W$3,$AC$29,0),IF('CO-PO Mapping'!W$4,$AD$29,0),IF('CO-PO Mapping'!W$5,$AE$29,0),IF('CO-PO Mapping'!W$6,$AF$29,0),IF('CO-PO Mapping'!W$7,$AG$29,0))=0), "-", IF(SUM(IF('CO-PO Mapping'!W$2,$AH49*$AB$29,0),IF('CO-PO Mapping'!W$3,$AI49*$AC$29,0),IF('CO-PO Mapping'!W$4,$AJ49*$AD$29,0),IF('CO-PO Mapping'!W$5,$AK49*$AE$29,0),IF('CO-PO Mapping'!W$6,$AL49*$AF$29,0),IF('CO-PO Mapping'!W$7,$AM49*$AG$29,0))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49" s="95" t="str">
        <f>IF('CO-PO Mapping'!X$2, IF(OR($AN49="-",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IF(OR($AP49="-", SUM( IF('CO-PO Mapping'!X$2,$AB$29,0), IF('CO-PO Mapping'!X$3,$AC$29,0), IF('CO-PO Mapping'!X$4,$AD$29,0), IF('CO-PO Mapping'!X$5,$AE$29,0), IF('CO-PO Mapping'!X$6,$AF$29,0), IF('CO-PO Mapping'!X$7,$AG$29,0) )=0), "-", IF( SUM( IF('CO-PO Mapping'!X$2,$AH49*$AB$29,0), IF('CO-PO Mapping'!X$3,$AI49*$AC$29,0), IF('CO-PO Mapping'!X$4,$AJ49*$AD$29,0), IF('CO-PO Mapping'!X$5,$AK49*$AE$29,0), IF('CO-PO Mapping'!X$6,$AL49*$AF$29,0), IF('CO-PO Mapping'!X$7,$AM49*$AG$29,0)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IF('CO-PO Mapping'!X$6, IF(OR($AR49="-",SUM(IF('CO-PO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IF('CO-PO Mapping'!X$7, IF(OR($AS49="-",SUM(IF('CO-PO Mapping'!X$2,$AB$29,0),IF('CO-PO Mapping'!X$3,$AC$29,0),IF('CO-PO Mapping'!X$4,$AD$29,0),IF('CO-PO Mapping'!X$5,$AE$29,0),IF('CO-PO Mapping'!X$6,$AF$29,0),IF('CO-PO Mapping'!X$7,$AG$29,0))=0), "-", IF(SUM(IF('CO-PO Mapping'!X$2,$AH49*$AB$29,0),IF('CO-PO Mapping'!X$3,$AI49*$AC$29,0),IF('CO-PO Mapping'!X$4,$AJ49*$AD$29,0),IF('CO-PO Mapping'!X$5,$AK49*$AE$29,0),IF('CO-PO Mapping'!X$6,$AL49*$AF$29,0),IF('CO-PO Mapping'!X$7,$AM49*$AG$29,0))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49" s="95" t="str">
        <f>IF('CO-PO Mapping'!Y$2, IF(OR($AN49="-",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IF(OR($AP49="-", SUM( IF('CO-PO Mapping'!Y$2,$AB$29,0), IF('CO-PO Mapping'!Y$3,$AC$29,0), IF('CO-PO Mapping'!Y$4,$AD$29,0), IF('CO-PO Mapping'!Y$5,$AE$29,0), IF('CO-PO Mapping'!Y$6,$AF$29,0), IF('CO-PO Mapping'!Y$7,$AG$29,0) )=0), "-", IF( SUM( IF('CO-PO Mapping'!Y$2,$AH49*$AB$29,0), IF('CO-PO Mapping'!Y$3,$AI49*$AC$29,0), IF('CO-PO Mapping'!Y$4,$AJ49*$AD$29,0), IF('CO-PO Mapping'!Y$5,$AK49*$AE$29,0), IF('CO-PO Mapping'!Y$6,$AL49*$AF$29,0), IF('CO-PO Mapping'!Y$7,$AM49*$AG$29,0)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IF('CO-PO Mapping'!Y$6, IF(OR($AR49="-",SUM(IF('CO-PO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IF('CO-PO Mapping'!Y$7, IF(OR($AS49="-",SUM(IF('CO-PO Mapping'!Y$2,$AB$29,0),IF('CO-PO Mapping'!Y$3,$AC$29,0),IF('CO-PO Mapping'!Y$4,$AD$29,0),IF('CO-PO Mapping'!Y$5,$AE$29,0),IF('CO-PO Mapping'!Y$6,$AF$29,0),IF('CO-PO Mapping'!Y$7,$AG$29,0))=0), "-", IF(SUM(IF('CO-PO Mapping'!Y$2,$AH49*$AB$29,0),IF('CO-PO Mapping'!Y$3,$AI49*$AC$29,0),IF('CO-PO Mapping'!Y$4,$AJ49*$AD$29,0),IF('CO-PO Mapping'!Y$5,$AK49*$AE$29,0),IF('CO-PO Mapping'!Y$6,$AL49*$AF$29,0),IF('CO-PO Mapping'!Y$7,$AM49*$AG$29,0))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49" s="95" t="str">
        <f>IF('CO-PO Mapping'!Z$2, IF(OR($AN49="-",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IF(OR($AP49="-", SUM( IF('CO-PO Mapping'!Z$2,$AB$29,0), IF('CO-PO Mapping'!Z$3,$AC$29,0), IF('CO-PO Mapping'!Z$4,$AD$29,0), IF('CO-PO Mapping'!Z$5,$AE$29,0), IF('CO-PO Mapping'!Z$6,$AF$29,0), IF('CO-PO Mapping'!Z$7,$AG$29,0) )=0), "-", IF( SUM( IF('CO-PO Mapping'!Z$2,$AH49*$AB$29,0), IF('CO-PO Mapping'!Z$3,$AI49*$AC$29,0), IF('CO-PO Mapping'!Z$4,$AJ49*$AD$29,0), IF('CO-PO Mapping'!Z$5,$AK49*$AE$29,0), IF('CO-PO Mapping'!Z$6,$AL49*$AF$29,0), IF('CO-PO Mapping'!Z$7,$AM49*$AG$29,0)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IF('CO-PO Mapping'!Z$6, IF(OR($AR49="-",SUM(IF('CO-PO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IF('CO-PO Mapping'!Z$7, IF(OR($AS49="-",SUM(IF('CO-PO Mapping'!Z$2,$AB$29,0),IF('CO-PO Mapping'!Z$3,$AC$29,0),IF('CO-PO Mapping'!Z$4,$AD$29,0),IF('CO-PO Mapping'!Z$5,$AE$29,0),IF('CO-PO Mapping'!Z$6,$AF$29,0),IF('CO-PO Mapping'!Z$7,$AG$29,0))=0), "-", IF(SUM(IF('CO-PO Mapping'!Z$2,$AH49*$AB$29,0),IF('CO-PO Mapping'!Z$3,$AI49*$AC$29,0),IF('CO-PO Mapping'!Z$4,$AJ49*$AD$29,0),IF('CO-PO Mapping'!Z$5,$AK49*$AE$29,0),IF('CO-PO Mapping'!Z$6,$AL49*$AF$29,0),IF('CO-PO Mapping'!Z$7,$AM49*$AG$29,0))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0" spans="1:57" ht="15" customHeight="1">
      <c r="A50" s="117">
        <v>22235103161</v>
      </c>
      <c r="B50" s="118" t="s">
        <v>167</v>
      </c>
      <c r="C50" s="70">
        <v>4</v>
      </c>
      <c r="D50" s="71"/>
      <c r="E50" s="71">
        <v>20</v>
      </c>
      <c r="F50" s="71"/>
      <c r="G50" s="71"/>
      <c r="H50" s="103">
        <f t="shared" si="2"/>
        <v>24</v>
      </c>
      <c r="I50" s="75">
        <v>6</v>
      </c>
      <c r="J50" s="75">
        <v>6</v>
      </c>
      <c r="K50" s="75">
        <v>8</v>
      </c>
      <c r="L50" s="75"/>
      <c r="M50" s="75"/>
      <c r="N50" s="75"/>
      <c r="O50" s="105">
        <f t="shared" si="3"/>
        <v>20</v>
      </c>
      <c r="P50" s="75">
        <v>16</v>
      </c>
      <c r="Q50" s="75">
        <v>14</v>
      </c>
      <c r="R50" s="75"/>
      <c r="S50" s="75"/>
      <c r="T50" s="75"/>
      <c r="U50" s="75"/>
      <c r="V50" s="104">
        <f t="shared" si="4"/>
        <v>30</v>
      </c>
      <c r="W50" s="83">
        <f t="shared" si="5"/>
        <v>74</v>
      </c>
      <c r="X50" s="98" t="str">
        <f t="shared" si="10"/>
        <v>A (Minus)</v>
      </c>
      <c r="Y50" s="47"/>
      <c r="Z50" s="42">
        <f t="shared" si="6"/>
        <v>22235103161</v>
      </c>
      <c r="AA50" s="43" t="str">
        <f t="shared" si="7"/>
        <v>Md. Sheikh Sayed</v>
      </c>
      <c r="AB50" s="90">
        <f t="shared" si="11"/>
        <v>30</v>
      </c>
      <c r="AC50" s="90">
        <f t="shared" si="11"/>
        <v>22</v>
      </c>
      <c r="AD50" s="90">
        <f t="shared" si="11"/>
        <v>22</v>
      </c>
      <c r="AE50" s="90">
        <f t="shared" si="11"/>
        <v>0</v>
      </c>
      <c r="AF50" s="90">
        <f t="shared" si="11"/>
        <v>0</v>
      </c>
      <c r="AG50" s="90">
        <f t="shared" si="25"/>
        <v>0</v>
      </c>
      <c r="AH50" s="92">
        <f t="shared" si="12"/>
        <v>75</v>
      </c>
      <c r="AI50" s="92">
        <f t="shared" si="13"/>
        <v>73.333333333333329</v>
      </c>
      <c r="AJ50" s="92">
        <f t="shared" si="14"/>
        <v>73.333333333333329</v>
      </c>
      <c r="AK50" s="92">
        <f t="shared" si="22"/>
        <v>0</v>
      </c>
      <c r="AL50" s="92">
        <f t="shared" si="15"/>
        <v>0</v>
      </c>
      <c r="AM50" s="92">
        <f t="shared" si="16"/>
        <v>0</v>
      </c>
      <c r="AN50" s="93" t="str">
        <f t="shared" si="23"/>
        <v>Y</v>
      </c>
      <c r="AO50" s="93" t="str">
        <f t="shared" si="17"/>
        <v>Y</v>
      </c>
      <c r="AP50" s="93" t="str">
        <f t="shared" si="18"/>
        <v>Y</v>
      </c>
      <c r="AQ50" s="93" t="str">
        <f t="shared" si="19"/>
        <v>N</v>
      </c>
      <c r="AR50" s="93" t="str">
        <f t="shared" si="20"/>
        <v>N</v>
      </c>
      <c r="AS50" s="93" t="str">
        <f t="shared" si="21"/>
        <v>N</v>
      </c>
      <c r="AT50" s="95" t="str">
        <f>IF('CO-PO Mapping'!O$2, IF(OR($AN50="-",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IF(OR($AP50="-", SUM( IF('CO-PO Mapping'!O$2,$AB$29,0), IF('CO-PO Mapping'!O$3,$AC$29,0), IF('CO-PO Mapping'!O$4,$AD$29,0), IF('CO-PO Mapping'!O$5,$AE$29,0), IF('CO-PO Mapping'!O$6,$AF$29,0), IF('CO-PO Mapping'!O$7,$AG$29,0) )=0), "-", IF( SUM( IF('CO-PO Mapping'!O$2,$AH50*$AB$29,0), IF('CO-PO Mapping'!O$3,$AI50*$AC$29,0), IF('CO-PO Mapping'!O$4,$AJ50*$AD$29,0), IF('CO-PO Mapping'!O$5,$AK50*$AE$29,0), IF('CO-PO Mapping'!O$6,$AL50*$AF$29,0), IF('CO-PO Mapping'!O$7,$AM50*$AG$29,0)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IF('CO-PO Mapping'!O$6, IF(OR($AR50="-",SUM(IF('CO-PO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IF('CO-PO Mapping'!O$7, IF(OR($AS50="-",SUM(IF('CO-PO Mapping'!O$2,$AB$29,0),IF('CO-PO Mapping'!O$3,$AC$29,0),IF('CO-PO Mapping'!O$4,$AD$29,0),IF('CO-PO Mapping'!O$5,$AE$29,0),IF('CO-PO Mapping'!O$6,$AF$29,0),IF('CO-PO Mapping'!O$7,$AG$29,0))=0), "-", IF(SUM(IF('CO-PO Mapping'!O$2,$AH50*$AB$29,0),IF('CO-PO Mapping'!O$3,$AI50*$AC$29,0),IF('CO-PO Mapping'!O$4,$AJ50*$AD$29,0),IF('CO-PO Mapping'!O$5,$AK50*$AE$29,0),IF('CO-PO Mapping'!O$6,$AL50*$AF$29,0),IF('CO-PO Mapping'!O$7,$AM50*$AG$29,0))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0" s="95" t="str">
        <f>IF('CO-PO Mapping'!P$2, IF(OR($AN50="-",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IF(OR($AP50="-", SUM( IF('CO-PO Mapping'!P$2,$AB$29,0), IF('CO-PO Mapping'!P$3,$AC$29,0), IF('CO-PO Mapping'!P$4,$AD$29,0), IF('CO-PO Mapping'!P$5,$AE$29,0), IF('CO-PO Mapping'!P$6,$AF$29,0), IF('CO-PO Mapping'!P$7,$AG$29,0) )=0), "-", IF( SUM( IF('CO-PO Mapping'!P$2,$AH50*$AB$29,0), IF('CO-PO Mapping'!P$3,$AI50*$AC$29,0), IF('CO-PO Mapping'!P$4,$AJ50*$AD$29,0), IF('CO-PO Mapping'!P$5,$AK50*$AE$29,0), IF('CO-PO Mapping'!P$6,$AL50*$AF$29,0), IF('CO-PO Mapping'!P$7,$AM50*$AG$29,0)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IF('CO-PO Mapping'!P$6, IF(OR($AR50="-",SUM(IF('CO-PO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IF('CO-PO Mapping'!P$7, IF(OR($AS50="-",SUM(IF('CO-PO Mapping'!P$2,$AB$29,0),IF('CO-PO Mapping'!P$3,$AC$29,0),IF('CO-PO Mapping'!P$4,$AD$29,0),IF('CO-PO Mapping'!P$5,$AE$29,0),IF('CO-PO Mapping'!P$6,$AF$29,0),IF('CO-PO Mapping'!P$7,$AG$29,0))=0), "-", IF(SUM(IF('CO-PO Mapping'!P$2,$AH50*$AB$29,0),IF('CO-PO Mapping'!P$3,$AI50*$AC$29,0),IF('CO-PO Mapping'!P$4,$AJ50*$AD$29,0),IF('CO-PO Mapping'!P$5,$AK50*$AE$29,0),IF('CO-PO Mapping'!P$6,$AL50*$AF$29,0),IF('CO-PO Mapping'!P$7,$AM50*$AG$29,0))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0" s="95" t="str">
        <f>IF('CO-PO Mapping'!Q$2, IF(OR($AN50="-",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IF(OR($AP50="-", SUM( IF('CO-PO Mapping'!Q$2,$AB$29,0), IF('CO-PO Mapping'!Q$3,$AC$29,0), IF('CO-PO Mapping'!Q$4,$AD$29,0), IF('CO-PO Mapping'!Q$5,$AE$29,0), IF('CO-PO Mapping'!Q$6,$AF$29,0), IF('CO-PO Mapping'!Q$7,$AG$29,0) )=0), "-", IF( SUM( IF('CO-PO Mapping'!Q$2,$AH50*$AB$29,0), IF('CO-PO Mapping'!Q$3,$AI50*$AC$29,0), IF('CO-PO Mapping'!Q$4,$AJ50*$AD$29,0), IF('CO-PO Mapping'!Q$5,$AK50*$AE$29,0), IF('CO-PO Mapping'!Q$6,$AL50*$AF$29,0), IF('CO-PO Mapping'!Q$7,$AM50*$AG$29,0)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IF('CO-PO Mapping'!Q$6, IF(OR($AR50="-",SUM(IF('CO-PO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IF('CO-PO Mapping'!Q$7, IF(OR($AS50="-",SUM(IF('CO-PO Mapping'!Q$2,$AB$29,0),IF('CO-PO Mapping'!Q$3,$AC$29,0),IF('CO-PO Mapping'!Q$4,$AD$29,0),IF('CO-PO Mapping'!Q$5,$AE$29,0),IF('CO-PO Mapping'!Q$6,$AF$29,0),IF('CO-PO Mapping'!Q$7,$AG$29,0))=0), "-", IF(SUM(IF('CO-PO Mapping'!Q$2,$AH50*$AB$29,0),IF('CO-PO Mapping'!Q$3,$AI50*$AC$29,0),IF('CO-PO Mapping'!Q$4,$AJ50*$AD$29,0),IF('CO-PO Mapping'!Q$5,$AK50*$AE$29,0),IF('CO-PO Mapping'!Q$6,$AL50*$AF$29,0),IF('CO-PO Mapping'!Q$7,$AM50*$AG$29,0))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0" s="95" t="str">
        <f>IF('CO-PO Mapping'!R$2, IF(OR($AN50="-",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IF(OR($AP50="-", SUM( IF('CO-PO Mapping'!R$2,$AB$29,0), IF('CO-PO Mapping'!R$3,$AC$29,0), IF('CO-PO Mapping'!R$4,$AD$29,0), IF('CO-PO Mapping'!R$5,$AE$29,0), IF('CO-PO Mapping'!R$6,$AF$29,0), IF('CO-PO Mapping'!R$7,$AG$29,0) )=0), "-", IF( SUM( IF('CO-PO Mapping'!R$2,$AH50*$AB$29,0), IF('CO-PO Mapping'!R$3,$AI50*$AC$29,0), IF('CO-PO Mapping'!R$4,$AJ50*$AD$29,0), IF('CO-PO Mapping'!R$5,$AK50*$AE$29,0), IF('CO-PO Mapping'!R$6,$AL50*$AF$29,0), IF('CO-PO Mapping'!R$7,$AM50*$AG$29,0)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IF('CO-PO Mapping'!R$6, IF(OR($AR50="-",SUM(IF('CO-PO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IF('CO-PO Mapping'!R$7, IF(OR($AS50="-",SUM(IF('CO-PO Mapping'!R$2,$AB$29,0),IF('CO-PO Mapping'!R$3,$AC$29,0),IF('CO-PO Mapping'!R$4,$AD$29,0),IF('CO-PO Mapping'!R$5,$AE$29,0),IF('CO-PO Mapping'!R$6,$AF$29,0),IF('CO-PO Mapping'!R$7,$AG$29,0))=0), "-", IF(SUM(IF('CO-PO Mapping'!R$2,$AH50*$AB$29,0),IF('CO-PO Mapping'!R$3,$AI50*$AC$29,0),IF('CO-PO Mapping'!R$4,$AJ50*$AD$29,0),IF('CO-PO Mapping'!R$5,$AK50*$AE$29,0),IF('CO-PO Mapping'!R$6,$AL50*$AF$29,0),IF('CO-PO Mapping'!R$7,$AM50*$AG$29,0))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0" s="95" t="str">
        <f>IF('CO-PO Mapping'!S$2, IF(OR($AN50="-",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IF(OR($AP50="-", SUM( IF('CO-PO Mapping'!S$2,$AB$29,0), IF('CO-PO Mapping'!S$3,$AC$29,0), IF('CO-PO Mapping'!S$4,$AD$29,0), IF('CO-PO Mapping'!S$5,$AE$29,0), IF('CO-PO Mapping'!S$6,$AF$29,0), IF('CO-PO Mapping'!S$7,$AG$29,0) )=0), "-", IF( SUM( IF('CO-PO Mapping'!S$2,$AH50*$AB$29,0), IF('CO-PO Mapping'!S$3,$AI50*$AC$29,0), IF('CO-PO Mapping'!S$4,$AJ50*$AD$29,0), IF('CO-PO Mapping'!S$5,$AK50*$AE$29,0), IF('CO-PO Mapping'!S$6,$AL50*$AF$29,0), IF('CO-PO Mapping'!S$7,$AM50*$AG$29,0)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IF('CO-PO Mapping'!S$6, IF(OR($AR50="-",SUM(IF('CO-PO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IF('CO-PO Mapping'!S$7, IF(OR($AS50="-",SUM(IF('CO-PO Mapping'!S$2,$AB$29,0),IF('CO-PO Mapping'!S$3,$AC$29,0),IF('CO-PO Mapping'!S$4,$AD$29,0),IF('CO-PO Mapping'!S$5,$AE$29,0),IF('CO-PO Mapping'!S$6,$AF$29,0),IF('CO-PO Mapping'!S$7,$AG$29,0))=0), "-", IF(SUM(IF('CO-PO Mapping'!S$2,$AH50*$AB$29,0),IF('CO-PO Mapping'!S$3,$AI50*$AC$29,0),IF('CO-PO Mapping'!S$4,$AJ50*$AD$29,0),IF('CO-PO Mapping'!S$5,$AK50*$AE$29,0),IF('CO-PO Mapping'!S$6,$AL50*$AF$29,0),IF('CO-PO Mapping'!S$7,$AM50*$AG$29,0))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0" s="95" t="str">
        <f>IF('CO-PO Mapping'!T$2, IF(OR($AN50="-",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IF(OR($AP50="-", SUM( IF('CO-PO Mapping'!T$2,$AB$29,0), IF('CO-PO Mapping'!T$3,$AC$29,0), IF('CO-PO Mapping'!T$4,$AD$29,0), IF('CO-PO Mapping'!T$5,$AE$29,0), IF('CO-PO Mapping'!T$6,$AF$29,0), IF('CO-PO Mapping'!T$7,$AG$29,0) )=0), "-", IF( SUM( IF('CO-PO Mapping'!T$2,$AH50*$AB$29,0), IF('CO-PO Mapping'!T$3,$AI50*$AC$29,0), IF('CO-PO Mapping'!T$4,$AJ50*$AD$29,0), IF('CO-PO Mapping'!T$5,$AK50*$AE$29,0), IF('CO-PO Mapping'!T$6,$AL50*$AF$29,0), IF('CO-PO Mapping'!T$7,$AM50*$AG$29,0)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IF('CO-PO Mapping'!T$6, IF(OR($AR50="-",SUM(IF('CO-PO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IF('CO-PO Mapping'!T$7, IF(OR($AS50="-",SUM(IF('CO-PO Mapping'!T$2,$AB$29,0),IF('CO-PO Mapping'!T$3,$AC$29,0),IF('CO-PO Mapping'!T$4,$AD$29,0),IF('CO-PO Mapping'!T$5,$AE$29,0),IF('CO-PO Mapping'!T$6,$AF$29,0),IF('CO-PO Mapping'!T$7,$AG$29,0))=0), "-", IF(SUM(IF('CO-PO Mapping'!T$2,$AH50*$AB$29,0),IF('CO-PO Mapping'!T$3,$AI50*$AC$29,0),IF('CO-PO Mapping'!T$4,$AJ50*$AD$29,0),IF('CO-PO Mapping'!T$5,$AK50*$AE$29,0),IF('CO-PO Mapping'!T$6,$AL50*$AF$29,0),IF('CO-PO Mapping'!T$7,$AM50*$AG$29,0))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0" s="95" t="str">
        <f>IF('CO-PO Mapping'!U$2, IF(OR($AN50="-",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IF(OR($AP50="-", SUM( IF('CO-PO Mapping'!U$2,$AB$29,0), IF('CO-PO Mapping'!U$3,$AC$29,0), IF('CO-PO Mapping'!U$4,$AD$29,0), IF('CO-PO Mapping'!U$5,$AE$29,0), IF('CO-PO Mapping'!U$6,$AF$29,0), IF('CO-PO Mapping'!U$7,$AG$29,0) )=0), "-", IF( SUM( IF('CO-PO Mapping'!U$2,$AH50*$AB$29,0), IF('CO-PO Mapping'!U$3,$AI50*$AC$29,0), IF('CO-PO Mapping'!U$4,$AJ50*$AD$29,0), IF('CO-PO Mapping'!U$5,$AK50*$AE$29,0), IF('CO-PO Mapping'!U$6,$AL50*$AF$29,0), IF('CO-PO Mapping'!U$7,$AM50*$AG$29,0)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IF('CO-PO Mapping'!U$6, IF(OR($AR50="-",SUM(IF('CO-PO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IF('CO-PO Mapping'!U$7, IF(OR($AS50="-",SUM(IF('CO-PO Mapping'!U$2,$AB$29,0),IF('CO-PO Mapping'!U$3,$AC$29,0),IF('CO-PO Mapping'!U$4,$AD$29,0),IF('CO-PO Mapping'!U$5,$AE$29,0),IF('CO-PO Mapping'!U$6,$AF$29,0),IF('CO-PO Mapping'!U$7,$AG$29,0))=0), "-", IF(SUM(IF('CO-PO Mapping'!U$2,$AH50*$AB$29,0),IF('CO-PO Mapping'!U$3,$AI50*$AC$29,0),IF('CO-PO Mapping'!U$4,$AJ50*$AD$29,0),IF('CO-PO Mapping'!U$5,$AK50*$AE$29,0),IF('CO-PO Mapping'!U$6,$AL50*$AF$29,0),IF('CO-PO Mapping'!U$7,$AM50*$AG$29,0))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0" s="95" t="str">
        <f>IF('CO-PO Mapping'!V$2, IF(OR($AN50="-",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IF(OR($AP50="-", SUM( IF('CO-PO Mapping'!V$2,$AB$29,0), IF('CO-PO Mapping'!V$3,$AC$29,0), IF('CO-PO Mapping'!V$4,$AD$29,0), IF('CO-PO Mapping'!V$5,$AE$29,0), IF('CO-PO Mapping'!V$6,$AF$29,0), IF('CO-PO Mapping'!V$7,$AG$29,0) )=0), "-", IF( SUM( IF('CO-PO Mapping'!V$2,$AH50*$AB$29,0), IF('CO-PO Mapping'!V$3,$AI50*$AC$29,0), IF('CO-PO Mapping'!V$4,$AJ50*$AD$29,0), IF('CO-PO Mapping'!V$5,$AK50*$AE$29,0), IF('CO-PO Mapping'!V$6,$AL50*$AF$29,0), IF('CO-PO Mapping'!V$7,$AM50*$AG$29,0)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IF('CO-PO Mapping'!V$6, IF(OR($AR50="-",SUM(IF('CO-PO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IF('CO-PO Mapping'!V$7, IF(OR($AS50="-",SUM(IF('CO-PO Mapping'!V$2,$AB$29,0),IF('CO-PO Mapping'!V$3,$AC$29,0),IF('CO-PO Mapping'!V$4,$AD$29,0),IF('CO-PO Mapping'!V$5,$AE$29,0),IF('CO-PO Mapping'!V$6,$AF$29,0),IF('CO-PO Mapping'!V$7,$AG$29,0))=0), "-", IF(SUM(IF('CO-PO Mapping'!V$2,$AH50*$AB$29,0),IF('CO-PO Mapping'!V$3,$AI50*$AC$29,0),IF('CO-PO Mapping'!V$4,$AJ50*$AD$29,0),IF('CO-PO Mapping'!V$5,$AK50*$AE$29,0),IF('CO-PO Mapping'!V$6,$AL50*$AF$29,0),IF('CO-PO Mapping'!V$7,$AM50*$AG$29,0))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0" s="95" t="str">
        <f>IF('CO-PO Mapping'!W$2, IF(OR($AN50="-",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IF(OR($AP50="-", SUM( IF('CO-PO Mapping'!W$2,$AB$29,0), IF('CO-PO Mapping'!W$3,$AC$29,0), IF('CO-PO Mapping'!W$4,$AD$29,0), IF('CO-PO Mapping'!W$5,$AE$29,0), IF('CO-PO Mapping'!W$6,$AF$29,0), IF('CO-PO Mapping'!W$7,$AG$29,0) )=0), "-", IF( SUM( IF('CO-PO Mapping'!W$2,$AH50*$AB$29,0), IF('CO-PO Mapping'!W$3,$AI50*$AC$29,0), IF('CO-PO Mapping'!W$4,$AJ50*$AD$29,0), IF('CO-PO Mapping'!W$5,$AK50*$AE$29,0), IF('CO-PO Mapping'!W$6,$AL50*$AF$29,0), IF('CO-PO Mapping'!W$7,$AM50*$AG$29,0)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IF('CO-PO Mapping'!W$6, IF(OR($AR50="-",SUM(IF('CO-PO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IF('CO-PO Mapping'!W$7, IF(OR($AS50="-",SUM(IF('CO-PO Mapping'!W$2,$AB$29,0),IF('CO-PO Mapping'!W$3,$AC$29,0),IF('CO-PO Mapping'!W$4,$AD$29,0),IF('CO-PO Mapping'!W$5,$AE$29,0),IF('CO-PO Mapping'!W$6,$AF$29,0),IF('CO-PO Mapping'!W$7,$AG$29,0))=0), "-", IF(SUM(IF('CO-PO Mapping'!W$2,$AH50*$AB$29,0),IF('CO-PO Mapping'!W$3,$AI50*$AC$29,0),IF('CO-PO Mapping'!W$4,$AJ50*$AD$29,0),IF('CO-PO Mapping'!W$5,$AK50*$AE$29,0),IF('CO-PO Mapping'!W$6,$AL50*$AF$29,0),IF('CO-PO Mapping'!W$7,$AM50*$AG$29,0))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0" s="95" t="str">
        <f>IF('CO-PO Mapping'!X$2, IF(OR($AN50="-",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IF(OR($AP50="-", SUM( IF('CO-PO Mapping'!X$2,$AB$29,0), IF('CO-PO Mapping'!X$3,$AC$29,0), IF('CO-PO Mapping'!X$4,$AD$29,0), IF('CO-PO Mapping'!X$5,$AE$29,0), IF('CO-PO Mapping'!X$6,$AF$29,0), IF('CO-PO Mapping'!X$7,$AG$29,0) )=0), "-", IF( SUM( IF('CO-PO Mapping'!X$2,$AH50*$AB$29,0), IF('CO-PO Mapping'!X$3,$AI50*$AC$29,0), IF('CO-PO Mapping'!X$4,$AJ50*$AD$29,0), IF('CO-PO Mapping'!X$5,$AK50*$AE$29,0), IF('CO-PO Mapping'!X$6,$AL50*$AF$29,0), IF('CO-PO Mapping'!X$7,$AM50*$AG$29,0)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IF('CO-PO Mapping'!X$6, IF(OR($AR50="-",SUM(IF('CO-PO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IF('CO-PO Mapping'!X$7, IF(OR($AS50="-",SUM(IF('CO-PO Mapping'!X$2,$AB$29,0),IF('CO-PO Mapping'!X$3,$AC$29,0),IF('CO-PO Mapping'!X$4,$AD$29,0),IF('CO-PO Mapping'!X$5,$AE$29,0),IF('CO-PO Mapping'!X$6,$AF$29,0),IF('CO-PO Mapping'!X$7,$AG$29,0))=0), "-", IF(SUM(IF('CO-PO Mapping'!X$2,$AH50*$AB$29,0),IF('CO-PO Mapping'!X$3,$AI50*$AC$29,0),IF('CO-PO Mapping'!X$4,$AJ50*$AD$29,0),IF('CO-PO Mapping'!X$5,$AK50*$AE$29,0),IF('CO-PO Mapping'!X$6,$AL50*$AF$29,0),IF('CO-PO Mapping'!X$7,$AM50*$AG$29,0))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0" s="95" t="str">
        <f>IF('CO-PO Mapping'!Y$2, IF(OR($AN50="-",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IF(OR($AP50="-", SUM( IF('CO-PO Mapping'!Y$2,$AB$29,0), IF('CO-PO Mapping'!Y$3,$AC$29,0), IF('CO-PO Mapping'!Y$4,$AD$29,0), IF('CO-PO Mapping'!Y$5,$AE$29,0), IF('CO-PO Mapping'!Y$6,$AF$29,0), IF('CO-PO Mapping'!Y$7,$AG$29,0) )=0), "-", IF( SUM( IF('CO-PO Mapping'!Y$2,$AH50*$AB$29,0), IF('CO-PO Mapping'!Y$3,$AI50*$AC$29,0), IF('CO-PO Mapping'!Y$4,$AJ50*$AD$29,0), IF('CO-PO Mapping'!Y$5,$AK50*$AE$29,0), IF('CO-PO Mapping'!Y$6,$AL50*$AF$29,0), IF('CO-PO Mapping'!Y$7,$AM50*$AG$29,0)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IF('CO-PO Mapping'!Y$6, IF(OR($AR50="-",SUM(IF('CO-PO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IF('CO-PO Mapping'!Y$7, IF(OR($AS50="-",SUM(IF('CO-PO Mapping'!Y$2,$AB$29,0),IF('CO-PO Mapping'!Y$3,$AC$29,0),IF('CO-PO Mapping'!Y$4,$AD$29,0),IF('CO-PO Mapping'!Y$5,$AE$29,0),IF('CO-PO Mapping'!Y$6,$AF$29,0),IF('CO-PO Mapping'!Y$7,$AG$29,0))=0), "-", IF(SUM(IF('CO-PO Mapping'!Y$2,$AH50*$AB$29,0),IF('CO-PO Mapping'!Y$3,$AI50*$AC$29,0),IF('CO-PO Mapping'!Y$4,$AJ50*$AD$29,0),IF('CO-PO Mapping'!Y$5,$AK50*$AE$29,0),IF('CO-PO Mapping'!Y$6,$AL50*$AF$29,0),IF('CO-PO Mapping'!Y$7,$AM50*$AG$29,0))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0" s="95" t="str">
        <f>IF('CO-PO Mapping'!Z$2, IF(OR($AN50="-",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IF(OR($AP50="-", SUM( IF('CO-PO Mapping'!Z$2,$AB$29,0), IF('CO-PO Mapping'!Z$3,$AC$29,0), IF('CO-PO Mapping'!Z$4,$AD$29,0), IF('CO-PO Mapping'!Z$5,$AE$29,0), IF('CO-PO Mapping'!Z$6,$AF$29,0), IF('CO-PO Mapping'!Z$7,$AG$29,0) )=0), "-", IF( SUM( IF('CO-PO Mapping'!Z$2,$AH50*$AB$29,0), IF('CO-PO Mapping'!Z$3,$AI50*$AC$29,0), IF('CO-PO Mapping'!Z$4,$AJ50*$AD$29,0), IF('CO-PO Mapping'!Z$5,$AK50*$AE$29,0), IF('CO-PO Mapping'!Z$6,$AL50*$AF$29,0), IF('CO-PO Mapping'!Z$7,$AM50*$AG$29,0)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IF('CO-PO Mapping'!Z$6, IF(OR($AR50="-",SUM(IF('CO-PO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IF('CO-PO Mapping'!Z$7, IF(OR($AS50="-",SUM(IF('CO-PO Mapping'!Z$2,$AB$29,0),IF('CO-PO Mapping'!Z$3,$AC$29,0),IF('CO-PO Mapping'!Z$4,$AD$29,0),IF('CO-PO Mapping'!Z$5,$AE$29,0),IF('CO-PO Mapping'!Z$6,$AF$29,0),IF('CO-PO Mapping'!Z$7,$AG$29,0))=0), "-", IF(SUM(IF('CO-PO Mapping'!Z$2,$AH50*$AB$29,0),IF('CO-PO Mapping'!Z$3,$AI50*$AC$29,0),IF('CO-PO Mapping'!Z$4,$AJ50*$AD$29,0),IF('CO-PO Mapping'!Z$5,$AK50*$AE$29,0),IF('CO-PO Mapping'!Z$6,$AL50*$AF$29,0),IF('CO-PO Mapping'!Z$7,$AM50*$AG$29,0))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1" spans="1:57" ht="15" customHeight="1">
      <c r="A51" s="117">
        <v>22235103173</v>
      </c>
      <c r="B51" s="118" t="s">
        <v>168</v>
      </c>
      <c r="C51" s="70">
        <v>4</v>
      </c>
      <c r="D51" s="70"/>
      <c r="E51" s="71">
        <v>20</v>
      </c>
      <c r="F51" s="70"/>
      <c r="G51" s="71"/>
      <c r="H51" s="103">
        <f t="shared" si="2"/>
        <v>24</v>
      </c>
      <c r="I51" s="75">
        <v>9</v>
      </c>
      <c r="J51" s="75">
        <v>6</v>
      </c>
      <c r="K51" s="75">
        <v>6</v>
      </c>
      <c r="L51" s="75"/>
      <c r="M51" s="75"/>
      <c r="N51" s="75"/>
      <c r="O51" s="105">
        <f t="shared" si="3"/>
        <v>21</v>
      </c>
      <c r="P51" s="75">
        <v>16</v>
      </c>
      <c r="Q51" s="75">
        <v>14</v>
      </c>
      <c r="R51" s="75"/>
      <c r="S51" s="75"/>
      <c r="T51" s="75"/>
      <c r="U51" s="75"/>
      <c r="V51" s="104">
        <f t="shared" si="4"/>
        <v>30</v>
      </c>
      <c r="W51" s="83">
        <f t="shared" si="5"/>
        <v>75</v>
      </c>
      <c r="X51" s="98" t="str">
        <f t="shared" si="10"/>
        <v>A</v>
      </c>
      <c r="Y51" s="47"/>
      <c r="Z51" s="42">
        <f t="shared" si="6"/>
        <v>22235103173</v>
      </c>
      <c r="AA51" s="43" t="str">
        <f t="shared" si="7"/>
        <v>Jannatul Ferdous</v>
      </c>
      <c r="AB51" s="90">
        <f t="shared" si="11"/>
        <v>33</v>
      </c>
      <c r="AC51" s="90">
        <f t="shared" si="11"/>
        <v>22</v>
      </c>
      <c r="AD51" s="90">
        <f t="shared" si="11"/>
        <v>20</v>
      </c>
      <c r="AE51" s="90">
        <f t="shared" si="11"/>
        <v>0</v>
      </c>
      <c r="AF51" s="90">
        <f t="shared" si="11"/>
        <v>0</v>
      </c>
      <c r="AG51" s="90">
        <f t="shared" si="25"/>
        <v>0</v>
      </c>
      <c r="AH51" s="92">
        <f t="shared" si="12"/>
        <v>82.5</v>
      </c>
      <c r="AI51" s="92">
        <f t="shared" si="13"/>
        <v>73.333333333333329</v>
      </c>
      <c r="AJ51" s="92">
        <f t="shared" si="14"/>
        <v>66.666666666666671</v>
      </c>
      <c r="AK51" s="92">
        <f t="shared" si="22"/>
        <v>0</v>
      </c>
      <c r="AL51" s="92">
        <f t="shared" si="15"/>
        <v>0</v>
      </c>
      <c r="AM51" s="92">
        <f t="shared" si="16"/>
        <v>0</v>
      </c>
      <c r="AN51" s="93" t="str">
        <f t="shared" si="23"/>
        <v>Y</v>
      </c>
      <c r="AO51" s="93" t="str">
        <f t="shared" si="17"/>
        <v>Y</v>
      </c>
      <c r="AP51" s="93" t="str">
        <f t="shared" si="18"/>
        <v>Y</v>
      </c>
      <c r="AQ51" s="93" t="str">
        <f t="shared" si="19"/>
        <v>N</v>
      </c>
      <c r="AR51" s="93" t="str">
        <f t="shared" si="20"/>
        <v>N</v>
      </c>
      <c r="AS51" s="93" t="str">
        <f t="shared" si="21"/>
        <v>N</v>
      </c>
      <c r="AT51" s="95" t="str">
        <f>IF('CO-PO Mapping'!O$2, IF(OR($AN51="-",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IF(OR($AP51="-", SUM( IF('CO-PO Mapping'!O$2,$AB$29,0), IF('CO-PO Mapping'!O$3,$AC$29,0), IF('CO-PO Mapping'!O$4,$AD$29,0), IF('CO-PO Mapping'!O$5,$AE$29,0), IF('CO-PO Mapping'!O$6,$AF$29,0), IF('CO-PO Mapping'!O$7,$AG$29,0) )=0), "-", IF( SUM( IF('CO-PO Mapping'!O$2,$AH51*$AB$29,0), IF('CO-PO Mapping'!O$3,$AI51*$AC$29,0), IF('CO-PO Mapping'!O$4,$AJ51*$AD$29,0), IF('CO-PO Mapping'!O$5,$AK51*$AE$29,0), IF('CO-PO Mapping'!O$6,$AL51*$AF$29,0), IF('CO-PO Mapping'!O$7,$AM51*$AG$29,0)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IF('CO-PO Mapping'!O$6, IF(OR($AR51="-",SUM(IF('CO-PO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IF('CO-PO Mapping'!O$7, IF(OR($AS51="-",SUM(IF('CO-PO Mapping'!O$2,$AB$29,0),IF('CO-PO Mapping'!O$3,$AC$29,0),IF('CO-PO Mapping'!O$4,$AD$29,0),IF('CO-PO Mapping'!O$5,$AE$29,0),IF('CO-PO Mapping'!O$6,$AF$29,0),IF('CO-PO Mapping'!O$7,$AG$29,0))=0), "-", IF(SUM(IF('CO-PO Mapping'!O$2,$AH51*$AB$29,0),IF('CO-PO Mapping'!O$3,$AI51*$AC$29,0),IF('CO-PO Mapping'!O$4,$AJ51*$AD$29,0),IF('CO-PO Mapping'!O$5,$AK51*$AE$29,0),IF('CO-PO Mapping'!O$6,$AL51*$AF$29,0),IF('CO-PO Mapping'!O$7,$AM51*$AG$29,0))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1" s="95" t="str">
        <f>IF('CO-PO Mapping'!P$2, IF(OR($AN51="-",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IF(OR($AP51="-", SUM( IF('CO-PO Mapping'!P$2,$AB$29,0), IF('CO-PO Mapping'!P$3,$AC$29,0), IF('CO-PO Mapping'!P$4,$AD$29,0), IF('CO-PO Mapping'!P$5,$AE$29,0), IF('CO-PO Mapping'!P$6,$AF$29,0), IF('CO-PO Mapping'!P$7,$AG$29,0) )=0), "-", IF( SUM( IF('CO-PO Mapping'!P$2,$AH51*$AB$29,0), IF('CO-PO Mapping'!P$3,$AI51*$AC$29,0), IF('CO-PO Mapping'!P$4,$AJ51*$AD$29,0), IF('CO-PO Mapping'!P$5,$AK51*$AE$29,0), IF('CO-PO Mapping'!P$6,$AL51*$AF$29,0), IF('CO-PO Mapping'!P$7,$AM51*$AG$29,0)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IF('CO-PO Mapping'!P$6, IF(OR($AR51="-",SUM(IF('CO-PO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IF('CO-PO Mapping'!P$7, IF(OR($AS51="-",SUM(IF('CO-PO Mapping'!P$2,$AB$29,0),IF('CO-PO Mapping'!P$3,$AC$29,0),IF('CO-PO Mapping'!P$4,$AD$29,0),IF('CO-PO Mapping'!P$5,$AE$29,0),IF('CO-PO Mapping'!P$6,$AF$29,0),IF('CO-PO Mapping'!P$7,$AG$29,0))=0), "-", IF(SUM(IF('CO-PO Mapping'!P$2,$AH51*$AB$29,0),IF('CO-PO Mapping'!P$3,$AI51*$AC$29,0),IF('CO-PO Mapping'!P$4,$AJ51*$AD$29,0),IF('CO-PO Mapping'!P$5,$AK51*$AE$29,0),IF('CO-PO Mapping'!P$6,$AL51*$AF$29,0),IF('CO-PO Mapping'!P$7,$AM51*$AG$29,0))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1" s="95" t="str">
        <f>IF('CO-PO Mapping'!Q$2, IF(OR($AN51="-",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IF(OR($AP51="-", SUM( IF('CO-PO Mapping'!Q$2,$AB$29,0), IF('CO-PO Mapping'!Q$3,$AC$29,0), IF('CO-PO Mapping'!Q$4,$AD$29,0), IF('CO-PO Mapping'!Q$5,$AE$29,0), IF('CO-PO Mapping'!Q$6,$AF$29,0), IF('CO-PO Mapping'!Q$7,$AG$29,0) )=0), "-", IF( SUM( IF('CO-PO Mapping'!Q$2,$AH51*$AB$29,0), IF('CO-PO Mapping'!Q$3,$AI51*$AC$29,0), IF('CO-PO Mapping'!Q$4,$AJ51*$AD$29,0), IF('CO-PO Mapping'!Q$5,$AK51*$AE$29,0), IF('CO-PO Mapping'!Q$6,$AL51*$AF$29,0), IF('CO-PO Mapping'!Q$7,$AM51*$AG$29,0)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IF('CO-PO Mapping'!Q$6, IF(OR($AR51="-",SUM(IF('CO-PO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IF('CO-PO Mapping'!Q$7, IF(OR($AS51="-",SUM(IF('CO-PO Mapping'!Q$2,$AB$29,0),IF('CO-PO Mapping'!Q$3,$AC$29,0),IF('CO-PO Mapping'!Q$4,$AD$29,0),IF('CO-PO Mapping'!Q$5,$AE$29,0),IF('CO-PO Mapping'!Q$6,$AF$29,0),IF('CO-PO Mapping'!Q$7,$AG$29,0))=0), "-", IF(SUM(IF('CO-PO Mapping'!Q$2,$AH51*$AB$29,0),IF('CO-PO Mapping'!Q$3,$AI51*$AC$29,0),IF('CO-PO Mapping'!Q$4,$AJ51*$AD$29,0),IF('CO-PO Mapping'!Q$5,$AK51*$AE$29,0),IF('CO-PO Mapping'!Q$6,$AL51*$AF$29,0),IF('CO-PO Mapping'!Q$7,$AM51*$AG$29,0))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1" s="95" t="str">
        <f>IF('CO-PO Mapping'!R$2, IF(OR($AN51="-",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IF(OR($AP51="-", SUM( IF('CO-PO Mapping'!R$2,$AB$29,0), IF('CO-PO Mapping'!R$3,$AC$29,0), IF('CO-PO Mapping'!R$4,$AD$29,0), IF('CO-PO Mapping'!R$5,$AE$29,0), IF('CO-PO Mapping'!R$6,$AF$29,0), IF('CO-PO Mapping'!R$7,$AG$29,0) )=0), "-", IF( SUM( IF('CO-PO Mapping'!R$2,$AH51*$AB$29,0), IF('CO-PO Mapping'!R$3,$AI51*$AC$29,0), IF('CO-PO Mapping'!R$4,$AJ51*$AD$29,0), IF('CO-PO Mapping'!R$5,$AK51*$AE$29,0), IF('CO-PO Mapping'!R$6,$AL51*$AF$29,0), IF('CO-PO Mapping'!R$7,$AM51*$AG$29,0)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IF('CO-PO Mapping'!R$6, IF(OR($AR51="-",SUM(IF('CO-PO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IF('CO-PO Mapping'!R$7, IF(OR($AS51="-",SUM(IF('CO-PO Mapping'!R$2,$AB$29,0),IF('CO-PO Mapping'!R$3,$AC$29,0),IF('CO-PO Mapping'!R$4,$AD$29,0),IF('CO-PO Mapping'!R$5,$AE$29,0),IF('CO-PO Mapping'!R$6,$AF$29,0),IF('CO-PO Mapping'!R$7,$AG$29,0))=0), "-", IF(SUM(IF('CO-PO Mapping'!R$2,$AH51*$AB$29,0),IF('CO-PO Mapping'!R$3,$AI51*$AC$29,0),IF('CO-PO Mapping'!R$4,$AJ51*$AD$29,0),IF('CO-PO Mapping'!R$5,$AK51*$AE$29,0),IF('CO-PO Mapping'!R$6,$AL51*$AF$29,0),IF('CO-PO Mapping'!R$7,$AM51*$AG$29,0))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1" s="95" t="str">
        <f>IF('CO-PO Mapping'!S$2, IF(OR($AN51="-",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IF(OR($AP51="-", SUM( IF('CO-PO Mapping'!S$2,$AB$29,0), IF('CO-PO Mapping'!S$3,$AC$29,0), IF('CO-PO Mapping'!S$4,$AD$29,0), IF('CO-PO Mapping'!S$5,$AE$29,0), IF('CO-PO Mapping'!S$6,$AF$29,0), IF('CO-PO Mapping'!S$7,$AG$29,0) )=0), "-", IF( SUM( IF('CO-PO Mapping'!S$2,$AH51*$AB$29,0), IF('CO-PO Mapping'!S$3,$AI51*$AC$29,0), IF('CO-PO Mapping'!S$4,$AJ51*$AD$29,0), IF('CO-PO Mapping'!S$5,$AK51*$AE$29,0), IF('CO-PO Mapping'!S$6,$AL51*$AF$29,0), IF('CO-PO Mapping'!S$7,$AM51*$AG$29,0)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IF('CO-PO Mapping'!S$6, IF(OR($AR51="-",SUM(IF('CO-PO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IF('CO-PO Mapping'!S$7, IF(OR($AS51="-",SUM(IF('CO-PO Mapping'!S$2,$AB$29,0),IF('CO-PO Mapping'!S$3,$AC$29,0),IF('CO-PO Mapping'!S$4,$AD$29,0),IF('CO-PO Mapping'!S$5,$AE$29,0),IF('CO-PO Mapping'!S$6,$AF$29,0),IF('CO-PO Mapping'!S$7,$AG$29,0))=0), "-", IF(SUM(IF('CO-PO Mapping'!S$2,$AH51*$AB$29,0),IF('CO-PO Mapping'!S$3,$AI51*$AC$29,0),IF('CO-PO Mapping'!S$4,$AJ51*$AD$29,0),IF('CO-PO Mapping'!S$5,$AK51*$AE$29,0),IF('CO-PO Mapping'!S$6,$AL51*$AF$29,0),IF('CO-PO Mapping'!S$7,$AM51*$AG$29,0))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1" s="95" t="str">
        <f>IF('CO-PO Mapping'!T$2, IF(OR($AN51="-",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IF(OR($AP51="-", SUM( IF('CO-PO Mapping'!T$2,$AB$29,0), IF('CO-PO Mapping'!T$3,$AC$29,0), IF('CO-PO Mapping'!T$4,$AD$29,0), IF('CO-PO Mapping'!T$5,$AE$29,0), IF('CO-PO Mapping'!T$6,$AF$29,0), IF('CO-PO Mapping'!T$7,$AG$29,0) )=0), "-", IF( SUM( IF('CO-PO Mapping'!T$2,$AH51*$AB$29,0), IF('CO-PO Mapping'!T$3,$AI51*$AC$29,0), IF('CO-PO Mapping'!T$4,$AJ51*$AD$29,0), IF('CO-PO Mapping'!T$5,$AK51*$AE$29,0), IF('CO-PO Mapping'!T$6,$AL51*$AF$29,0), IF('CO-PO Mapping'!T$7,$AM51*$AG$29,0)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IF('CO-PO Mapping'!T$6, IF(OR($AR51="-",SUM(IF('CO-PO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IF('CO-PO Mapping'!T$7, IF(OR($AS51="-",SUM(IF('CO-PO Mapping'!T$2,$AB$29,0),IF('CO-PO Mapping'!T$3,$AC$29,0),IF('CO-PO Mapping'!T$4,$AD$29,0),IF('CO-PO Mapping'!T$5,$AE$29,0),IF('CO-PO Mapping'!T$6,$AF$29,0),IF('CO-PO Mapping'!T$7,$AG$29,0))=0), "-", IF(SUM(IF('CO-PO Mapping'!T$2,$AH51*$AB$29,0),IF('CO-PO Mapping'!T$3,$AI51*$AC$29,0),IF('CO-PO Mapping'!T$4,$AJ51*$AD$29,0),IF('CO-PO Mapping'!T$5,$AK51*$AE$29,0),IF('CO-PO Mapping'!T$6,$AL51*$AF$29,0),IF('CO-PO Mapping'!T$7,$AM51*$AG$29,0))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1" s="95" t="str">
        <f>IF('CO-PO Mapping'!U$2, IF(OR($AN51="-",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IF(OR($AP51="-", SUM( IF('CO-PO Mapping'!U$2,$AB$29,0), IF('CO-PO Mapping'!U$3,$AC$29,0), IF('CO-PO Mapping'!U$4,$AD$29,0), IF('CO-PO Mapping'!U$5,$AE$29,0), IF('CO-PO Mapping'!U$6,$AF$29,0), IF('CO-PO Mapping'!U$7,$AG$29,0) )=0), "-", IF( SUM( IF('CO-PO Mapping'!U$2,$AH51*$AB$29,0), IF('CO-PO Mapping'!U$3,$AI51*$AC$29,0), IF('CO-PO Mapping'!U$4,$AJ51*$AD$29,0), IF('CO-PO Mapping'!U$5,$AK51*$AE$29,0), IF('CO-PO Mapping'!U$6,$AL51*$AF$29,0), IF('CO-PO Mapping'!U$7,$AM51*$AG$29,0)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IF('CO-PO Mapping'!U$6, IF(OR($AR51="-",SUM(IF('CO-PO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IF('CO-PO Mapping'!U$7, IF(OR($AS51="-",SUM(IF('CO-PO Mapping'!U$2,$AB$29,0),IF('CO-PO Mapping'!U$3,$AC$29,0),IF('CO-PO Mapping'!U$4,$AD$29,0),IF('CO-PO Mapping'!U$5,$AE$29,0),IF('CO-PO Mapping'!U$6,$AF$29,0),IF('CO-PO Mapping'!U$7,$AG$29,0))=0), "-", IF(SUM(IF('CO-PO Mapping'!U$2,$AH51*$AB$29,0),IF('CO-PO Mapping'!U$3,$AI51*$AC$29,0),IF('CO-PO Mapping'!U$4,$AJ51*$AD$29,0),IF('CO-PO Mapping'!U$5,$AK51*$AE$29,0),IF('CO-PO Mapping'!U$6,$AL51*$AF$29,0),IF('CO-PO Mapping'!U$7,$AM51*$AG$29,0))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1" s="95" t="str">
        <f>IF('CO-PO Mapping'!V$2, IF(OR($AN51="-",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IF(OR($AP51="-", SUM( IF('CO-PO Mapping'!V$2,$AB$29,0), IF('CO-PO Mapping'!V$3,$AC$29,0), IF('CO-PO Mapping'!V$4,$AD$29,0), IF('CO-PO Mapping'!V$5,$AE$29,0), IF('CO-PO Mapping'!V$6,$AF$29,0), IF('CO-PO Mapping'!V$7,$AG$29,0) )=0), "-", IF( SUM( IF('CO-PO Mapping'!V$2,$AH51*$AB$29,0), IF('CO-PO Mapping'!V$3,$AI51*$AC$29,0), IF('CO-PO Mapping'!V$4,$AJ51*$AD$29,0), IF('CO-PO Mapping'!V$5,$AK51*$AE$29,0), IF('CO-PO Mapping'!V$6,$AL51*$AF$29,0), IF('CO-PO Mapping'!V$7,$AM51*$AG$29,0)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IF('CO-PO Mapping'!V$6, IF(OR($AR51="-",SUM(IF('CO-PO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IF('CO-PO Mapping'!V$7, IF(OR($AS51="-",SUM(IF('CO-PO Mapping'!V$2,$AB$29,0),IF('CO-PO Mapping'!V$3,$AC$29,0),IF('CO-PO Mapping'!V$4,$AD$29,0),IF('CO-PO Mapping'!V$5,$AE$29,0),IF('CO-PO Mapping'!V$6,$AF$29,0),IF('CO-PO Mapping'!V$7,$AG$29,0))=0), "-", IF(SUM(IF('CO-PO Mapping'!V$2,$AH51*$AB$29,0),IF('CO-PO Mapping'!V$3,$AI51*$AC$29,0),IF('CO-PO Mapping'!V$4,$AJ51*$AD$29,0),IF('CO-PO Mapping'!V$5,$AK51*$AE$29,0),IF('CO-PO Mapping'!V$6,$AL51*$AF$29,0),IF('CO-PO Mapping'!V$7,$AM51*$AG$29,0))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1" s="95" t="str">
        <f>IF('CO-PO Mapping'!W$2, IF(OR($AN51="-",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IF(OR($AP51="-", SUM( IF('CO-PO Mapping'!W$2,$AB$29,0), IF('CO-PO Mapping'!W$3,$AC$29,0), IF('CO-PO Mapping'!W$4,$AD$29,0), IF('CO-PO Mapping'!W$5,$AE$29,0), IF('CO-PO Mapping'!W$6,$AF$29,0), IF('CO-PO Mapping'!W$7,$AG$29,0) )=0), "-", IF( SUM( IF('CO-PO Mapping'!W$2,$AH51*$AB$29,0), IF('CO-PO Mapping'!W$3,$AI51*$AC$29,0), IF('CO-PO Mapping'!W$4,$AJ51*$AD$29,0), IF('CO-PO Mapping'!W$5,$AK51*$AE$29,0), IF('CO-PO Mapping'!W$6,$AL51*$AF$29,0), IF('CO-PO Mapping'!W$7,$AM51*$AG$29,0)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IF('CO-PO Mapping'!W$6, IF(OR($AR51="-",SUM(IF('CO-PO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IF('CO-PO Mapping'!W$7, IF(OR($AS51="-",SUM(IF('CO-PO Mapping'!W$2,$AB$29,0),IF('CO-PO Mapping'!W$3,$AC$29,0),IF('CO-PO Mapping'!W$4,$AD$29,0),IF('CO-PO Mapping'!W$5,$AE$29,0),IF('CO-PO Mapping'!W$6,$AF$29,0),IF('CO-PO Mapping'!W$7,$AG$29,0))=0), "-", IF(SUM(IF('CO-PO Mapping'!W$2,$AH51*$AB$29,0),IF('CO-PO Mapping'!W$3,$AI51*$AC$29,0),IF('CO-PO Mapping'!W$4,$AJ51*$AD$29,0),IF('CO-PO Mapping'!W$5,$AK51*$AE$29,0),IF('CO-PO Mapping'!W$6,$AL51*$AF$29,0),IF('CO-PO Mapping'!W$7,$AM51*$AG$29,0))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1" s="95" t="str">
        <f>IF('CO-PO Mapping'!X$2, IF(OR($AN51="-",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IF(OR($AP51="-", SUM( IF('CO-PO Mapping'!X$2,$AB$29,0), IF('CO-PO Mapping'!X$3,$AC$29,0), IF('CO-PO Mapping'!X$4,$AD$29,0), IF('CO-PO Mapping'!X$5,$AE$29,0), IF('CO-PO Mapping'!X$6,$AF$29,0), IF('CO-PO Mapping'!X$7,$AG$29,0) )=0), "-", IF( SUM( IF('CO-PO Mapping'!X$2,$AH51*$AB$29,0), IF('CO-PO Mapping'!X$3,$AI51*$AC$29,0), IF('CO-PO Mapping'!X$4,$AJ51*$AD$29,0), IF('CO-PO Mapping'!X$5,$AK51*$AE$29,0), IF('CO-PO Mapping'!X$6,$AL51*$AF$29,0), IF('CO-PO Mapping'!X$7,$AM51*$AG$29,0)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IF('CO-PO Mapping'!X$6, IF(OR($AR51="-",SUM(IF('CO-PO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IF('CO-PO Mapping'!X$7, IF(OR($AS51="-",SUM(IF('CO-PO Mapping'!X$2,$AB$29,0),IF('CO-PO Mapping'!X$3,$AC$29,0),IF('CO-PO Mapping'!X$4,$AD$29,0),IF('CO-PO Mapping'!X$5,$AE$29,0),IF('CO-PO Mapping'!X$6,$AF$29,0),IF('CO-PO Mapping'!X$7,$AG$29,0))=0), "-", IF(SUM(IF('CO-PO Mapping'!X$2,$AH51*$AB$29,0),IF('CO-PO Mapping'!X$3,$AI51*$AC$29,0),IF('CO-PO Mapping'!X$4,$AJ51*$AD$29,0),IF('CO-PO Mapping'!X$5,$AK51*$AE$29,0),IF('CO-PO Mapping'!X$6,$AL51*$AF$29,0),IF('CO-PO Mapping'!X$7,$AM51*$AG$29,0))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1" s="95" t="str">
        <f>IF('CO-PO Mapping'!Y$2, IF(OR($AN51="-",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IF(OR($AP51="-", SUM( IF('CO-PO Mapping'!Y$2,$AB$29,0), IF('CO-PO Mapping'!Y$3,$AC$29,0), IF('CO-PO Mapping'!Y$4,$AD$29,0), IF('CO-PO Mapping'!Y$5,$AE$29,0), IF('CO-PO Mapping'!Y$6,$AF$29,0), IF('CO-PO Mapping'!Y$7,$AG$29,0) )=0), "-", IF( SUM( IF('CO-PO Mapping'!Y$2,$AH51*$AB$29,0), IF('CO-PO Mapping'!Y$3,$AI51*$AC$29,0), IF('CO-PO Mapping'!Y$4,$AJ51*$AD$29,0), IF('CO-PO Mapping'!Y$5,$AK51*$AE$29,0), IF('CO-PO Mapping'!Y$6,$AL51*$AF$29,0), IF('CO-PO Mapping'!Y$7,$AM51*$AG$29,0)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IF('CO-PO Mapping'!Y$6, IF(OR($AR51="-",SUM(IF('CO-PO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IF('CO-PO Mapping'!Y$7, IF(OR($AS51="-",SUM(IF('CO-PO Mapping'!Y$2,$AB$29,0),IF('CO-PO Mapping'!Y$3,$AC$29,0),IF('CO-PO Mapping'!Y$4,$AD$29,0),IF('CO-PO Mapping'!Y$5,$AE$29,0),IF('CO-PO Mapping'!Y$6,$AF$29,0),IF('CO-PO Mapping'!Y$7,$AG$29,0))=0), "-", IF(SUM(IF('CO-PO Mapping'!Y$2,$AH51*$AB$29,0),IF('CO-PO Mapping'!Y$3,$AI51*$AC$29,0),IF('CO-PO Mapping'!Y$4,$AJ51*$AD$29,0),IF('CO-PO Mapping'!Y$5,$AK51*$AE$29,0),IF('CO-PO Mapping'!Y$6,$AL51*$AF$29,0),IF('CO-PO Mapping'!Y$7,$AM51*$AG$29,0))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1" s="95" t="str">
        <f>IF('CO-PO Mapping'!Z$2, IF(OR($AN51="-",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IF(OR($AP51="-", SUM( IF('CO-PO Mapping'!Z$2,$AB$29,0), IF('CO-PO Mapping'!Z$3,$AC$29,0), IF('CO-PO Mapping'!Z$4,$AD$29,0), IF('CO-PO Mapping'!Z$5,$AE$29,0), IF('CO-PO Mapping'!Z$6,$AF$29,0), IF('CO-PO Mapping'!Z$7,$AG$29,0) )=0), "-", IF( SUM( IF('CO-PO Mapping'!Z$2,$AH51*$AB$29,0), IF('CO-PO Mapping'!Z$3,$AI51*$AC$29,0), IF('CO-PO Mapping'!Z$4,$AJ51*$AD$29,0), IF('CO-PO Mapping'!Z$5,$AK51*$AE$29,0), IF('CO-PO Mapping'!Z$6,$AL51*$AF$29,0), IF('CO-PO Mapping'!Z$7,$AM51*$AG$29,0)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IF('CO-PO Mapping'!Z$6, IF(OR($AR51="-",SUM(IF('CO-PO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IF('CO-PO Mapping'!Z$7, IF(OR($AS51="-",SUM(IF('CO-PO Mapping'!Z$2,$AB$29,0),IF('CO-PO Mapping'!Z$3,$AC$29,0),IF('CO-PO Mapping'!Z$4,$AD$29,0),IF('CO-PO Mapping'!Z$5,$AE$29,0),IF('CO-PO Mapping'!Z$6,$AF$29,0),IF('CO-PO Mapping'!Z$7,$AG$29,0))=0), "-", IF(SUM(IF('CO-PO Mapping'!Z$2,$AH51*$AB$29,0),IF('CO-PO Mapping'!Z$3,$AI51*$AC$29,0),IF('CO-PO Mapping'!Z$4,$AJ51*$AD$29,0),IF('CO-PO Mapping'!Z$5,$AK51*$AE$29,0),IF('CO-PO Mapping'!Z$6,$AL51*$AF$29,0),IF('CO-PO Mapping'!Z$7,$AM51*$AG$29,0))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2" spans="1:57" ht="15" customHeight="1" thickBot="1">
      <c r="A52" s="117">
        <v>22235103184</v>
      </c>
      <c r="B52" s="118" t="s">
        <v>169</v>
      </c>
      <c r="C52" s="70">
        <v>4</v>
      </c>
      <c r="D52" s="71"/>
      <c r="E52" s="71">
        <v>20</v>
      </c>
      <c r="F52" s="71"/>
      <c r="G52" s="71"/>
      <c r="H52" s="103">
        <f t="shared" si="2"/>
        <v>24</v>
      </c>
      <c r="I52" s="75">
        <v>8</v>
      </c>
      <c r="J52" s="75">
        <v>7</v>
      </c>
      <c r="K52" s="75">
        <v>4</v>
      </c>
      <c r="L52" s="75"/>
      <c r="M52" s="75"/>
      <c r="N52" s="75"/>
      <c r="O52" s="105">
        <f t="shared" si="3"/>
        <v>19</v>
      </c>
      <c r="P52" s="75">
        <v>15</v>
      </c>
      <c r="Q52" s="75">
        <v>13</v>
      </c>
      <c r="R52" s="75"/>
      <c r="S52" s="75"/>
      <c r="T52" s="75"/>
      <c r="U52" s="75"/>
      <c r="V52" s="104">
        <f t="shared" si="4"/>
        <v>28</v>
      </c>
      <c r="W52" s="83">
        <f t="shared" si="5"/>
        <v>71</v>
      </c>
      <c r="X52" s="98" t="str">
        <f t="shared" si="10"/>
        <v>A (Minus)</v>
      </c>
      <c r="Y52" s="47"/>
      <c r="Z52" s="42">
        <f t="shared" si="6"/>
        <v>22235103184</v>
      </c>
      <c r="AA52" s="43" t="str">
        <f t="shared" si="7"/>
        <v>Jannatul Mahjabin Mithi</v>
      </c>
      <c r="AB52" s="90">
        <f t="shared" si="11"/>
        <v>32</v>
      </c>
      <c r="AC52" s="90">
        <f t="shared" si="11"/>
        <v>22</v>
      </c>
      <c r="AD52" s="90">
        <f t="shared" si="11"/>
        <v>17</v>
      </c>
      <c r="AE52" s="90">
        <f t="shared" si="11"/>
        <v>0</v>
      </c>
      <c r="AF52" s="90">
        <f t="shared" si="11"/>
        <v>0</v>
      </c>
      <c r="AG52" s="90">
        <f t="shared" si="25"/>
        <v>0</v>
      </c>
      <c r="AH52" s="92">
        <f t="shared" si="12"/>
        <v>80</v>
      </c>
      <c r="AI52" s="92">
        <f t="shared" si="13"/>
        <v>73.333333333333329</v>
      </c>
      <c r="AJ52" s="92">
        <f t="shared" si="14"/>
        <v>56.666666666666664</v>
      </c>
      <c r="AK52" s="92">
        <f t="shared" si="22"/>
        <v>0</v>
      </c>
      <c r="AL52" s="92">
        <f t="shared" si="15"/>
        <v>0</v>
      </c>
      <c r="AM52" s="92">
        <f t="shared" si="16"/>
        <v>0</v>
      </c>
      <c r="AN52" s="93" t="str">
        <f t="shared" si="23"/>
        <v>Y</v>
      </c>
      <c r="AO52" s="93" t="str">
        <f t="shared" si="17"/>
        <v>Y</v>
      </c>
      <c r="AP52" s="93" t="str">
        <f t="shared" si="18"/>
        <v>Y</v>
      </c>
      <c r="AQ52" s="93" t="str">
        <f t="shared" si="19"/>
        <v>N</v>
      </c>
      <c r="AR52" s="93" t="str">
        <f t="shared" si="20"/>
        <v>N</v>
      </c>
      <c r="AS52" s="93" t="str">
        <f t="shared" si="21"/>
        <v>N</v>
      </c>
      <c r="AT52" s="95" t="str">
        <f>IF('CO-PO Mapping'!O$2, IF(OR($AN52="-",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IF(OR($AP52="-", SUM( IF('CO-PO Mapping'!O$2,$AB$29,0), IF('CO-PO Mapping'!O$3,$AC$29,0), IF('CO-PO Mapping'!O$4,$AD$29,0), IF('CO-PO Mapping'!O$5,$AE$29,0), IF('CO-PO Mapping'!O$6,$AF$29,0), IF('CO-PO Mapping'!O$7,$AG$29,0) )=0), "-", IF( SUM( IF('CO-PO Mapping'!O$2,$AH52*$AB$29,0), IF('CO-PO Mapping'!O$3,$AI52*$AC$29,0), IF('CO-PO Mapping'!O$4,$AJ52*$AD$29,0), IF('CO-PO Mapping'!O$5,$AK52*$AE$29,0), IF('CO-PO Mapping'!O$6,$AL52*$AF$29,0), IF('CO-PO Mapping'!O$7,$AM52*$AG$29,0)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IF('CO-PO Mapping'!O$6, IF(OR($AR52="-",SUM(IF('CO-PO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IF('CO-PO Mapping'!O$7, IF(OR($AS52="-",SUM(IF('CO-PO Mapping'!O$2,$AB$29,0),IF('CO-PO Mapping'!O$3,$AC$29,0),IF('CO-PO Mapping'!O$4,$AD$29,0),IF('CO-PO Mapping'!O$5,$AE$29,0),IF('CO-PO Mapping'!O$6,$AF$29,0),IF('CO-PO Mapping'!O$7,$AG$29,0))=0), "-", IF(SUM(IF('CO-PO Mapping'!O$2,$AH52*$AB$29,0),IF('CO-PO Mapping'!O$3,$AI52*$AC$29,0),IF('CO-PO Mapping'!O$4,$AJ52*$AD$29,0),IF('CO-PO Mapping'!O$5,$AK52*$AE$29,0),IF('CO-PO Mapping'!O$6,$AL52*$AF$29,0),IF('CO-PO Mapping'!O$7,$AM52*$AG$29,0))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2" s="95" t="str">
        <f>IF('CO-PO Mapping'!P$2, IF(OR($AN52="-",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IF(OR($AP52="-", SUM( IF('CO-PO Mapping'!P$2,$AB$29,0), IF('CO-PO Mapping'!P$3,$AC$29,0), IF('CO-PO Mapping'!P$4,$AD$29,0), IF('CO-PO Mapping'!P$5,$AE$29,0), IF('CO-PO Mapping'!P$6,$AF$29,0), IF('CO-PO Mapping'!P$7,$AG$29,0) )=0), "-", IF( SUM( IF('CO-PO Mapping'!P$2,$AH52*$AB$29,0), IF('CO-PO Mapping'!P$3,$AI52*$AC$29,0), IF('CO-PO Mapping'!P$4,$AJ52*$AD$29,0), IF('CO-PO Mapping'!P$5,$AK52*$AE$29,0), IF('CO-PO Mapping'!P$6,$AL52*$AF$29,0), IF('CO-PO Mapping'!P$7,$AM52*$AG$29,0)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IF('CO-PO Mapping'!P$6, IF(OR($AR52="-",SUM(IF('CO-PO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IF('CO-PO Mapping'!P$7, IF(OR($AS52="-",SUM(IF('CO-PO Mapping'!P$2,$AB$29,0),IF('CO-PO Mapping'!P$3,$AC$29,0),IF('CO-PO Mapping'!P$4,$AD$29,0),IF('CO-PO Mapping'!P$5,$AE$29,0),IF('CO-PO Mapping'!P$6,$AF$29,0),IF('CO-PO Mapping'!P$7,$AG$29,0))=0), "-", IF(SUM(IF('CO-PO Mapping'!P$2,$AH52*$AB$29,0),IF('CO-PO Mapping'!P$3,$AI52*$AC$29,0),IF('CO-PO Mapping'!P$4,$AJ52*$AD$29,0),IF('CO-PO Mapping'!P$5,$AK52*$AE$29,0),IF('CO-PO Mapping'!P$6,$AL52*$AF$29,0),IF('CO-PO Mapping'!P$7,$AM52*$AG$29,0))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2" s="95" t="str">
        <f>IF('CO-PO Mapping'!Q$2, IF(OR($AN52="-",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IF(OR($AP52="-", SUM( IF('CO-PO Mapping'!Q$2,$AB$29,0), IF('CO-PO Mapping'!Q$3,$AC$29,0), IF('CO-PO Mapping'!Q$4,$AD$29,0), IF('CO-PO Mapping'!Q$5,$AE$29,0), IF('CO-PO Mapping'!Q$6,$AF$29,0), IF('CO-PO Mapping'!Q$7,$AG$29,0) )=0), "-", IF( SUM( IF('CO-PO Mapping'!Q$2,$AH52*$AB$29,0), IF('CO-PO Mapping'!Q$3,$AI52*$AC$29,0), IF('CO-PO Mapping'!Q$4,$AJ52*$AD$29,0), IF('CO-PO Mapping'!Q$5,$AK52*$AE$29,0), IF('CO-PO Mapping'!Q$6,$AL52*$AF$29,0), IF('CO-PO Mapping'!Q$7,$AM52*$AG$29,0)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IF('CO-PO Mapping'!Q$6, IF(OR($AR52="-",SUM(IF('CO-PO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IF('CO-PO Mapping'!Q$7, IF(OR($AS52="-",SUM(IF('CO-PO Mapping'!Q$2,$AB$29,0),IF('CO-PO Mapping'!Q$3,$AC$29,0),IF('CO-PO Mapping'!Q$4,$AD$29,0),IF('CO-PO Mapping'!Q$5,$AE$29,0),IF('CO-PO Mapping'!Q$6,$AF$29,0),IF('CO-PO Mapping'!Q$7,$AG$29,0))=0), "-", IF(SUM(IF('CO-PO Mapping'!Q$2,$AH52*$AB$29,0),IF('CO-PO Mapping'!Q$3,$AI52*$AC$29,0),IF('CO-PO Mapping'!Q$4,$AJ52*$AD$29,0),IF('CO-PO Mapping'!Q$5,$AK52*$AE$29,0),IF('CO-PO Mapping'!Q$6,$AL52*$AF$29,0),IF('CO-PO Mapping'!Q$7,$AM52*$AG$29,0))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2" s="95" t="str">
        <f>IF('CO-PO Mapping'!R$2, IF(OR($AN52="-",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IF(OR($AP52="-", SUM( IF('CO-PO Mapping'!R$2,$AB$29,0), IF('CO-PO Mapping'!R$3,$AC$29,0), IF('CO-PO Mapping'!R$4,$AD$29,0), IF('CO-PO Mapping'!R$5,$AE$29,0), IF('CO-PO Mapping'!R$6,$AF$29,0), IF('CO-PO Mapping'!R$7,$AG$29,0) )=0), "-", IF( SUM( IF('CO-PO Mapping'!R$2,$AH52*$AB$29,0), IF('CO-PO Mapping'!R$3,$AI52*$AC$29,0), IF('CO-PO Mapping'!R$4,$AJ52*$AD$29,0), IF('CO-PO Mapping'!R$5,$AK52*$AE$29,0), IF('CO-PO Mapping'!R$6,$AL52*$AF$29,0), IF('CO-PO Mapping'!R$7,$AM52*$AG$29,0)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IF('CO-PO Mapping'!R$6, IF(OR($AR52="-",SUM(IF('CO-PO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IF('CO-PO Mapping'!R$7, IF(OR($AS52="-",SUM(IF('CO-PO Mapping'!R$2,$AB$29,0),IF('CO-PO Mapping'!R$3,$AC$29,0),IF('CO-PO Mapping'!R$4,$AD$29,0),IF('CO-PO Mapping'!R$5,$AE$29,0),IF('CO-PO Mapping'!R$6,$AF$29,0),IF('CO-PO Mapping'!R$7,$AG$29,0))=0), "-", IF(SUM(IF('CO-PO Mapping'!R$2,$AH52*$AB$29,0),IF('CO-PO Mapping'!R$3,$AI52*$AC$29,0),IF('CO-PO Mapping'!R$4,$AJ52*$AD$29,0),IF('CO-PO Mapping'!R$5,$AK52*$AE$29,0),IF('CO-PO Mapping'!R$6,$AL52*$AF$29,0),IF('CO-PO Mapping'!R$7,$AM52*$AG$29,0))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2" s="95" t="str">
        <f>IF('CO-PO Mapping'!S$2, IF(OR($AN52="-",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IF(OR($AP52="-", SUM( IF('CO-PO Mapping'!S$2,$AB$29,0), IF('CO-PO Mapping'!S$3,$AC$29,0), IF('CO-PO Mapping'!S$4,$AD$29,0), IF('CO-PO Mapping'!S$5,$AE$29,0), IF('CO-PO Mapping'!S$6,$AF$29,0), IF('CO-PO Mapping'!S$7,$AG$29,0) )=0), "-", IF( SUM( IF('CO-PO Mapping'!S$2,$AH52*$AB$29,0), IF('CO-PO Mapping'!S$3,$AI52*$AC$29,0), IF('CO-PO Mapping'!S$4,$AJ52*$AD$29,0), IF('CO-PO Mapping'!S$5,$AK52*$AE$29,0), IF('CO-PO Mapping'!S$6,$AL52*$AF$29,0), IF('CO-PO Mapping'!S$7,$AM52*$AG$29,0)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IF('CO-PO Mapping'!S$6, IF(OR($AR52="-",SUM(IF('CO-PO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IF('CO-PO Mapping'!S$7, IF(OR($AS52="-",SUM(IF('CO-PO Mapping'!S$2,$AB$29,0),IF('CO-PO Mapping'!S$3,$AC$29,0),IF('CO-PO Mapping'!S$4,$AD$29,0),IF('CO-PO Mapping'!S$5,$AE$29,0),IF('CO-PO Mapping'!S$6,$AF$29,0),IF('CO-PO Mapping'!S$7,$AG$29,0))=0), "-", IF(SUM(IF('CO-PO Mapping'!S$2,$AH52*$AB$29,0),IF('CO-PO Mapping'!S$3,$AI52*$AC$29,0),IF('CO-PO Mapping'!S$4,$AJ52*$AD$29,0),IF('CO-PO Mapping'!S$5,$AK52*$AE$29,0),IF('CO-PO Mapping'!S$6,$AL52*$AF$29,0),IF('CO-PO Mapping'!S$7,$AM52*$AG$29,0))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2" s="95" t="str">
        <f>IF('CO-PO Mapping'!T$2, IF(OR($AN52="-",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IF(OR($AP52="-", SUM( IF('CO-PO Mapping'!T$2,$AB$29,0), IF('CO-PO Mapping'!T$3,$AC$29,0), IF('CO-PO Mapping'!T$4,$AD$29,0), IF('CO-PO Mapping'!T$5,$AE$29,0), IF('CO-PO Mapping'!T$6,$AF$29,0), IF('CO-PO Mapping'!T$7,$AG$29,0) )=0), "-", IF( SUM( IF('CO-PO Mapping'!T$2,$AH52*$AB$29,0), IF('CO-PO Mapping'!T$3,$AI52*$AC$29,0), IF('CO-PO Mapping'!T$4,$AJ52*$AD$29,0), IF('CO-PO Mapping'!T$5,$AK52*$AE$29,0), IF('CO-PO Mapping'!T$6,$AL52*$AF$29,0), IF('CO-PO Mapping'!T$7,$AM52*$AG$29,0)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IF('CO-PO Mapping'!T$6, IF(OR($AR52="-",SUM(IF('CO-PO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IF('CO-PO Mapping'!T$7, IF(OR($AS52="-",SUM(IF('CO-PO Mapping'!T$2,$AB$29,0),IF('CO-PO Mapping'!T$3,$AC$29,0),IF('CO-PO Mapping'!T$4,$AD$29,0),IF('CO-PO Mapping'!T$5,$AE$29,0),IF('CO-PO Mapping'!T$6,$AF$29,0),IF('CO-PO Mapping'!T$7,$AG$29,0))=0), "-", IF(SUM(IF('CO-PO Mapping'!T$2,$AH52*$AB$29,0),IF('CO-PO Mapping'!T$3,$AI52*$AC$29,0),IF('CO-PO Mapping'!T$4,$AJ52*$AD$29,0),IF('CO-PO Mapping'!T$5,$AK52*$AE$29,0),IF('CO-PO Mapping'!T$6,$AL52*$AF$29,0),IF('CO-PO Mapping'!T$7,$AM52*$AG$29,0))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2" s="95" t="str">
        <f>IF('CO-PO Mapping'!U$2, IF(OR($AN52="-",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IF(OR($AP52="-", SUM( IF('CO-PO Mapping'!U$2,$AB$29,0), IF('CO-PO Mapping'!U$3,$AC$29,0), IF('CO-PO Mapping'!U$4,$AD$29,0), IF('CO-PO Mapping'!U$5,$AE$29,0), IF('CO-PO Mapping'!U$6,$AF$29,0), IF('CO-PO Mapping'!U$7,$AG$29,0) )=0), "-", IF( SUM( IF('CO-PO Mapping'!U$2,$AH52*$AB$29,0), IF('CO-PO Mapping'!U$3,$AI52*$AC$29,0), IF('CO-PO Mapping'!U$4,$AJ52*$AD$29,0), IF('CO-PO Mapping'!U$5,$AK52*$AE$29,0), IF('CO-PO Mapping'!U$6,$AL52*$AF$29,0), IF('CO-PO Mapping'!U$7,$AM52*$AG$29,0)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IF('CO-PO Mapping'!U$6, IF(OR($AR52="-",SUM(IF('CO-PO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IF('CO-PO Mapping'!U$7, IF(OR($AS52="-",SUM(IF('CO-PO Mapping'!U$2,$AB$29,0),IF('CO-PO Mapping'!U$3,$AC$29,0),IF('CO-PO Mapping'!U$4,$AD$29,0),IF('CO-PO Mapping'!U$5,$AE$29,0),IF('CO-PO Mapping'!U$6,$AF$29,0),IF('CO-PO Mapping'!U$7,$AG$29,0))=0), "-", IF(SUM(IF('CO-PO Mapping'!U$2,$AH52*$AB$29,0),IF('CO-PO Mapping'!U$3,$AI52*$AC$29,0),IF('CO-PO Mapping'!U$4,$AJ52*$AD$29,0),IF('CO-PO Mapping'!U$5,$AK52*$AE$29,0),IF('CO-PO Mapping'!U$6,$AL52*$AF$29,0),IF('CO-PO Mapping'!U$7,$AM52*$AG$29,0))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2" s="95" t="str">
        <f>IF('CO-PO Mapping'!V$2, IF(OR($AN52="-",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IF(OR($AP52="-", SUM( IF('CO-PO Mapping'!V$2,$AB$29,0), IF('CO-PO Mapping'!V$3,$AC$29,0), IF('CO-PO Mapping'!V$4,$AD$29,0), IF('CO-PO Mapping'!V$5,$AE$29,0), IF('CO-PO Mapping'!V$6,$AF$29,0), IF('CO-PO Mapping'!V$7,$AG$29,0) )=0), "-", IF( SUM( IF('CO-PO Mapping'!V$2,$AH52*$AB$29,0), IF('CO-PO Mapping'!V$3,$AI52*$AC$29,0), IF('CO-PO Mapping'!V$4,$AJ52*$AD$29,0), IF('CO-PO Mapping'!V$5,$AK52*$AE$29,0), IF('CO-PO Mapping'!V$6,$AL52*$AF$29,0), IF('CO-PO Mapping'!V$7,$AM52*$AG$29,0)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IF('CO-PO Mapping'!V$6, IF(OR($AR52="-",SUM(IF('CO-PO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IF('CO-PO Mapping'!V$7, IF(OR($AS52="-",SUM(IF('CO-PO Mapping'!V$2,$AB$29,0),IF('CO-PO Mapping'!V$3,$AC$29,0),IF('CO-PO Mapping'!V$4,$AD$29,0),IF('CO-PO Mapping'!V$5,$AE$29,0),IF('CO-PO Mapping'!V$6,$AF$29,0),IF('CO-PO Mapping'!V$7,$AG$29,0))=0), "-", IF(SUM(IF('CO-PO Mapping'!V$2,$AH52*$AB$29,0),IF('CO-PO Mapping'!V$3,$AI52*$AC$29,0),IF('CO-PO Mapping'!V$4,$AJ52*$AD$29,0),IF('CO-PO Mapping'!V$5,$AK52*$AE$29,0),IF('CO-PO Mapping'!V$6,$AL52*$AF$29,0),IF('CO-PO Mapping'!V$7,$AM52*$AG$29,0))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2" s="95" t="str">
        <f>IF('CO-PO Mapping'!W$2, IF(OR($AN52="-",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IF(OR($AP52="-", SUM( IF('CO-PO Mapping'!W$2,$AB$29,0), IF('CO-PO Mapping'!W$3,$AC$29,0), IF('CO-PO Mapping'!W$4,$AD$29,0), IF('CO-PO Mapping'!W$5,$AE$29,0), IF('CO-PO Mapping'!W$6,$AF$29,0), IF('CO-PO Mapping'!W$7,$AG$29,0) )=0), "-", IF( SUM( IF('CO-PO Mapping'!W$2,$AH52*$AB$29,0), IF('CO-PO Mapping'!W$3,$AI52*$AC$29,0), IF('CO-PO Mapping'!W$4,$AJ52*$AD$29,0), IF('CO-PO Mapping'!W$5,$AK52*$AE$29,0), IF('CO-PO Mapping'!W$6,$AL52*$AF$29,0), IF('CO-PO Mapping'!W$7,$AM52*$AG$29,0)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IF('CO-PO Mapping'!W$6, IF(OR($AR52="-",SUM(IF('CO-PO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IF('CO-PO Mapping'!W$7, IF(OR($AS52="-",SUM(IF('CO-PO Mapping'!W$2,$AB$29,0),IF('CO-PO Mapping'!W$3,$AC$29,0),IF('CO-PO Mapping'!W$4,$AD$29,0),IF('CO-PO Mapping'!W$5,$AE$29,0),IF('CO-PO Mapping'!W$6,$AF$29,0),IF('CO-PO Mapping'!W$7,$AG$29,0))=0), "-", IF(SUM(IF('CO-PO Mapping'!W$2,$AH52*$AB$29,0),IF('CO-PO Mapping'!W$3,$AI52*$AC$29,0),IF('CO-PO Mapping'!W$4,$AJ52*$AD$29,0),IF('CO-PO Mapping'!W$5,$AK52*$AE$29,0),IF('CO-PO Mapping'!W$6,$AL52*$AF$29,0),IF('CO-PO Mapping'!W$7,$AM52*$AG$29,0))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2" s="95" t="str">
        <f>IF('CO-PO Mapping'!X$2, IF(OR($AN52="-",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IF(OR($AP52="-", SUM( IF('CO-PO Mapping'!X$2,$AB$29,0), IF('CO-PO Mapping'!X$3,$AC$29,0), IF('CO-PO Mapping'!X$4,$AD$29,0), IF('CO-PO Mapping'!X$5,$AE$29,0), IF('CO-PO Mapping'!X$6,$AF$29,0), IF('CO-PO Mapping'!X$7,$AG$29,0) )=0), "-", IF( SUM( IF('CO-PO Mapping'!X$2,$AH52*$AB$29,0), IF('CO-PO Mapping'!X$3,$AI52*$AC$29,0), IF('CO-PO Mapping'!X$4,$AJ52*$AD$29,0), IF('CO-PO Mapping'!X$5,$AK52*$AE$29,0), IF('CO-PO Mapping'!X$6,$AL52*$AF$29,0), IF('CO-PO Mapping'!X$7,$AM52*$AG$29,0)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IF('CO-PO Mapping'!X$6, IF(OR($AR52="-",SUM(IF('CO-PO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IF('CO-PO Mapping'!X$7, IF(OR($AS52="-",SUM(IF('CO-PO Mapping'!X$2,$AB$29,0),IF('CO-PO Mapping'!X$3,$AC$29,0),IF('CO-PO Mapping'!X$4,$AD$29,0),IF('CO-PO Mapping'!X$5,$AE$29,0),IF('CO-PO Mapping'!X$6,$AF$29,0),IF('CO-PO Mapping'!X$7,$AG$29,0))=0), "-", IF(SUM(IF('CO-PO Mapping'!X$2,$AH52*$AB$29,0),IF('CO-PO Mapping'!X$3,$AI52*$AC$29,0),IF('CO-PO Mapping'!X$4,$AJ52*$AD$29,0),IF('CO-PO Mapping'!X$5,$AK52*$AE$29,0),IF('CO-PO Mapping'!X$6,$AL52*$AF$29,0),IF('CO-PO Mapping'!X$7,$AM52*$AG$29,0))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2" s="95" t="str">
        <f>IF('CO-PO Mapping'!Y$2, IF(OR($AN52="-",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IF(OR($AP52="-", SUM( IF('CO-PO Mapping'!Y$2,$AB$29,0), IF('CO-PO Mapping'!Y$3,$AC$29,0), IF('CO-PO Mapping'!Y$4,$AD$29,0), IF('CO-PO Mapping'!Y$5,$AE$29,0), IF('CO-PO Mapping'!Y$6,$AF$29,0), IF('CO-PO Mapping'!Y$7,$AG$29,0) )=0), "-", IF( SUM( IF('CO-PO Mapping'!Y$2,$AH52*$AB$29,0), IF('CO-PO Mapping'!Y$3,$AI52*$AC$29,0), IF('CO-PO Mapping'!Y$4,$AJ52*$AD$29,0), IF('CO-PO Mapping'!Y$5,$AK52*$AE$29,0), IF('CO-PO Mapping'!Y$6,$AL52*$AF$29,0), IF('CO-PO Mapping'!Y$7,$AM52*$AG$29,0)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IF('CO-PO Mapping'!Y$6, IF(OR($AR52="-",SUM(IF('CO-PO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IF('CO-PO Mapping'!Y$7, IF(OR($AS52="-",SUM(IF('CO-PO Mapping'!Y$2,$AB$29,0),IF('CO-PO Mapping'!Y$3,$AC$29,0),IF('CO-PO Mapping'!Y$4,$AD$29,0),IF('CO-PO Mapping'!Y$5,$AE$29,0),IF('CO-PO Mapping'!Y$6,$AF$29,0),IF('CO-PO Mapping'!Y$7,$AG$29,0))=0), "-", IF(SUM(IF('CO-PO Mapping'!Y$2,$AH52*$AB$29,0),IF('CO-PO Mapping'!Y$3,$AI52*$AC$29,0),IF('CO-PO Mapping'!Y$4,$AJ52*$AD$29,0),IF('CO-PO Mapping'!Y$5,$AK52*$AE$29,0),IF('CO-PO Mapping'!Y$6,$AL52*$AF$29,0),IF('CO-PO Mapping'!Y$7,$AM52*$AG$29,0))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2" s="95" t="str">
        <f>IF('CO-PO Mapping'!Z$2, IF(OR($AN52="-",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IF(OR($AP52="-", SUM( IF('CO-PO Mapping'!Z$2,$AB$29,0), IF('CO-PO Mapping'!Z$3,$AC$29,0), IF('CO-PO Mapping'!Z$4,$AD$29,0), IF('CO-PO Mapping'!Z$5,$AE$29,0), IF('CO-PO Mapping'!Z$6,$AF$29,0), IF('CO-PO Mapping'!Z$7,$AG$29,0) )=0), "-", IF( SUM( IF('CO-PO Mapping'!Z$2,$AH52*$AB$29,0), IF('CO-PO Mapping'!Z$3,$AI52*$AC$29,0), IF('CO-PO Mapping'!Z$4,$AJ52*$AD$29,0), IF('CO-PO Mapping'!Z$5,$AK52*$AE$29,0), IF('CO-PO Mapping'!Z$6,$AL52*$AF$29,0), IF('CO-PO Mapping'!Z$7,$AM52*$AG$29,0)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IF('CO-PO Mapping'!Z$6, IF(OR($AR52="-",SUM(IF('CO-PO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IF('CO-PO Mapping'!Z$7, IF(OR($AS52="-",SUM(IF('CO-PO Mapping'!Z$2,$AB$29,0),IF('CO-PO Mapping'!Z$3,$AC$29,0),IF('CO-PO Mapping'!Z$4,$AD$29,0),IF('CO-PO Mapping'!Z$5,$AE$29,0),IF('CO-PO Mapping'!Z$6,$AF$29,0),IF('CO-PO Mapping'!Z$7,$AG$29,0))=0), "-", IF(SUM(IF('CO-PO Mapping'!Z$2,$AH52*$AB$29,0),IF('CO-PO Mapping'!Z$3,$AI52*$AC$29,0),IF('CO-PO Mapping'!Z$4,$AJ52*$AD$29,0),IF('CO-PO Mapping'!Z$5,$AK52*$AE$29,0),IF('CO-PO Mapping'!Z$6,$AL52*$AF$29,0),IF('CO-PO Mapping'!Z$7,$AM52*$AG$29,0))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3" spans="1:57" ht="15" customHeight="1" thickBot="1">
      <c r="A53" s="110">
        <v>22235103227</v>
      </c>
      <c r="B53" s="111" t="s">
        <v>170</v>
      </c>
      <c r="C53" s="70">
        <v>4</v>
      </c>
      <c r="D53" s="70"/>
      <c r="E53" s="71">
        <v>20</v>
      </c>
      <c r="F53" s="70"/>
      <c r="G53" s="71"/>
      <c r="H53" s="103">
        <f t="shared" si="2"/>
        <v>24</v>
      </c>
      <c r="I53" s="75">
        <v>10</v>
      </c>
      <c r="J53" s="75">
        <v>10</v>
      </c>
      <c r="K53" s="75">
        <v>9</v>
      </c>
      <c r="L53" s="75"/>
      <c r="M53" s="75"/>
      <c r="N53" s="75"/>
      <c r="O53" s="105">
        <f t="shared" si="3"/>
        <v>29</v>
      </c>
      <c r="P53" s="75">
        <v>19</v>
      </c>
      <c r="Q53" s="75">
        <v>20</v>
      </c>
      <c r="R53" s="75"/>
      <c r="S53" s="75"/>
      <c r="T53" s="75"/>
      <c r="U53" s="75"/>
      <c r="V53" s="104">
        <f t="shared" si="4"/>
        <v>39</v>
      </c>
      <c r="W53" s="83">
        <f t="shared" si="5"/>
        <v>92</v>
      </c>
      <c r="X53" s="98" t="str">
        <f t="shared" si="10"/>
        <v>A (Plus)</v>
      </c>
      <c r="Y53" s="47"/>
      <c r="Z53" s="42">
        <f t="shared" si="6"/>
        <v>22235103227</v>
      </c>
      <c r="AA53" s="43" t="str">
        <f t="shared" si="7"/>
        <v>Sultan Ahmmed</v>
      </c>
      <c r="AB53" s="90">
        <f t="shared" si="11"/>
        <v>34</v>
      </c>
      <c r="AC53" s="90">
        <f t="shared" si="11"/>
        <v>29</v>
      </c>
      <c r="AD53" s="90">
        <f t="shared" si="11"/>
        <v>29</v>
      </c>
      <c r="AE53" s="90">
        <f t="shared" si="11"/>
        <v>0</v>
      </c>
      <c r="AF53" s="90">
        <f t="shared" si="11"/>
        <v>0</v>
      </c>
      <c r="AG53" s="90">
        <f t="shared" si="25"/>
        <v>0</v>
      </c>
      <c r="AH53" s="92">
        <f t="shared" si="12"/>
        <v>85</v>
      </c>
      <c r="AI53" s="92">
        <f t="shared" si="13"/>
        <v>96.666666666666671</v>
      </c>
      <c r="AJ53" s="92">
        <f t="shared" si="14"/>
        <v>96.666666666666671</v>
      </c>
      <c r="AK53" s="92">
        <f t="shared" si="22"/>
        <v>0</v>
      </c>
      <c r="AL53" s="92">
        <f t="shared" si="15"/>
        <v>0</v>
      </c>
      <c r="AM53" s="92">
        <f t="shared" si="16"/>
        <v>0</v>
      </c>
      <c r="AN53" s="93" t="str">
        <f t="shared" si="23"/>
        <v>Y</v>
      </c>
      <c r="AO53" s="93" t="str">
        <f t="shared" si="17"/>
        <v>Y</v>
      </c>
      <c r="AP53" s="93" t="str">
        <f t="shared" si="18"/>
        <v>Y</v>
      </c>
      <c r="AQ53" s="93" t="str">
        <f t="shared" si="19"/>
        <v>N</v>
      </c>
      <c r="AR53" s="93" t="str">
        <f t="shared" si="20"/>
        <v>N</v>
      </c>
      <c r="AS53" s="93" t="str">
        <f t="shared" si="21"/>
        <v>N</v>
      </c>
      <c r="AT53" s="95" t="str">
        <f>IF('CO-PO Mapping'!O$2, IF(OR($AN53="-",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IF(OR($AP53="-", SUM( IF('CO-PO Mapping'!O$2,$AB$29,0), IF('CO-PO Mapping'!O$3,$AC$29,0), IF('CO-PO Mapping'!O$4,$AD$29,0), IF('CO-PO Mapping'!O$5,$AE$29,0), IF('CO-PO Mapping'!O$6,$AF$29,0), IF('CO-PO Mapping'!O$7,$AG$29,0) )=0), "-", IF( SUM( IF('CO-PO Mapping'!O$2,$AH53*$AB$29,0), IF('CO-PO Mapping'!O$3,$AI53*$AC$29,0), IF('CO-PO Mapping'!O$4,$AJ53*$AD$29,0), IF('CO-PO Mapping'!O$5,$AK53*$AE$29,0), IF('CO-PO Mapping'!O$6,$AL53*$AF$29,0), IF('CO-PO Mapping'!O$7,$AM53*$AG$29,0)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IF('CO-PO Mapping'!O$6, IF(OR($AR53="-",SUM(IF('CO-PO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IF('CO-PO Mapping'!O$7, IF(OR($AS53="-",SUM(IF('CO-PO Mapping'!O$2,$AB$29,0),IF('CO-PO Mapping'!O$3,$AC$29,0),IF('CO-PO Mapping'!O$4,$AD$29,0),IF('CO-PO Mapping'!O$5,$AE$29,0),IF('CO-PO Mapping'!O$6,$AF$29,0),IF('CO-PO Mapping'!O$7,$AG$29,0))=0), "-", IF(SUM(IF('CO-PO Mapping'!O$2,$AH53*$AB$29,0),IF('CO-PO Mapping'!O$3,$AI53*$AC$29,0),IF('CO-PO Mapping'!O$4,$AJ53*$AD$29,0),IF('CO-PO Mapping'!O$5,$AK53*$AE$29,0),IF('CO-PO Mapping'!O$6,$AL53*$AF$29,0),IF('CO-PO Mapping'!O$7,$AM53*$AG$29,0))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3" s="95" t="str">
        <f>IF('CO-PO Mapping'!P$2, IF(OR($AN53="-",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IF(OR($AP53="-", SUM( IF('CO-PO Mapping'!P$2,$AB$29,0), IF('CO-PO Mapping'!P$3,$AC$29,0), IF('CO-PO Mapping'!P$4,$AD$29,0), IF('CO-PO Mapping'!P$5,$AE$29,0), IF('CO-PO Mapping'!P$6,$AF$29,0), IF('CO-PO Mapping'!P$7,$AG$29,0) )=0), "-", IF( SUM( IF('CO-PO Mapping'!P$2,$AH53*$AB$29,0), IF('CO-PO Mapping'!P$3,$AI53*$AC$29,0), IF('CO-PO Mapping'!P$4,$AJ53*$AD$29,0), IF('CO-PO Mapping'!P$5,$AK53*$AE$29,0), IF('CO-PO Mapping'!P$6,$AL53*$AF$29,0), IF('CO-PO Mapping'!P$7,$AM53*$AG$29,0)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IF('CO-PO Mapping'!P$6, IF(OR($AR53="-",SUM(IF('CO-PO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IF('CO-PO Mapping'!P$7, IF(OR($AS53="-",SUM(IF('CO-PO Mapping'!P$2,$AB$29,0),IF('CO-PO Mapping'!P$3,$AC$29,0),IF('CO-PO Mapping'!P$4,$AD$29,0),IF('CO-PO Mapping'!P$5,$AE$29,0),IF('CO-PO Mapping'!P$6,$AF$29,0),IF('CO-PO Mapping'!P$7,$AG$29,0))=0), "-", IF(SUM(IF('CO-PO Mapping'!P$2,$AH53*$AB$29,0),IF('CO-PO Mapping'!P$3,$AI53*$AC$29,0),IF('CO-PO Mapping'!P$4,$AJ53*$AD$29,0),IF('CO-PO Mapping'!P$5,$AK53*$AE$29,0),IF('CO-PO Mapping'!P$6,$AL53*$AF$29,0),IF('CO-PO Mapping'!P$7,$AM53*$AG$29,0))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3" s="95" t="str">
        <f>IF('CO-PO Mapping'!Q$2, IF(OR($AN53="-",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IF(OR($AP53="-", SUM( IF('CO-PO Mapping'!Q$2,$AB$29,0), IF('CO-PO Mapping'!Q$3,$AC$29,0), IF('CO-PO Mapping'!Q$4,$AD$29,0), IF('CO-PO Mapping'!Q$5,$AE$29,0), IF('CO-PO Mapping'!Q$6,$AF$29,0), IF('CO-PO Mapping'!Q$7,$AG$29,0) )=0), "-", IF( SUM( IF('CO-PO Mapping'!Q$2,$AH53*$AB$29,0), IF('CO-PO Mapping'!Q$3,$AI53*$AC$29,0), IF('CO-PO Mapping'!Q$4,$AJ53*$AD$29,0), IF('CO-PO Mapping'!Q$5,$AK53*$AE$29,0), IF('CO-PO Mapping'!Q$6,$AL53*$AF$29,0), IF('CO-PO Mapping'!Q$7,$AM53*$AG$29,0)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IF('CO-PO Mapping'!Q$6, IF(OR($AR53="-",SUM(IF('CO-PO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IF('CO-PO Mapping'!Q$7, IF(OR($AS53="-",SUM(IF('CO-PO Mapping'!Q$2,$AB$29,0),IF('CO-PO Mapping'!Q$3,$AC$29,0),IF('CO-PO Mapping'!Q$4,$AD$29,0),IF('CO-PO Mapping'!Q$5,$AE$29,0),IF('CO-PO Mapping'!Q$6,$AF$29,0),IF('CO-PO Mapping'!Q$7,$AG$29,0))=0), "-", IF(SUM(IF('CO-PO Mapping'!Q$2,$AH53*$AB$29,0),IF('CO-PO Mapping'!Q$3,$AI53*$AC$29,0),IF('CO-PO Mapping'!Q$4,$AJ53*$AD$29,0),IF('CO-PO Mapping'!Q$5,$AK53*$AE$29,0),IF('CO-PO Mapping'!Q$6,$AL53*$AF$29,0),IF('CO-PO Mapping'!Q$7,$AM53*$AG$29,0))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3" s="95" t="str">
        <f>IF('CO-PO Mapping'!R$2, IF(OR($AN53="-",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IF(OR($AP53="-", SUM( IF('CO-PO Mapping'!R$2,$AB$29,0), IF('CO-PO Mapping'!R$3,$AC$29,0), IF('CO-PO Mapping'!R$4,$AD$29,0), IF('CO-PO Mapping'!R$5,$AE$29,0), IF('CO-PO Mapping'!R$6,$AF$29,0), IF('CO-PO Mapping'!R$7,$AG$29,0) )=0), "-", IF( SUM( IF('CO-PO Mapping'!R$2,$AH53*$AB$29,0), IF('CO-PO Mapping'!R$3,$AI53*$AC$29,0), IF('CO-PO Mapping'!R$4,$AJ53*$AD$29,0), IF('CO-PO Mapping'!R$5,$AK53*$AE$29,0), IF('CO-PO Mapping'!R$6,$AL53*$AF$29,0), IF('CO-PO Mapping'!R$7,$AM53*$AG$29,0)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IF('CO-PO Mapping'!R$6, IF(OR($AR53="-",SUM(IF('CO-PO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IF('CO-PO Mapping'!R$7, IF(OR($AS53="-",SUM(IF('CO-PO Mapping'!R$2,$AB$29,0),IF('CO-PO Mapping'!R$3,$AC$29,0),IF('CO-PO Mapping'!R$4,$AD$29,0),IF('CO-PO Mapping'!R$5,$AE$29,0),IF('CO-PO Mapping'!R$6,$AF$29,0),IF('CO-PO Mapping'!R$7,$AG$29,0))=0), "-", IF(SUM(IF('CO-PO Mapping'!R$2,$AH53*$AB$29,0),IF('CO-PO Mapping'!R$3,$AI53*$AC$29,0),IF('CO-PO Mapping'!R$4,$AJ53*$AD$29,0),IF('CO-PO Mapping'!R$5,$AK53*$AE$29,0),IF('CO-PO Mapping'!R$6,$AL53*$AF$29,0),IF('CO-PO Mapping'!R$7,$AM53*$AG$29,0))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3" s="95" t="str">
        <f>IF('CO-PO Mapping'!S$2, IF(OR($AN53="-",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IF(OR($AP53="-", SUM( IF('CO-PO Mapping'!S$2,$AB$29,0), IF('CO-PO Mapping'!S$3,$AC$29,0), IF('CO-PO Mapping'!S$4,$AD$29,0), IF('CO-PO Mapping'!S$5,$AE$29,0), IF('CO-PO Mapping'!S$6,$AF$29,0), IF('CO-PO Mapping'!S$7,$AG$29,0) )=0), "-", IF( SUM( IF('CO-PO Mapping'!S$2,$AH53*$AB$29,0), IF('CO-PO Mapping'!S$3,$AI53*$AC$29,0), IF('CO-PO Mapping'!S$4,$AJ53*$AD$29,0), IF('CO-PO Mapping'!S$5,$AK53*$AE$29,0), IF('CO-PO Mapping'!S$6,$AL53*$AF$29,0), IF('CO-PO Mapping'!S$7,$AM53*$AG$29,0)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IF('CO-PO Mapping'!S$6, IF(OR($AR53="-",SUM(IF('CO-PO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IF('CO-PO Mapping'!S$7, IF(OR($AS53="-",SUM(IF('CO-PO Mapping'!S$2,$AB$29,0),IF('CO-PO Mapping'!S$3,$AC$29,0),IF('CO-PO Mapping'!S$4,$AD$29,0),IF('CO-PO Mapping'!S$5,$AE$29,0),IF('CO-PO Mapping'!S$6,$AF$29,0),IF('CO-PO Mapping'!S$7,$AG$29,0))=0), "-", IF(SUM(IF('CO-PO Mapping'!S$2,$AH53*$AB$29,0),IF('CO-PO Mapping'!S$3,$AI53*$AC$29,0),IF('CO-PO Mapping'!S$4,$AJ53*$AD$29,0),IF('CO-PO Mapping'!S$5,$AK53*$AE$29,0),IF('CO-PO Mapping'!S$6,$AL53*$AF$29,0),IF('CO-PO Mapping'!S$7,$AM53*$AG$29,0))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3" s="95" t="str">
        <f>IF('CO-PO Mapping'!T$2, IF(OR($AN53="-",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IF(OR($AP53="-", SUM( IF('CO-PO Mapping'!T$2,$AB$29,0), IF('CO-PO Mapping'!T$3,$AC$29,0), IF('CO-PO Mapping'!T$4,$AD$29,0), IF('CO-PO Mapping'!T$5,$AE$29,0), IF('CO-PO Mapping'!T$6,$AF$29,0), IF('CO-PO Mapping'!T$7,$AG$29,0) )=0), "-", IF( SUM( IF('CO-PO Mapping'!T$2,$AH53*$AB$29,0), IF('CO-PO Mapping'!T$3,$AI53*$AC$29,0), IF('CO-PO Mapping'!T$4,$AJ53*$AD$29,0), IF('CO-PO Mapping'!T$5,$AK53*$AE$29,0), IF('CO-PO Mapping'!T$6,$AL53*$AF$29,0), IF('CO-PO Mapping'!T$7,$AM53*$AG$29,0)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IF('CO-PO Mapping'!T$6, IF(OR($AR53="-",SUM(IF('CO-PO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IF('CO-PO Mapping'!T$7, IF(OR($AS53="-",SUM(IF('CO-PO Mapping'!T$2,$AB$29,0),IF('CO-PO Mapping'!T$3,$AC$29,0),IF('CO-PO Mapping'!T$4,$AD$29,0),IF('CO-PO Mapping'!T$5,$AE$29,0),IF('CO-PO Mapping'!T$6,$AF$29,0),IF('CO-PO Mapping'!T$7,$AG$29,0))=0), "-", IF(SUM(IF('CO-PO Mapping'!T$2,$AH53*$AB$29,0),IF('CO-PO Mapping'!T$3,$AI53*$AC$29,0),IF('CO-PO Mapping'!T$4,$AJ53*$AD$29,0),IF('CO-PO Mapping'!T$5,$AK53*$AE$29,0),IF('CO-PO Mapping'!T$6,$AL53*$AF$29,0),IF('CO-PO Mapping'!T$7,$AM53*$AG$29,0))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3" s="95" t="str">
        <f>IF('CO-PO Mapping'!U$2, IF(OR($AN53="-",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IF(OR($AP53="-", SUM( IF('CO-PO Mapping'!U$2,$AB$29,0), IF('CO-PO Mapping'!U$3,$AC$29,0), IF('CO-PO Mapping'!U$4,$AD$29,0), IF('CO-PO Mapping'!U$5,$AE$29,0), IF('CO-PO Mapping'!U$6,$AF$29,0), IF('CO-PO Mapping'!U$7,$AG$29,0) )=0), "-", IF( SUM( IF('CO-PO Mapping'!U$2,$AH53*$AB$29,0), IF('CO-PO Mapping'!U$3,$AI53*$AC$29,0), IF('CO-PO Mapping'!U$4,$AJ53*$AD$29,0), IF('CO-PO Mapping'!U$5,$AK53*$AE$29,0), IF('CO-PO Mapping'!U$6,$AL53*$AF$29,0), IF('CO-PO Mapping'!U$7,$AM53*$AG$29,0)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IF('CO-PO Mapping'!U$6, IF(OR($AR53="-",SUM(IF('CO-PO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IF('CO-PO Mapping'!U$7, IF(OR($AS53="-",SUM(IF('CO-PO Mapping'!U$2,$AB$29,0),IF('CO-PO Mapping'!U$3,$AC$29,0),IF('CO-PO Mapping'!U$4,$AD$29,0),IF('CO-PO Mapping'!U$5,$AE$29,0),IF('CO-PO Mapping'!U$6,$AF$29,0),IF('CO-PO Mapping'!U$7,$AG$29,0))=0), "-", IF(SUM(IF('CO-PO Mapping'!U$2,$AH53*$AB$29,0),IF('CO-PO Mapping'!U$3,$AI53*$AC$29,0),IF('CO-PO Mapping'!U$4,$AJ53*$AD$29,0),IF('CO-PO Mapping'!U$5,$AK53*$AE$29,0),IF('CO-PO Mapping'!U$6,$AL53*$AF$29,0),IF('CO-PO Mapping'!U$7,$AM53*$AG$29,0))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3" s="95" t="str">
        <f>IF('CO-PO Mapping'!V$2, IF(OR($AN53="-",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IF(OR($AP53="-", SUM( IF('CO-PO Mapping'!V$2,$AB$29,0), IF('CO-PO Mapping'!V$3,$AC$29,0), IF('CO-PO Mapping'!V$4,$AD$29,0), IF('CO-PO Mapping'!V$5,$AE$29,0), IF('CO-PO Mapping'!V$6,$AF$29,0), IF('CO-PO Mapping'!V$7,$AG$29,0) )=0), "-", IF( SUM( IF('CO-PO Mapping'!V$2,$AH53*$AB$29,0), IF('CO-PO Mapping'!V$3,$AI53*$AC$29,0), IF('CO-PO Mapping'!V$4,$AJ53*$AD$29,0), IF('CO-PO Mapping'!V$5,$AK53*$AE$29,0), IF('CO-PO Mapping'!V$6,$AL53*$AF$29,0), IF('CO-PO Mapping'!V$7,$AM53*$AG$29,0)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IF('CO-PO Mapping'!V$6, IF(OR($AR53="-",SUM(IF('CO-PO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IF('CO-PO Mapping'!V$7, IF(OR($AS53="-",SUM(IF('CO-PO Mapping'!V$2,$AB$29,0),IF('CO-PO Mapping'!V$3,$AC$29,0),IF('CO-PO Mapping'!V$4,$AD$29,0),IF('CO-PO Mapping'!V$5,$AE$29,0),IF('CO-PO Mapping'!V$6,$AF$29,0),IF('CO-PO Mapping'!V$7,$AG$29,0))=0), "-", IF(SUM(IF('CO-PO Mapping'!V$2,$AH53*$AB$29,0),IF('CO-PO Mapping'!V$3,$AI53*$AC$29,0),IF('CO-PO Mapping'!V$4,$AJ53*$AD$29,0),IF('CO-PO Mapping'!V$5,$AK53*$AE$29,0),IF('CO-PO Mapping'!V$6,$AL53*$AF$29,0),IF('CO-PO Mapping'!V$7,$AM53*$AG$29,0))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3" s="95" t="str">
        <f>IF('CO-PO Mapping'!W$2, IF(OR($AN53="-",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IF(OR($AP53="-", SUM( IF('CO-PO Mapping'!W$2,$AB$29,0), IF('CO-PO Mapping'!W$3,$AC$29,0), IF('CO-PO Mapping'!W$4,$AD$29,0), IF('CO-PO Mapping'!W$5,$AE$29,0), IF('CO-PO Mapping'!W$6,$AF$29,0), IF('CO-PO Mapping'!W$7,$AG$29,0) )=0), "-", IF( SUM( IF('CO-PO Mapping'!W$2,$AH53*$AB$29,0), IF('CO-PO Mapping'!W$3,$AI53*$AC$29,0), IF('CO-PO Mapping'!W$4,$AJ53*$AD$29,0), IF('CO-PO Mapping'!W$5,$AK53*$AE$29,0), IF('CO-PO Mapping'!W$6,$AL53*$AF$29,0), IF('CO-PO Mapping'!W$7,$AM53*$AG$29,0)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IF('CO-PO Mapping'!W$6, IF(OR($AR53="-",SUM(IF('CO-PO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IF('CO-PO Mapping'!W$7, IF(OR($AS53="-",SUM(IF('CO-PO Mapping'!W$2,$AB$29,0),IF('CO-PO Mapping'!W$3,$AC$29,0),IF('CO-PO Mapping'!W$4,$AD$29,0),IF('CO-PO Mapping'!W$5,$AE$29,0),IF('CO-PO Mapping'!W$6,$AF$29,0),IF('CO-PO Mapping'!W$7,$AG$29,0))=0), "-", IF(SUM(IF('CO-PO Mapping'!W$2,$AH53*$AB$29,0),IF('CO-PO Mapping'!W$3,$AI53*$AC$29,0),IF('CO-PO Mapping'!W$4,$AJ53*$AD$29,0),IF('CO-PO Mapping'!W$5,$AK53*$AE$29,0),IF('CO-PO Mapping'!W$6,$AL53*$AF$29,0),IF('CO-PO Mapping'!W$7,$AM53*$AG$29,0))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3" s="95" t="str">
        <f>IF('CO-PO Mapping'!X$2, IF(OR($AN53="-",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IF(OR($AP53="-", SUM( IF('CO-PO Mapping'!X$2,$AB$29,0), IF('CO-PO Mapping'!X$3,$AC$29,0), IF('CO-PO Mapping'!X$4,$AD$29,0), IF('CO-PO Mapping'!X$5,$AE$29,0), IF('CO-PO Mapping'!X$6,$AF$29,0), IF('CO-PO Mapping'!X$7,$AG$29,0) )=0), "-", IF( SUM( IF('CO-PO Mapping'!X$2,$AH53*$AB$29,0), IF('CO-PO Mapping'!X$3,$AI53*$AC$29,0), IF('CO-PO Mapping'!X$4,$AJ53*$AD$29,0), IF('CO-PO Mapping'!X$5,$AK53*$AE$29,0), IF('CO-PO Mapping'!X$6,$AL53*$AF$29,0), IF('CO-PO Mapping'!X$7,$AM53*$AG$29,0)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IF('CO-PO Mapping'!X$6, IF(OR($AR53="-",SUM(IF('CO-PO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IF('CO-PO Mapping'!X$7, IF(OR($AS53="-",SUM(IF('CO-PO Mapping'!X$2,$AB$29,0),IF('CO-PO Mapping'!X$3,$AC$29,0),IF('CO-PO Mapping'!X$4,$AD$29,0),IF('CO-PO Mapping'!X$5,$AE$29,0),IF('CO-PO Mapping'!X$6,$AF$29,0),IF('CO-PO Mapping'!X$7,$AG$29,0))=0), "-", IF(SUM(IF('CO-PO Mapping'!X$2,$AH53*$AB$29,0),IF('CO-PO Mapping'!X$3,$AI53*$AC$29,0),IF('CO-PO Mapping'!X$4,$AJ53*$AD$29,0),IF('CO-PO Mapping'!X$5,$AK53*$AE$29,0),IF('CO-PO Mapping'!X$6,$AL53*$AF$29,0),IF('CO-PO Mapping'!X$7,$AM53*$AG$29,0))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3" s="95" t="str">
        <f>IF('CO-PO Mapping'!Y$2, IF(OR($AN53="-",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IF(OR($AP53="-", SUM( IF('CO-PO Mapping'!Y$2,$AB$29,0), IF('CO-PO Mapping'!Y$3,$AC$29,0), IF('CO-PO Mapping'!Y$4,$AD$29,0), IF('CO-PO Mapping'!Y$5,$AE$29,0), IF('CO-PO Mapping'!Y$6,$AF$29,0), IF('CO-PO Mapping'!Y$7,$AG$29,0) )=0), "-", IF( SUM( IF('CO-PO Mapping'!Y$2,$AH53*$AB$29,0), IF('CO-PO Mapping'!Y$3,$AI53*$AC$29,0), IF('CO-PO Mapping'!Y$4,$AJ53*$AD$29,0), IF('CO-PO Mapping'!Y$5,$AK53*$AE$29,0), IF('CO-PO Mapping'!Y$6,$AL53*$AF$29,0), IF('CO-PO Mapping'!Y$7,$AM53*$AG$29,0)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IF('CO-PO Mapping'!Y$6, IF(OR($AR53="-",SUM(IF('CO-PO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IF('CO-PO Mapping'!Y$7, IF(OR($AS53="-",SUM(IF('CO-PO Mapping'!Y$2,$AB$29,0),IF('CO-PO Mapping'!Y$3,$AC$29,0),IF('CO-PO Mapping'!Y$4,$AD$29,0),IF('CO-PO Mapping'!Y$5,$AE$29,0),IF('CO-PO Mapping'!Y$6,$AF$29,0),IF('CO-PO Mapping'!Y$7,$AG$29,0))=0), "-", IF(SUM(IF('CO-PO Mapping'!Y$2,$AH53*$AB$29,0),IF('CO-PO Mapping'!Y$3,$AI53*$AC$29,0),IF('CO-PO Mapping'!Y$4,$AJ53*$AD$29,0),IF('CO-PO Mapping'!Y$5,$AK53*$AE$29,0),IF('CO-PO Mapping'!Y$6,$AL53*$AF$29,0),IF('CO-PO Mapping'!Y$7,$AM53*$AG$29,0))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3" s="95" t="str">
        <f>IF('CO-PO Mapping'!Z$2, IF(OR($AN53="-",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IF(OR($AP53="-", SUM( IF('CO-PO Mapping'!Z$2,$AB$29,0), IF('CO-PO Mapping'!Z$3,$AC$29,0), IF('CO-PO Mapping'!Z$4,$AD$29,0), IF('CO-PO Mapping'!Z$5,$AE$29,0), IF('CO-PO Mapping'!Z$6,$AF$29,0), IF('CO-PO Mapping'!Z$7,$AG$29,0) )=0), "-", IF( SUM( IF('CO-PO Mapping'!Z$2,$AH53*$AB$29,0), IF('CO-PO Mapping'!Z$3,$AI53*$AC$29,0), IF('CO-PO Mapping'!Z$4,$AJ53*$AD$29,0), IF('CO-PO Mapping'!Z$5,$AK53*$AE$29,0), IF('CO-PO Mapping'!Z$6,$AL53*$AF$29,0), IF('CO-PO Mapping'!Z$7,$AM53*$AG$29,0)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IF('CO-PO Mapping'!Z$6, IF(OR($AR53="-",SUM(IF('CO-PO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IF('CO-PO Mapping'!Z$7, IF(OR($AS53="-",SUM(IF('CO-PO Mapping'!Z$2,$AB$29,0),IF('CO-PO Mapping'!Z$3,$AC$29,0),IF('CO-PO Mapping'!Z$4,$AD$29,0),IF('CO-PO Mapping'!Z$5,$AE$29,0),IF('CO-PO Mapping'!Z$6,$AF$29,0),IF('CO-PO Mapping'!Z$7,$AG$29,0))=0), "-", IF(SUM(IF('CO-PO Mapping'!Z$2,$AH53*$AB$29,0),IF('CO-PO Mapping'!Z$3,$AI53*$AC$29,0),IF('CO-PO Mapping'!Z$4,$AJ53*$AD$29,0),IF('CO-PO Mapping'!Z$5,$AK53*$AE$29,0),IF('CO-PO Mapping'!Z$6,$AL53*$AF$29,0),IF('CO-PO Mapping'!Z$7,$AM53*$AG$29,0))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4" spans="1:57" ht="15" customHeight="1" thickBot="1">
      <c r="A54" s="110">
        <v>22235103229</v>
      </c>
      <c r="B54" s="111" t="s">
        <v>171</v>
      </c>
      <c r="C54" s="70">
        <v>4</v>
      </c>
      <c r="D54" s="71"/>
      <c r="E54" s="71">
        <v>20</v>
      </c>
      <c r="F54" s="71"/>
      <c r="G54" s="71"/>
      <c r="H54" s="103">
        <f t="shared" si="2"/>
        <v>24</v>
      </c>
      <c r="I54" s="75">
        <v>8</v>
      </c>
      <c r="J54" s="75">
        <v>5</v>
      </c>
      <c r="K54" s="75">
        <v>5</v>
      </c>
      <c r="L54" s="75"/>
      <c r="M54" s="75"/>
      <c r="N54" s="75"/>
      <c r="O54" s="105">
        <f t="shared" si="3"/>
        <v>18</v>
      </c>
      <c r="P54" s="75">
        <v>8</v>
      </c>
      <c r="Q54" s="75">
        <v>17</v>
      </c>
      <c r="R54" s="75"/>
      <c r="S54" s="75"/>
      <c r="T54" s="75"/>
      <c r="U54" s="75"/>
      <c r="V54" s="104">
        <f t="shared" si="4"/>
        <v>25</v>
      </c>
      <c r="W54" s="83">
        <f t="shared" si="5"/>
        <v>67</v>
      </c>
      <c r="X54" s="98" t="str">
        <f t="shared" si="10"/>
        <v>B (Plus)</v>
      </c>
      <c r="Y54" s="47"/>
      <c r="Z54" s="42">
        <f t="shared" si="6"/>
        <v>22235103229</v>
      </c>
      <c r="AA54" s="43" t="str">
        <f t="shared" si="7"/>
        <v>Md. Tanjim Khan</v>
      </c>
      <c r="AB54" s="90">
        <f t="shared" si="11"/>
        <v>32</v>
      </c>
      <c r="AC54" s="90">
        <f t="shared" si="11"/>
        <v>13</v>
      </c>
      <c r="AD54" s="90">
        <f t="shared" si="11"/>
        <v>22</v>
      </c>
      <c r="AE54" s="90">
        <f t="shared" si="11"/>
        <v>0</v>
      </c>
      <c r="AF54" s="90">
        <f t="shared" si="11"/>
        <v>0</v>
      </c>
      <c r="AG54" s="90">
        <f t="shared" si="25"/>
        <v>0</v>
      </c>
      <c r="AH54" s="92">
        <f t="shared" si="12"/>
        <v>80</v>
      </c>
      <c r="AI54" s="92">
        <f t="shared" si="13"/>
        <v>43.333333333333336</v>
      </c>
      <c r="AJ54" s="92">
        <f t="shared" si="14"/>
        <v>73.333333333333329</v>
      </c>
      <c r="AK54" s="92">
        <f t="shared" si="22"/>
        <v>0</v>
      </c>
      <c r="AL54" s="92">
        <f t="shared" si="15"/>
        <v>0</v>
      </c>
      <c r="AM54" s="92">
        <f t="shared" si="16"/>
        <v>0</v>
      </c>
      <c r="AN54" s="93" t="str">
        <f t="shared" si="23"/>
        <v>Y</v>
      </c>
      <c r="AO54" s="93" t="str">
        <f t="shared" si="17"/>
        <v>N</v>
      </c>
      <c r="AP54" s="93" t="str">
        <f t="shared" si="18"/>
        <v>Y</v>
      </c>
      <c r="AQ54" s="93" t="str">
        <f t="shared" si="19"/>
        <v>N</v>
      </c>
      <c r="AR54" s="93" t="str">
        <f t="shared" si="20"/>
        <v>N</v>
      </c>
      <c r="AS54" s="93" t="str">
        <f t="shared" si="21"/>
        <v>N</v>
      </c>
      <c r="AT54" s="95" t="str">
        <f>IF('CO-PO Mapping'!O$2, IF(OR($AN54="-",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IF(OR($AP54="-", SUM( IF('CO-PO Mapping'!O$2,$AB$29,0), IF('CO-PO Mapping'!O$3,$AC$29,0), IF('CO-PO Mapping'!O$4,$AD$29,0), IF('CO-PO Mapping'!O$5,$AE$29,0), IF('CO-PO Mapping'!O$6,$AF$29,0), IF('CO-PO Mapping'!O$7,$AG$29,0) )=0), "-", IF( SUM( IF('CO-PO Mapping'!O$2,$AH54*$AB$29,0), IF('CO-PO Mapping'!O$3,$AI54*$AC$29,0), IF('CO-PO Mapping'!O$4,$AJ54*$AD$29,0), IF('CO-PO Mapping'!O$5,$AK54*$AE$29,0), IF('CO-PO Mapping'!O$6,$AL54*$AF$29,0), IF('CO-PO Mapping'!O$7,$AM54*$AG$29,0)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IF('CO-PO Mapping'!O$6, IF(OR($AR54="-",SUM(IF('CO-PO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IF('CO-PO Mapping'!O$7, IF(OR($AS54="-",SUM(IF('CO-PO Mapping'!O$2,$AB$29,0),IF('CO-PO Mapping'!O$3,$AC$29,0),IF('CO-PO Mapping'!O$4,$AD$29,0),IF('CO-PO Mapping'!O$5,$AE$29,0),IF('CO-PO Mapping'!O$6,$AF$29,0),IF('CO-PO Mapping'!O$7,$AG$29,0))=0), "-", IF(SUM(IF('CO-PO Mapping'!O$2,$AH54*$AB$29,0),IF('CO-PO Mapping'!O$3,$AI54*$AC$29,0),IF('CO-PO Mapping'!O$4,$AJ54*$AD$29,0),IF('CO-PO Mapping'!O$5,$AK54*$AE$29,0),IF('CO-PO Mapping'!O$6,$AL54*$AF$29,0),IF('CO-PO Mapping'!O$7,$AM54*$AG$29,0))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4" s="95" t="str">
        <f>IF('CO-PO Mapping'!P$2, IF(OR($AN54="-",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IF(OR($AP54="-", SUM( IF('CO-PO Mapping'!P$2,$AB$29,0), IF('CO-PO Mapping'!P$3,$AC$29,0), IF('CO-PO Mapping'!P$4,$AD$29,0), IF('CO-PO Mapping'!P$5,$AE$29,0), IF('CO-PO Mapping'!P$6,$AF$29,0), IF('CO-PO Mapping'!P$7,$AG$29,0) )=0), "-", IF( SUM( IF('CO-PO Mapping'!P$2,$AH54*$AB$29,0), IF('CO-PO Mapping'!P$3,$AI54*$AC$29,0), IF('CO-PO Mapping'!P$4,$AJ54*$AD$29,0), IF('CO-PO Mapping'!P$5,$AK54*$AE$29,0), IF('CO-PO Mapping'!P$6,$AL54*$AF$29,0), IF('CO-PO Mapping'!P$7,$AM54*$AG$29,0)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IF('CO-PO Mapping'!P$6, IF(OR($AR54="-",SUM(IF('CO-PO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IF('CO-PO Mapping'!P$7, IF(OR($AS54="-",SUM(IF('CO-PO Mapping'!P$2,$AB$29,0),IF('CO-PO Mapping'!P$3,$AC$29,0),IF('CO-PO Mapping'!P$4,$AD$29,0),IF('CO-PO Mapping'!P$5,$AE$29,0),IF('CO-PO Mapping'!P$6,$AF$29,0),IF('CO-PO Mapping'!P$7,$AG$29,0))=0), "-", IF(SUM(IF('CO-PO Mapping'!P$2,$AH54*$AB$29,0),IF('CO-PO Mapping'!P$3,$AI54*$AC$29,0),IF('CO-PO Mapping'!P$4,$AJ54*$AD$29,0),IF('CO-PO Mapping'!P$5,$AK54*$AE$29,0),IF('CO-PO Mapping'!P$6,$AL54*$AF$29,0),IF('CO-PO Mapping'!P$7,$AM54*$AG$29,0)) / SUM(IF('CO-PO Mapping'!P$2,$AB$29,0),IF('CO-PO Mapping'!P$3,$AC$29,0),IF('CO-PO Mapping'!P$4,$AD$29,0),IF('CO-PO Mapping'!P$5,$AE$29,0),IF('CO-PO Mapping'!P$6,$AF$29,0),IF('CO-PO Mapping'!P$7,$AG$29,0)) &gt;=$AW$27,"Y","N" ) ), "-"))))))</f>
        <v>N</v>
      </c>
      <c r="AV54" s="95" t="str">
        <f>IF('CO-PO Mapping'!Q$2, IF(OR($AN54="-",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IF(OR($AP54="-", SUM( IF('CO-PO Mapping'!Q$2,$AB$29,0), IF('CO-PO Mapping'!Q$3,$AC$29,0), IF('CO-PO Mapping'!Q$4,$AD$29,0), IF('CO-PO Mapping'!Q$5,$AE$29,0), IF('CO-PO Mapping'!Q$6,$AF$29,0), IF('CO-PO Mapping'!Q$7,$AG$29,0) )=0), "-", IF( SUM( IF('CO-PO Mapping'!Q$2,$AH54*$AB$29,0), IF('CO-PO Mapping'!Q$3,$AI54*$AC$29,0), IF('CO-PO Mapping'!Q$4,$AJ54*$AD$29,0), IF('CO-PO Mapping'!Q$5,$AK54*$AE$29,0), IF('CO-PO Mapping'!Q$6,$AL54*$AF$29,0), IF('CO-PO Mapping'!Q$7,$AM54*$AG$29,0)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IF('CO-PO Mapping'!Q$6, IF(OR($AR54="-",SUM(IF('CO-PO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IF('CO-PO Mapping'!Q$7, IF(OR($AS54="-",SUM(IF('CO-PO Mapping'!Q$2,$AB$29,0),IF('CO-PO Mapping'!Q$3,$AC$29,0),IF('CO-PO Mapping'!Q$4,$AD$29,0),IF('CO-PO Mapping'!Q$5,$AE$29,0),IF('CO-PO Mapping'!Q$6,$AF$29,0),IF('CO-PO Mapping'!Q$7,$AG$29,0))=0), "-", IF(SUM(IF('CO-PO Mapping'!Q$2,$AH54*$AB$29,0),IF('CO-PO Mapping'!Q$3,$AI54*$AC$29,0),IF('CO-PO Mapping'!Q$4,$AJ54*$AD$29,0),IF('CO-PO Mapping'!Q$5,$AK54*$AE$29,0),IF('CO-PO Mapping'!Q$6,$AL54*$AF$29,0),IF('CO-PO Mapping'!Q$7,$AM54*$AG$29,0))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4" s="95" t="str">
        <f>IF('CO-PO Mapping'!R$2, IF(OR($AN54="-",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IF(OR($AP54="-", SUM( IF('CO-PO Mapping'!R$2,$AB$29,0), IF('CO-PO Mapping'!R$3,$AC$29,0), IF('CO-PO Mapping'!R$4,$AD$29,0), IF('CO-PO Mapping'!R$5,$AE$29,0), IF('CO-PO Mapping'!R$6,$AF$29,0), IF('CO-PO Mapping'!R$7,$AG$29,0) )=0), "-", IF( SUM( IF('CO-PO Mapping'!R$2,$AH54*$AB$29,0), IF('CO-PO Mapping'!R$3,$AI54*$AC$29,0), IF('CO-PO Mapping'!R$4,$AJ54*$AD$29,0), IF('CO-PO Mapping'!R$5,$AK54*$AE$29,0), IF('CO-PO Mapping'!R$6,$AL54*$AF$29,0), IF('CO-PO Mapping'!R$7,$AM54*$AG$29,0)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IF('CO-PO Mapping'!R$6, IF(OR($AR54="-",SUM(IF('CO-PO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IF('CO-PO Mapping'!R$7, IF(OR($AS54="-",SUM(IF('CO-PO Mapping'!R$2,$AB$29,0),IF('CO-PO Mapping'!R$3,$AC$29,0),IF('CO-PO Mapping'!R$4,$AD$29,0),IF('CO-PO Mapping'!R$5,$AE$29,0),IF('CO-PO Mapping'!R$6,$AF$29,0),IF('CO-PO Mapping'!R$7,$AG$29,0))=0), "-", IF(SUM(IF('CO-PO Mapping'!R$2,$AH54*$AB$29,0),IF('CO-PO Mapping'!R$3,$AI54*$AC$29,0),IF('CO-PO Mapping'!R$4,$AJ54*$AD$29,0),IF('CO-PO Mapping'!R$5,$AK54*$AE$29,0),IF('CO-PO Mapping'!R$6,$AL54*$AF$29,0),IF('CO-PO Mapping'!R$7,$AM54*$AG$29,0))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4" s="95" t="str">
        <f>IF('CO-PO Mapping'!S$2, IF(OR($AN54="-",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IF(OR($AP54="-", SUM( IF('CO-PO Mapping'!S$2,$AB$29,0), IF('CO-PO Mapping'!S$3,$AC$29,0), IF('CO-PO Mapping'!S$4,$AD$29,0), IF('CO-PO Mapping'!S$5,$AE$29,0), IF('CO-PO Mapping'!S$6,$AF$29,0), IF('CO-PO Mapping'!S$7,$AG$29,0) )=0), "-", IF( SUM( IF('CO-PO Mapping'!S$2,$AH54*$AB$29,0), IF('CO-PO Mapping'!S$3,$AI54*$AC$29,0), IF('CO-PO Mapping'!S$4,$AJ54*$AD$29,0), IF('CO-PO Mapping'!S$5,$AK54*$AE$29,0), IF('CO-PO Mapping'!S$6,$AL54*$AF$29,0), IF('CO-PO Mapping'!S$7,$AM54*$AG$29,0)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IF('CO-PO Mapping'!S$6, IF(OR($AR54="-",SUM(IF('CO-PO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IF('CO-PO Mapping'!S$7, IF(OR($AS54="-",SUM(IF('CO-PO Mapping'!S$2,$AB$29,0),IF('CO-PO Mapping'!S$3,$AC$29,0),IF('CO-PO Mapping'!S$4,$AD$29,0),IF('CO-PO Mapping'!S$5,$AE$29,0),IF('CO-PO Mapping'!S$6,$AF$29,0),IF('CO-PO Mapping'!S$7,$AG$29,0))=0), "-", IF(SUM(IF('CO-PO Mapping'!S$2,$AH54*$AB$29,0),IF('CO-PO Mapping'!S$3,$AI54*$AC$29,0),IF('CO-PO Mapping'!S$4,$AJ54*$AD$29,0),IF('CO-PO Mapping'!S$5,$AK54*$AE$29,0),IF('CO-PO Mapping'!S$6,$AL54*$AF$29,0),IF('CO-PO Mapping'!S$7,$AM54*$AG$29,0))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4" s="95" t="str">
        <f>IF('CO-PO Mapping'!T$2, IF(OR($AN54="-",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IF(OR($AP54="-", SUM( IF('CO-PO Mapping'!T$2,$AB$29,0), IF('CO-PO Mapping'!T$3,$AC$29,0), IF('CO-PO Mapping'!T$4,$AD$29,0), IF('CO-PO Mapping'!T$5,$AE$29,0), IF('CO-PO Mapping'!T$6,$AF$29,0), IF('CO-PO Mapping'!T$7,$AG$29,0) )=0), "-", IF( SUM( IF('CO-PO Mapping'!T$2,$AH54*$AB$29,0), IF('CO-PO Mapping'!T$3,$AI54*$AC$29,0), IF('CO-PO Mapping'!T$4,$AJ54*$AD$29,0), IF('CO-PO Mapping'!T$5,$AK54*$AE$29,0), IF('CO-PO Mapping'!T$6,$AL54*$AF$29,0), IF('CO-PO Mapping'!T$7,$AM54*$AG$29,0)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IF('CO-PO Mapping'!T$6, IF(OR($AR54="-",SUM(IF('CO-PO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IF('CO-PO Mapping'!T$7, IF(OR($AS54="-",SUM(IF('CO-PO Mapping'!T$2,$AB$29,0),IF('CO-PO Mapping'!T$3,$AC$29,0),IF('CO-PO Mapping'!T$4,$AD$29,0),IF('CO-PO Mapping'!T$5,$AE$29,0),IF('CO-PO Mapping'!T$6,$AF$29,0),IF('CO-PO Mapping'!T$7,$AG$29,0))=0), "-", IF(SUM(IF('CO-PO Mapping'!T$2,$AH54*$AB$29,0),IF('CO-PO Mapping'!T$3,$AI54*$AC$29,0),IF('CO-PO Mapping'!T$4,$AJ54*$AD$29,0),IF('CO-PO Mapping'!T$5,$AK54*$AE$29,0),IF('CO-PO Mapping'!T$6,$AL54*$AF$29,0),IF('CO-PO Mapping'!T$7,$AM54*$AG$29,0))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4" s="95" t="str">
        <f>IF('CO-PO Mapping'!U$2, IF(OR($AN54="-",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IF(OR($AP54="-", SUM( IF('CO-PO Mapping'!U$2,$AB$29,0), IF('CO-PO Mapping'!U$3,$AC$29,0), IF('CO-PO Mapping'!U$4,$AD$29,0), IF('CO-PO Mapping'!U$5,$AE$29,0), IF('CO-PO Mapping'!U$6,$AF$29,0), IF('CO-PO Mapping'!U$7,$AG$29,0) )=0), "-", IF( SUM( IF('CO-PO Mapping'!U$2,$AH54*$AB$29,0), IF('CO-PO Mapping'!U$3,$AI54*$AC$29,0), IF('CO-PO Mapping'!U$4,$AJ54*$AD$29,0), IF('CO-PO Mapping'!U$5,$AK54*$AE$29,0), IF('CO-PO Mapping'!U$6,$AL54*$AF$29,0), IF('CO-PO Mapping'!U$7,$AM54*$AG$29,0)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IF('CO-PO Mapping'!U$6, IF(OR($AR54="-",SUM(IF('CO-PO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IF('CO-PO Mapping'!U$7, IF(OR($AS54="-",SUM(IF('CO-PO Mapping'!U$2,$AB$29,0),IF('CO-PO Mapping'!U$3,$AC$29,0),IF('CO-PO Mapping'!U$4,$AD$29,0),IF('CO-PO Mapping'!U$5,$AE$29,0),IF('CO-PO Mapping'!U$6,$AF$29,0),IF('CO-PO Mapping'!U$7,$AG$29,0))=0), "-", IF(SUM(IF('CO-PO Mapping'!U$2,$AH54*$AB$29,0),IF('CO-PO Mapping'!U$3,$AI54*$AC$29,0),IF('CO-PO Mapping'!U$4,$AJ54*$AD$29,0),IF('CO-PO Mapping'!U$5,$AK54*$AE$29,0),IF('CO-PO Mapping'!U$6,$AL54*$AF$29,0),IF('CO-PO Mapping'!U$7,$AM54*$AG$29,0))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4" s="95" t="str">
        <f>IF('CO-PO Mapping'!V$2, IF(OR($AN54="-",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IF(OR($AP54="-", SUM( IF('CO-PO Mapping'!V$2,$AB$29,0), IF('CO-PO Mapping'!V$3,$AC$29,0), IF('CO-PO Mapping'!V$4,$AD$29,0), IF('CO-PO Mapping'!V$5,$AE$29,0), IF('CO-PO Mapping'!V$6,$AF$29,0), IF('CO-PO Mapping'!V$7,$AG$29,0) )=0), "-", IF( SUM( IF('CO-PO Mapping'!V$2,$AH54*$AB$29,0), IF('CO-PO Mapping'!V$3,$AI54*$AC$29,0), IF('CO-PO Mapping'!V$4,$AJ54*$AD$29,0), IF('CO-PO Mapping'!V$5,$AK54*$AE$29,0), IF('CO-PO Mapping'!V$6,$AL54*$AF$29,0), IF('CO-PO Mapping'!V$7,$AM54*$AG$29,0)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IF('CO-PO Mapping'!V$6, IF(OR($AR54="-",SUM(IF('CO-PO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IF('CO-PO Mapping'!V$7, IF(OR($AS54="-",SUM(IF('CO-PO Mapping'!V$2,$AB$29,0),IF('CO-PO Mapping'!V$3,$AC$29,0),IF('CO-PO Mapping'!V$4,$AD$29,0),IF('CO-PO Mapping'!V$5,$AE$29,0),IF('CO-PO Mapping'!V$6,$AF$29,0),IF('CO-PO Mapping'!V$7,$AG$29,0))=0), "-", IF(SUM(IF('CO-PO Mapping'!V$2,$AH54*$AB$29,0),IF('CO-PO Mapping'!V$3,$AI54*$AC$29,0),IF('CO-PO Mapping'!V$4,$AJ54*$AD$29,0),IF('CO-PO Mapping'!V$5,$AK54*$AE$29,0),IF('CO-PO Mapping'!V$6,$AL54*$AF$29,0),IF('CO-PO Mapping'!V$7,$AM54*$AG$29,0))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4" s="95" t="str">
        <f>IF('CO-PO Mapping'!W$2, IF(OR($AN54="-",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IF(OR($AP54="-", SUM( IF('CO-PO Mapping'!W$2,$AB$29,0), IF('CO-PO Mapping'!W$3,$AC$29,0), IF('CO-PO Mapping'!W$4,$AD$29,0), IF('CO-PO Mapping'!W$5,$AE$29,0), IF('CO-PO Mapping'!W$6,$AF$29,0), IF('CO-PO Mapping'!W$7,$AG$29,0) )=0), "-", IF( SUM( IF('CO-PO Mapping'!W$2,$AH54*$AB$29,0), IF('CO-PO Mapping'!W$3,$AI54*$AC$29,0), IF('CO-PO Mapping'!W$4,$AJ54*$AD$29,0), IF('CO-PO Mapping'!W$5,$AK54*$AE$29,0), IF('CO-PO Mapping'!W$6,$AL54*$AF$29,0), IF('CO-PO Mapping'!W$7,$AM54*$AG$29,0)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IF('CO-PO Mapping'!W$6, IF(OR($AR54="-",SUM(IF('CO-PO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IF('CO-PO Mapping'!W$7, IF(OR($AS54="-",SUM(IF('CO-PO Mapping'!W$2,$AB$29,0),IF('CO-PO Mapping'!W$3,$AC$29,0),IF('CO-PO Mapping'!W$4,$AD$29,0),IF('CO-PO Mapping'!W$5,$AE$29,0),IF('CO-PO Mapping'!W$6,$AF$29,0),IF('CO-PO Mapping'!W$7,$AG$29,0))=0), "-", IF(SUM(IF('CO-PO Mapping'!W$2,$AH54*$AB$29,0),IF('CO-PO Mapping'!W$3,$AI54*$AC$29,0),IF('CO-PO Mapping'!W$4,$AJ54*$AD$29,0),IF('CO-PO Mapping'!W$5,$AK54*$AE$29,0),IF('CO-PO Mapping'!W$6,$AL54*$AF$29,0),IF('CO-PO Mapping'!W$7,$AM54*$AG$29,0))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4" s="95" t="str">
        <f>IF('CO-PO Mapping'!X$2, IF(OR($AN54="-",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IF(OR($AP54="-", SUM( IF('CO-PO Mapping'!X$2,$AB$29,0), IF('CO-PO Mapping'!X$3,$AC$29,0), IF('CO-PO Mapping'!X$4,$AD$29,0), IF('CO-PO Mapping'!X$5,$AE$29,0), IF('CO-PO Mapping'!X$6,$AF$29,0), IF('CO-PO Mapping'!X$7,$AG$29,0) )=0), "-", IF( SUM( IF('CO-PO Mapping'!X$2,$AH54*$AB$29,0), IF('CO-PO Mapping'!X$3,$AI54*$AC$29,0), IF('CO-PO Mapping'!X$4,$AJ54*$AD$29,0), IF('CO-PO Mapping'!X$5,$AK54*$AE$29,0), IF('CO-PO Mapping'!X$6,$AL54*$AF$29,0), IF('CO-PO Mapping'!X$7,$AM54*$AG$29,0)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IF('CO-PO Mapping'!X$6, IF(OR($AR54="-",SUM(IF('CO-PO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IF('CO-PO Mapping'!X$7, IF(OR($AS54="-",SUM(IF('CO-PO Mapping'!X$2,$AB$29,0),IF('CO-PO Mapping'!X$3,$AC$29,0),IF('CO-PO Mapping'!X$4,$AD$29,0),IF('CO-PO Mapping'!X$5,$AE$29,0),IF('CO-PO Mapping'!X$6,$AF$29,0),IF('CO-PO Mapping'!X$7,$AG$29,0))=0), "-", IF(SUM(IF('CO-PO Mapping'!X$2,$AH54*$AB$29,0),IF('CO-PO Mapping'!X$3,$AI54*$AC$29,0),IF('CO-PO Mapping'!X$4,$AJ54*$AD$29,0),IF('CO-PO Mapping'!X$5,$AK54*$AE$29,0),IF('CO-PO Mapping'!X$6,$AL54*$AF$29,0),IF('CO-PO Mapping'!X$7,$AM54*$AG$29,0))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4" s="95" t="str">
        <f>IF('CO-PO Mapping'!Y$2, IF(OR($AN54="-",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IF(OR($AP54="-", SUM( IF('CO-PO Mapping'!Y$2,$AB$29,0), IF('CO-PO Mapping'!Y$3,$AC$29,0), IF('CO-PO Mapping'!Y$4,$AD$29,0), IF('CO-PO Mapping'!Y$5,$AE$29,0), IF('CO-PO Mapping'!Y$6,$AF$29,0), IF('CO-PO Mapping'!Y$7,$AG$29,0) )=0), "-", IF( SUM( IF('CO-PO Mapping'!Y$2,$AH54*$AB$29,0), IF('CO-PO Mapping'!Y$3,$AI54*$AC$29,0), IF('CO-PO Mapping'!Y$4,$AJ54*$AD$29,0), IF('CO-PO Mapping'!Y$5,$AK54*$AE$29,0), IF('CO-PO Mapping'!Y$6,$AL54*$AF$29,0), IF('CO-PO Mapping'!Y$7,$AM54*$AG$29,0)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IF('CO-PO Mapping'!Y$6, IF(OR($AR54="-",SUM(IF('CO-PO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IF('CO-PO Mapping'!Y$7, IF(OR($AS54="-",SUM(IF('CO-PO Mapping'!Y$2,$AB$29,0),IF('CO-PO Mapping'!Y$3,$AC$29,0),IF('CO-PO Mapping'!Y$4,$AD$29,0),IF('CO-PO Mapping'!Y$5,$AE$29,0),IF('CO-PO Mapping'!Y$6,$AF$29,0),IF('CO-PO Mapping'!Y$7,$AG$29,0))=0), "-", IF(SUM(IF('CO-PO Mapping'!Y$2,$AH54*$AB$29,0),IF('CO-PO Mapping'!Y$3,$AI54*$AC$29,0),IF('CO-PO Mapping'!Y$4,$AJ54*$AD$29,0),IF('CO-PO Mapping'!Y$5,$AK54*$AE$29,0),IF('CO-PO Mapping'!Y$6,$AL54*$AF$29,0),IF('CO-PO Mapping'!Y$7,$AM54*$AG$29,0))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4" s="95" t="str">
        <f>IF('CO-PO Mapping'!Z$2, IF(OR($AN54="-",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IF(OR($AP54="-", SUM( IF('CO-PO Mapping'!Z$2,$AB$29,0), IF('CO-PO Mapping'!Z$3,$AC$29,0), IF('CO-PO Mapping'!Z$4,$AD$29,0), IF('CO-PO Mapping'!Z$5,$AE$29,0), IF('CO-PO Mapping'!Z$6,$AF$29,0), IF('CO-PO Mapping'!Z$7,$AG$29,0) )=0), "-", IF( SUM( IF('CO-PO Mapping'!Z$2,$AH54*$AB$29,0), IF('CO-PO Mapping'!Z$3,$AI54*$AC$29,0), IF('CO-PO Mapping'!Z$4,$AJ54*$AD$29,0), IF('CO-PO Mapping'!Z$5,$AK54*$AE$29,0), IF('CO-PO Mapping'!Z$6,$AL54*$AF$29,0), IF('CO-PO Mapping'!Z$7,$AM54*$AG$29,0)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IF('CO-PO Mapping'!Z$6, IF(OR($AR54="-",SUM(IF('CO-PO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IF('CO-PO Mapping'!Z$7, IF(OR($AS54="-",SUM(IF('CO-PO Mapping'!Z$2,$AB$29,0),IF('CO-PO Mapping'!Z$3,$AC$29,0),IF('CO-PO Mapping'!Z$4,$AD$29,0),IF('CO-PO Mapping'!Z$5,$AE$29,0),IF('CO-PO Mapping'!Z$6,$AF$29,0),IF('CO-PO Mapping'!Z$7,$AG$29,0))=0), "-", IF(SUM(IF('CO-PO Mapping'!Z$2,$AH54*$AB$29,0),IF('CO-PO Mapping'!Z$3,$AI54*$AC$29,0),IF('CO-PO Mapping'!Z$4,$AJ54*$AD$29,0),IF('CO-PO Mapping'!Z$5,$AK54*$AE$29,0),IF('CO-PO Mapping'!Z$6,$AL54*$AF$29,0),IF('CO-PO Mapping'!Z$7,$AM54*$AG$29,0))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5" spans="1:57" ht="15" customHeight="1" thickBot="1">
      <c r="A55" s="110">
        <v>22235103235</v>
      </c>
      <c r="B55" s="111" t="s">
        <v>172</v>
      </c>
      <c r="C55" s="70">
        <v>4</v>
      </c>
      <c r="D55" s="69"/>
      <c r="E55" s="69">
        <v>20</v>
      </c>
      <c r="F55" s="69"/>
      <c r="G55" s="69"/>
      <c r="H55" s="103">
        <f t="shared" si="2"/>
        <v>24</v>
      </c>
      <c r="I55" s="75">
        <v>7</v>
      </c>
      <c r="J55" s="75">
        <v>5</v>
      </c>
      <c r="K55" s="75">
        <v>4</v>
      </c>
      <c r="L55" s="75"/>
      <c r="M55" s="75"/>
      <c r="N55" s="75"/>
      <c r="O55" s="105">
        <f t="shared" si="3"/>
        <v>16</v>
      </c>
      <c r="P55" s="75">
        <v>11</v>
      </c>
      <c r="Q55" s="75">
        <v>12</v>
      </c>
      <c r="R55" s="75"/>
      <c r="S55" s="75"/>
      <c r="T55" s="75"/>
      <c r="U55" s="75"/>
      <c r="V55" s="104">
        <f t="shared" si="4"/>
        <v>23</v>
      </c>
      <c r="W55" s="83">
        <f t="shared" si="5"/>
        <v>63</v>
      </c>
      <c r="X55" s="98" t="str">
        <f t="shared" si="10"/>
        <v>B</v>
      </c>
      <c r="Y55" s="47"/>
      <c r="Z55" s="42">
        <f t="shared" si="6"/>
        <v>22235103235</v>
      </c>
      <c r="AA55" s="43" t="str">
        <f t="shared" si="7"/>
        <v>Suraia Islam</v>
      </c>
      <c r="AB55" s="90">
        <f t="shared" si="11"/>
        <v>31</v>
      </c>
      <c r="AC55" s="90">
        <f t="shared" si="11"/>
        <v>16</v>
      </c>
      <c r="AD55" s="90">
        <f t="shared" si="11"/>
        <v>16</v>
      </c>
      <c r="AE55" s="90">
        <f t="shared" si="11"/>
        <v>0</v>
      </c>
      <c r="AF55" s="90">
        <f t="shared" si="11"/>
        <v>0</v>
      </c>
      <c r="AG55" s="90">
        <f t="shared" si="25"/>
        <v>0</v>
      </c>
      <c r="AH55" s="92">
        <f t="shared" si="12"/>
        <v>77.5</v>
      </c>
      <c r="AI55" s="92">
        <f t="shared" si="13"/>
        <v>53.333333333333336</v>
      </c>
      <c r="AJ55" s="92">
        <f t="shared" si="14"/>
        <v>53.333333333333336</v>
      </c>
      <c r="AK55" s="92">
        <f t="shared" si="22"/>
        <v>0</v>
      </c>
      <c r="AL55" s="92">
        <f t="shared" si="15"/>
        <v>0</v>
      </c>
      <c r="AM55" s="92">
        <f t="shared" si="16"/>
        <v>0</v>
      </c>
      <c r="AN55" s="93" t="str">
        <f t="shared" si="23"/>
        <v>Y</v>
      </c>
      <c r="AO55" s="93" t="str">
        <f t="shared" si="17"/>
        <v>Y</v>
      </c>
      <c r="AP55" s="93" t="str">
        <f t="shared" si="18"/>
        <v>Y</v>
      </c>
      <c r="AQ55" s="93" t="str">
        <f t="shared" si="19"/>
        <v>N</v>
      </c>
      <c r="AR55" s="93" t="str">
        <f t="shared" si="20"/>
        <v>N</v>
      </c>
      <c r="AS55" s="93" t="str">
        <f>IF(OR($Z55="",AND(AM55=0,$Z55="")),"-",IF(AM55&gt;=$AQ$27,"Y","N"))</f>
        <v>N</v>
      </c>
      <c r="AT55" s="95" t="str">
        <f>IF('CO-PO Mapping'!O$2, IF(OR($AN55="-",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IF(OR($AP55="-", SUM( IF('CO-PO Mapping'!O$2,$AB$29,0), IF('CO-PO Mapping'!O$3,$AC$29,0), IF('CO-PO Mapping'!O$4,$AD$29,0), IF('CO-PO Mapping'!O$5,$AE$29,0), IF('CO-PO Mapping'!O$6,$AF$29,0), IF('CO-PO Mapping'!O$7,$AG$29,0) )=0), "-", IF( SUM( IF('CO-PO Mapping'!O$2,$AH55*$AB$29,0), IF('CO-PO Mapping'!O$3,$AI55*$AC$29,0), IF('CO-PO Mapping'!O$4,$AJ55*$AD$29,0), IF('CO-PO Mapping'!O$5,$AK55*$AE$29,0), IF('CO-PO Mapping'!O$6,$AL55*$AF$29,0), IF('CO-PO Mapping'!O$7,$AM55*$AG$29,0)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IF('CO-PO Mapping'!O$6, IF(OR($AR55="-",SUM(IF('CO-PO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IF('CO-PO Mapping'!O$7, IF(OR($AS55="-",SUM(IF('CO-PO Mapping'!O$2,$AB$29,0),IF('CO-PO Mapping'!O$3,$AC$29,0),IF('CO-PO Mapping'!O$4,$AD$29,0),IF('CO-PO Mapping'!O$5,$AE$29,0),IF('CO-PO Mapping'!O$6,$AF$29,0),IF('CO-PO Mapping'!O$7,$AG$29,0))=0), "-", IF(SUM(IF('CO-PO Mapping'!O$2,$AH55*$AB$29,0),IF('CO-PO Mapping'!O$3,$AI55*$AC$29,0),IF('CO-PO Mapping'!O$4,$AJ55*$AD$29,0),IF('CO-PO Mapping'!O$5,$AK55*$AE$29,0),IF('CO-PO Mapping'!O$6,$AL55*$AF$29,0),IF('CO-PO Mapping'!O$7,$AM55*$AG$29,0))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5" s="95" t="str">
        <f>IF('CO-PO Mapping'!P$2, IF(OR($AN55="-",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IF(OR($AP55="-", SUM( IF('CO-PO Mapping'!P$2,$AB$29,0), IF('CO-PO Mapping'!P$3,$AC$29,0), IF('CO-PO Mapping'!P$4,$AD$29,0), IF('CO-PO Mapping'!P$5,$AE$29,0), IF('CO-PO Mapping'!P$6,$AF$29,0), IF('CO-PO Mapping'!P$7,$AG$29,0) )=0), "-", IF( SUM( IF('CO-PO Mapping'!P$2,$AH55*$AB$29,0), IF('CO-PO Mapping'!P$3,$AI55*$AC$29,0), IF('CO-PO Mapping'!P$4,$AJ55*$AD$29,0), IF('CO-PO Mapping'!P$5,$AK55*$AE$29,0), IF('CO-PO Mapping'!P$6,$AL55*$AF$29,0), IF('CO-PO Mapping'!P$7,$AM55*$AG$29,0)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IF('CO-PO Mapping'!P$6, IF(OR($AR55="-",SUM(IF('CO-PO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IF('CO-PO Mapping'!P$7, IF(OR($AS55="-",SUM(IF('CO-PO Mapping'!P$2,$AB$29,0),IF('CO-PO Mapping'!P$3,$AC$29,0),IF('CO-PO Mapping'!P$4,$AD$29,0),IF('CO-PO Mapping'!P$5,$AE$29,0),IF('CO-PO Mapping'!P$6,$AF$29,0),IF('CO-PO Mapping'!P$7,$AG$29,0))=0), "-", IF(SUM(IF('CO-PO Mapping'!P$2,$AH55*$AB$29,0),IF('CO-PO Mapping'!P$3,$AI55*$AC$29,0),IF('CO-PO Mapping'!P$4,$AJ55*$AD$29,0),IF('CO-PO Mapping'!P$5,$AK55*$AE$29,0),IF('CO-PO Mapping'!P$6,$AL55*$AF$29,0),IF('CO-PO Mapping'!P$7,$AM55*$AG$29,0))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5" s="95" t="str">
        <f>IF('CO-PO Mapping'!Q$2, IF(OR($AN55="-",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IF(OR($AP55="-", SUM( IF('CO-PO Mapping'!Q$2,$AB$29,0), IF('CO-PO Mapping'!Q$3,$AC$29,0), IF('CO-PO Mapping'!Q$4,$AD$29,0), IF('CO-PO Mapping'!Q$5,$AE$29,0), IF('CO-PO Mapping'!Q$6,$AF$29,0), IF('CO-PO Mapping'!Q$7,$AG$29,0) )=0), "-", IF( SUM( IF('CO-PO Mapping'!Q$2,$AH55*$AB$29,0), IF('CO-PO Mapping'!Q$3,$AI55*$AC$29,0), IF('CO-PO Mapping'!Q$4,$AJ55*$AD$29,0), IF('CO-PO Mapping'!Q$5,$AK55*$AE$29,0), IF('CO-PO Mapping'!Q$6,$AL55*$AF$29,0), IF('CO-PO Mapping'!Q$7,$AM55*$AG$29,0)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IF('CO-PO Mapping'!Q$6, IF(OR($AR55="-",SUM(IF('CO-PO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IF('CO-PO Mapping'!Q$7, IF(OR($AS55="-",SUM(IF('CO-PO Mapping'!Q$2,$AB$29,0),IF('CO-PO Mapping'!Q$3,$AC$29,0),IF('CO-PO Mapping'!Q$4,$AD$29,0),IF('CO-PO Mapping'!Q$5,$AE$29,0),IF('CO-PO Mapping'!Q$6,$AF$29,0),IF('CO-PO Mapping'!Q$7,$AG$29,0))=0), "-", IF(SUM(IF('CO-PO Mapping'!Q$2,$AH55*$AB$29,0),IF('CO-PO Mapping'!Q$3,$AI55*$AC$29,0),IF('CO-PO Mapping'!Q$4,$AJ55*$AD$29,0),IF('CO-PO Mapping'!Q$5,$AK55*$AE$29,0),IF('CO-PO Mapping'!Q$6,$AL55*$AF$29,0),IF('CO-PO Mapping'!Q$7,$AM55*$AG$29,0))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5" s="95" t="str">
        <f>IF('CO-PO Mapping'!R$2, IF(OR($AN55="-",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IF(OR($AP55="-", SUM( IF('CO-PO Mapping'!R$2,$AB$29,0), IF('CO-PO Mapping'!R$3,$AC$29,0), IF('CO-PO Mapping'!R$4,$AD$29,0), IF('CO-PO Mapping'!R$5,$AE$29,0), IF('CO-PO Mapping'!R$6,$AF$29,0), IF('CO-PO Mapping'!R$7,$AG$29,0) )=0), "-", IF( SUM( IF('CO-PO Mapping'!R$2,$AH55*$AB$29,0), IF('CO-PO Mapping'!R$3,$AI55*$AC$29,0), IF('CO-PO Mapping'!R$4,$AJ55*$AD$29,0), IF('CO-PO Mapping'!R$5,$AK55*$AE$29,0), IF('CO-PO Mapping'!R$6,$AL55*$AF$29,0), IF('CO-PO Mapping'!R$7,$AM55*$AG$29,0)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IF('CO-PO Mapping'!R$6, IF(OR($AR55="-",SUM(IF('CO-PO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IF('CO-PO Mapping'!R$7, IF(OR($AS55="-",SUM(IF('CO-PO Mapping'!R$2,$AB$29,0),IF('CO-PO Mapping'!R$3,$AC$29,0),IF('CO-PO Mapping'!R$4,$AD$29,0),IF('CO-PO Mapping'!R$5,$AE$29,0),IF('CO-PO Mapping'!R$6,$AF$29,0),IF('CO-PO Mapping'!R$7,$AG$29,0))=0), "-", IF(SUM(IF('CO-PO Mapping'!R$2,$AH55*$AB$29,0),IF('CO-PO Mapping'!R$3,$AI55*$AC$29,0),IF('CO-PO Mapping'!R$4,$AJ55*$AD$29,0),IF('CO-PO Mapping'!R$5,$AK55*$AE$29,0),IF('CO-PO Mapping'!R$6,$AL55*$AF$29,0),IF('CO-PO Mapping'!R$7,$AM55*$AG$29,0))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5" s="95" t="str">
        <f>IF('CO-PO Mapping'!S$2, IF(OR($AN55="-",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IF(OR($AP55="-", SUM( IF('CO-PO Mapping'!S$2,$AB$29,0), IF('CO-PO Mapping'!S$3,$AC$29,0), IF('CO-PO Mapping'!S$4,$AD$29,0), IF('CO-PO Mapping'!S$5,$AE$29,0), IF('CO-PO Mapping'!S$6,$AF$29,0), IF('CO-PO Mapping'!S$7,$AG$29,0) )=0), "-", IF( SUM( IF('CO-PO Mapping'!S$2,$AH55*$AB$29,0), IF('CO-PO Mapping'!S$3,$AI55*$AC$29,0), IF('CO-PO Mapping'!S$4,$AJ55*$AD$29,0), IF('CO-PO Mapping'!S$5,$AK55*$AE$29,0), IF('CO-PO Mapping'!S$6,$AL55*$AF$29,0), IF('CO-PO Mapping'!S$7,$AM55*$AG$29,0)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IF('CO-PO Mapping'!S$6, IF(OR($AR55="-",SUM(IF('CO-PO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IF('CO-PO Mapping'!S$7, IF(OR($AS55="-",SUM(IF('CO-PO Mapping'!S$2,$AB$29,0),IF('CO-PO Mapping'!S$3,$AC$29,0),IF('CO-PO Mapping'!S$4,$AD$29,0),IF('CO-PO Mapping'!S$5,$AE$29,0),IF('CO-PO Mapping'!S$6,$AF$29,0),IF('CO-PO Mapping'!S$7,$AG$29,0))=0), "-", IF(SUM(IF('CO-PO Mapping'!S$2,$AH55*$AB$29,0),IF('CO-PO Mapping'!S$3,$AI55*$AC$29,0),IF('CO-PO Mapping'!S$4,$AJ55*$AD$29,0),IF('CO-PO Mapping'!S$5,$AK55*$AE$29,0),IF('CO-PO Mapping'!S$6,$AL55*$AF$29,0),IF('CO-PO Mapping'!S$7,$AM55*$AG$29,0))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5" s="95" t="str">
        <f>IF('CO-PO Mapping'!T$2, IF(OR($AN55="-",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IF(OR($AP55="-", SUM( IF('CO-PO Mapping'!T$2,$AB$29,0), IF('CO-PO Mapping'!T$3,$AC$29,0), IF('CO-PO Mapping'!T$4,$AD$29,0), IF('CO-PO Mapping'!T$5,$AE$29,0), IF('CO-PO Mapping'!T$6,$AF$29,0), IF('CO-PO Mapping'!T$7,$AG$29,0) )=0), "-", IF( SUM( IF('CO-PO Mapping'!T$2,$AH55*$AB$29,0), IF('CO-PO Mapping'!T$3,$AI55*$AC$29,0), IF('CO-PO Mapping'!T$4,$AJ55*$AD$29,0), IF('CO-PO Mapping'!T$5,$AK55*$AE$29,0), IF('CO-PO Mapping'!T$6,$AL55*$AF$29,0), IF('CO-PO Mapping'!T$7,$AM55*$AG$29,0)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IF('CO-PO Mapping'!T$6, IF(OR($AR55="-",SUM(IF('CO-PO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IF('CO-PO Mapping'!T$7, IF(OR($AS55="-",SUM(IF('CO-PO Mapping'!T$2,$AB$29,0),IF('CO-PO Mapping'!T$3,$AC$29,0),IF('CO-PO Mapping'!T$4,$AD$29,0),IF('CO-PO Mapping'!T$5,$AE$29,0),IF('CO-PO Mapping'!T$6,$AF$29,0),IF('CO-PO Mapping'!T$7,$AG$29,0))=0), "-", IF(SUM(IF('CO-PO Mapping'!T$2,$AH55*$AB$29,0),IF('CO-PO Mapping'!T$3,$AI55*$AC$29,0),IF('CO-PO Mapping'!T$4,$AJ55*$AD$29,0),IF('CO-PO Mapping'!T$5,$AK55*$AE$29,0),IF('CO-PO Mapping'!T$6,$AL55*$AF$29,0),IF('CO-PO Mapping'!T$7,$AM55*$AG$29,0))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5" s="95" t="str">
        <f>IF('CO-PO Mapping'!U$2, IF(OR($AN55="-",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IF(OR($AP55="-", SUM( IF('CO-PO Mapping'!U$2,$AB$29,0), IF('CO-PO Mapping'!U$3,$AC$29,0), IF('CO-PO Mapping'!U$4,$AD$29,0), IF('CO-PO Mapping'!U$5,$AE$29,0), IF('CO-PO Mapping'!U$6,$AF$29,0), IF('CO-PO Mapping'!U$7,$AG$29,0) )=0), "-", IF( SUM( IF('CO-PO Mapping'!U$2,$AH55*$AB$29,0), IF('CO-PO Mapping'!U$3,$AI55*$AC$29,0), IF('CO-PO Mapping'!U$4,$AJ55*$AD$29,0), IF('CO-PO Mapping'!U$5,$AK55*$AE$29,0), IF('CO-PO Mapping'!U$6,$AL55*$AF$29,0), IF('CO-PO Mapping'!U$7,$AM55*$AG$29,0)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IF('CO-PO Mapping'!U$6, IF(OR($AR55="-",SUM(IF('CO-PO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IF('CO-PO Mapping'!U$7, IF(OR($AS55="-",SUM(IF('CO-PO Mapping'!U$2,$AB$29,0),IF('CO-PO Mapping'!U$3,$AC$29,0),IF('CO-PO Mapping'!U$4,$AD$29,0),IF('CO-PO Mapping'!U$5,$AE$29,0),IF('CO-PO Mapping'!U$6,$AF$29,0),IF('CO-PO Mapping'!U$7,$AG$29,0))=0), "-", IF(SUM(IF('CO-PO Mapping'!U$2,$AH55*$AB$29,0),IF('CO-PO Mapping'!U$3,$AI55*$AC$29,0),IF('CO-PO Mapping'!U$4,$AJ55*$AD$29,0),IF('CO-PO Mapping'!U$5,$AK55*$AE$29,0),IF('CO-PO Mapping'!U$6,$AL55*$AF$29,0),IF('CO-PO Mapping'!U$7,$AM55*$AG$29,0))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5" s="95" t="str">
        <f>IF('CO-PO Mapping'!V$2, IF(OR($AN55="-",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IF(OR($AP55="-", SUM( IF('CO-PO Mapping'!V$2,$AB$29,0), IF('CO-PO Mapping'!V$3,$AC$29,0), IF('CO-PO Mapping'!V$4,$AD$29,0), IF('CO-PO Mapping'!V$5,$AE$29,0), IF('CO-PO Mapping'!V$6,$AF$29,0), IF('CO-PO Mapping'!V$7,$AG$29,0) )=0), "-", IF( SUM( IF('CO-PO Mapping'!V$2,$AH55*$AB$29,0), IF('CO-PO Mapping'!V$3,$AI55*$AC$29,0), IF('CO-PO Mapping'!V$4,$AJ55*$AD$29,0), IF('CO-PO Mapping'!V$5,$AK55*$AE$29,0), IF('CO-PO Mapping'!V$6,$AL55*$AF$29,0), IF('CO-PO Mapping'!V$7,$AM55*$AG$29,0)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IF('CO-PO Mapping'!V$6, IF(OR($AR55="-",SUM(IF('CO-PO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IF('CO-PO Mapping'!V$7, IF(OR($AS55="-",SUM(IF('CO-PO Mapping'!V$2,$AB$29,0),IF('CO-PO Mapping'!V$3,$AC$29,0),IF('CO-PO Mapping'!V$4,$AD$29,0),IF('CO-PO Mapping'!V$5,$AE$29,0),IF('CO-PO Mapping'!V$6,$AF$29,0),IF('CO-PO Mapping'!V$7,$AG$29,0))=0), "-", IF(SUM(IF('CO-PO Mapping'!V$2,$AH55*$AB$29,0),IF('CO-PO Mapping'!V$3,$AI55*$AC$29,0),IF('CO-PO Mapping'!V$4,$AJ55*$AD$29,0),IF('CO-PO Mapping'!V$5,$AK55*$AE$29,0),IF('CO-PO Mapping'!V$6,$AL55*$AF$29,0),IF('CO-PO Mapping'!V$7,$AM55*$AG$29,0))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5" s="95" t="str">
        <f>IF('CO-PO Mapping'!W$2, IF(OR($AN55="-",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IF(OR($AP55="-", SUM( IF('CO-PO Mapping'!W$2,$AB$29,0), IF('CO-PO Mapping'!W$3,$AC$29,0), IF('CO-PO Mapping'!W$4,$AD$29,0), IF('CO-PO Mapping'!W$5,$AE$29,0), IF('CO-PO Mapping'!W$6,$AF$29,0), IF('CO-PO Mapping'!W$7,$AG$29,0) )=0), "-", IF( SUM( IF('CO-PO Mapping'!W$2,$AH55*$AB$29,0), IF('CO-PO Mapping'!W$3,$AI55*$AC$29,0), IF('CO-PO Mapping'!W$4,$AJ55*$AD$29,0), IF('CO-PO Mapping'!W$5,$AK55*$AE$29,0), IF('CO-PO Mapping'!W$6,$AL55*$AF$29,0), IF('CO-PO Mapping'!W$7,$AM55*$AG$29,0)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IF('CO-PO Mapping'!W$6, IF(OR($AR55="-",SUM(IF('CO-PO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IF('CO-PO Mapping'!W$7, IF(OR($AS55="-",SUM(IF('CO-PO Mapping'!W$2,$AB$29,0),IF('CO-PO Mapping'!W$3,$AC$29,0),IF('CO-PO Mapping'!W$4,$AD$29,0),IF('CO-PO Mapping'!W$5,$AE$29,0),IF('CO-PO Mapping'!W$6,$AF$29,0),IF('CO-PO Mapping'!W$7,$AG$29,0))=0), "-", IF(SUM(IF('CO-PO Mapping'!W$2,$AH55*$AB$29,0),IF('CO-PO Mapping'!W$3,$AI55*$AC$29,0),IF('CO-PO Mapping'!W$4,$AJ55*$AD$29,0),IF('CO-PO Mapping'!W$5,$AK55*$AE$29,0),IF('CO-PO Mapping'!W$6,$AL55*$AF$29,0),IF('CO-PO Mapping'!W$7,$AM55*$AG$29,0))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5" s="95" t="str">
        <f>IF('CO-PO Mapping'!X$2, IF(OR($AN55="-",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IF(OR($AP55="-", SUM( IF('CO-PO Mapping'!X$2,$AB$29,0), IF('CO-PO Mapping'!X$3,$AC$29,0), IF('CO-PO Mapping'!X$4,$AD$29,0), IF('CO-PO Mapping'!X$5,$AE$29,0), IF('CO-PO Mapping'!X$6,$AF$29,0), IF('CO-PO Mapping'!X$7,$AG$29,0) )=0), "-", IF( SUM( IF('CO-PO Mapping'!X$2,$AH55*$AB$29,0), IF('CO-PO Mapping'!X$3,$AI55*$AC$29,0), IF('CO-PO Mapping'!X$4,$AJ55*$AD$29,0), IF('CO-PO Mapping'!X$5,$AK55*$AE$29,0), IF('CO-PO Mapping'!X$6,$AL55*$AF$29,0), IF('CO-PO Mapping'!X$7,$AM55*$AG$29,0)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IF('CO-PO Mapping'!X$6, IF(OR($AR55="-",SUM(IF('CO-PO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IF('CO-PO Mapping'!X$7, IF(OR($AS55="-",SUM(IF('CO-PO Mapping'!X$2,$AB$29,0),IF('CO-PO Mapping'!X$3,$AC$29,0),IF('CO-PO Mapping'!X$4,$AD$29,0),IF('CO-PO Mapping'!X$5,$AE$29,0),IF('CO-PO Mapping'!X$6,$AF$29,0),IF('CO-PO Mapping'!X$7,$AG$29,0))=0), "-", IF(SUM(IF('CO-PO Mapping'!X$2,$AH55*$AB$29,0),IF('CO-PO Mapping'!X$3,$AI55*$AC$29,0),IF('CO-PO Mapping'!X$4,$AJ55*$AD$29,0),IF('CO-PO Mapping'!X$5,$AK55*$AE$29,0),IF('CO-PO Mapping'!X$6,$AL55*$AF$29,0),IF('CO-PO Mapping'!X$7,$AM55*$AG$29,0))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5" s="95" t="str">
        <f>IF('CO-PO Mapping'!Y$2, IF(OR($AN55="-",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IF(OR($AP55="-", SUM( IF('CO-PO Mapping'!Y$2,$AB$29,0), IF('CO-PO Mapping'!Y$3,$AC$29,0), IF('CO-PO Mapping'!Y$4,$AD$29,0), IF('CO-PO Mapping'!Y$5,$AE$29,0), IF('CO-PO Mapping'!Y$6,$AF$29,0), IF('CO-PO Mapping'!Y$7,$AG$29,0) )=0), "-", IF( SUM( IF('CO-PO Mapping'!Y$2,$AH55*$AB$29,0), IF('CO-PO Mapping'!Y$3,$AI55*$AC$29,0), IF('CO-PO Mapping'!Y$4,$AJ55*$AD$29,0), IF('CO-PO Mapping'!Y$5,$AK55*$AE$29,0), IF('CO-PO Mapping'!Y$6,$AL55*$AF$29,0), IF('CO-PO Mapping'!Y$7,$AM55*$AG$29,0)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IF('CO-PO Mapping'!Y$6, IF(OR($AR55="-",SUM(IF('CO-PO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IF('CO-PO Mapping'!Y$7, IF(OR($AS55="-",SUM(IF('CO-PO Mapping'!Y$2,$AB$29,0),IF('CO-PO Mapping'!Y$3,$AC$29,0),IF('CO-PO Mapping'!Y$4,$AD$29,0),IF('CO-PO Mapping'!Y$5,$AE$29,0),IF('CO-PO Mapping'!Y$6,$AF$29,0),IF('CO-PO Mapping'!Y$7,$AG$29,0))=0), "-", IF(SUM(IF('CO-PO Mapping'!Y$2,$AH55*$AB$29,0),IF('CO-PO Mapping'!Y$3,$AI55*$AC$29,0),IF('CO-PO Mapping'!Y$4,$AJ55*$AD$29,0),IF('CO-PO Mapping'!Y$5,$AK55*$AE$29,0),IF('CO-PO Mapping'!Y$6,$AL55*$AF$29,0),IF('CO-PO Mapping'!Y$7,$AM55*$AG$29,0))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5" s="95" t="str">
        <f>IF('CO-PO Mapping'!Z$2, IF(OR($AN55="-",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IF(OR($AP55="-", SUM( IF('CO-PO Mapping'!Z$2,$AB$29,0), IF('CO-PO Mapping'!Z$3,$AC$29,0), IF('CO-PO Mapping'!Z$4,$AD$29,0), IF('CO-PO Mapping'!Z$5,$AE$29,0), IF('CO-PO Mapping'!Z$6,$AF$29,0), IF('CO-PO Mapping'!Z$7,$AG$29,0) )=0), "-", IF( SUM( IF('CO-PO Mapping'!Z$2,$AH55*$AB$29,0), IF('CO-PO Mapping'!Z$3,$AI55*$AC$29,0), IF('CO-PO Mapping'!Z$4,$AJ55*$AD$29,0), IF('CO-PO Mapping'!Z$5,$AK55*$AE$29,0), IF('CO-PO Mapping'!Z$6,$AL55*$AF$29,0), IF('CO-PO Mapping'!Z$7,$AM55*$AG$29,0)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IF('CO-PO Mapping'!Z$6, IF(OR($AR55="-",SUM(IF('CO-PO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IF('CO-PO Mapping'!Z$7, IF(OR($AS55="-",SUM(IF('CO-PO Mapping'!Z$2,$AB$29,0),IF('CO-PO Mapping'!Z$3,$AC$29,0),IF('CO-PO Mapping'!Z$4,$AD$29,0),IF('CO-PO Mapping'!Z$5,$AE$29,0),IF('CO-PO Mapping'!Z$6,$AF$29,0),IF('CO-PO Mapping'!Z$7,$AG$29,0))=0), "-", IF(SUM(IF('CO-PO Mapping'!Z$2,$AH55*$AB$29,0),IF('CO-PO Mapping'!Z$3,$AI55*$AC$29,0),IF('CO-PO Mapping'!Z$4,$AJ55*$AD$29,0),IF('CO-PO Mapping'!Z$5,$AK55*$AE$29,0),IF('CO-PO Mapping'!Z$6,$AL55*$AF$29,0),IF('CO-PO Mapping'!Z$7,$AM55*$AG$29,0))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6" spans="1:57" ht="15" customHeight="1" thickBot="1">
      <c r="A56" s="110">
        <v>22235103237</v>
      </c>
      <c r="B56" s="111" t="s">
        <v>173</v>
      </c>
      <c r="C56" s="70">
        <v>4</v>
      </c>
      <c r="D56" s="70"/>
      <c r="E56" s="71">
        <v>20</v>
      </c>
      <c r="F56" s="70"/>
      <c r="G56" s="71"/>
      <c r="H56" s="103">
        <f t="shared" si="2"/>
        <v>24</v>
      </c>
      <c r="I56" s="75">
        <v>6</v>
      </c>
      <c r="J56" s="75">
        <v>8</v>
      </c>
      <c r="K56" s="75">
        <v>8</v>
      </c>
      <c r="L56" s="75"/>
      <c r="M56" s="75"/>
      <c r="N56" s="75"/>
      <c r="O56" s="105">
        <f t="shared" si="3"/>
        <v>22</v>
      </c>
      <c r="P56" s="75">
        <v>16</v>
      </c>
      <c r="Q56" s="75">
        <v>16</v>
      </c>
      <c r="R56" s="75"/>
      <c r="S56" s="75"/>
      <c r="T56" s="75"/>
      <c r="U56" s="75"/>
      <c r="V56" s="104">
        <f t="shared" si="4"/>
        <v>32</v>
      </c>
      <c r="W56" s="83">
        <f t="shared" si="5"/>
        <v>78</v>
      </c>
      <c r="X56" s="98" t="str">
        <f t="shared" si="10"/>
        <v>A</v>
      </c>
      <c r="Y56" s="47"/>
      <c r="Z56" s="42">
        <f t="shared" si="6"/>
        <v>22235103237</v>
      </c>
      <c r="AA56" s="43" t="str">
        <f t="shared" si="7"/>
        <v>Ali Akbar Rakib</v>
      </c>
      <c r="AB56" s="90">
        <f t="shared" si="11"/>
        <v>30</v>
      </c>
      <c r="AC56" s="90">
        <f t="shared" si="11"/>
        <v>24</v>
      </c>
      <c r="AD56" s="90">
        <f t="shared" si="11"/>
        <v>24</v>
      </c>
      <c r="AE56" s="90">
        <f t="shared" si="11"/>
        <v>0</v>
      </c>
      <c r="AF56" s="90">
        <f t="shared" si="11"/>
        <v>0</v>
      </c>
      <c r="AG56" s="90">
        <f t="shared" si="25"/>
        <v>0</v>
      </c>
      <c r="AH56" s="92">
        <f t="shared" si="12"/>
        <v>75</v>
      </c>
      <c r="AI56" s="92">
        <f t="shared" si="13"/>
        <v>80</v>
      </c>
      <c r="AJ56" s="92">
        <f t="shared" si="14"/>
        <v>80</v>
      </c>
      <c r="AK56" s="92">
        <f t="shared" si="22"/>
        <v>0</v>
      </c>
      <c r="AL56" s="92">
        <f t="shared" si="15"/>
        <v>0</v>
      </c>
      <c r="AM56" s="92">
        <f t="shared" si="16"/>
        <v>0</v>
      </c>
      <c r="AN56" s="93" t="str">
        <f t="shared" si="23"/>
        <v>Y</v>
      </c>
      <c r="AO56" s="93" t="str">
        <f t="shared" si="17"/>
        <v>Y</v>
      </c>
      <c r="AP56" s="93" t="str">
        <f t="shared" si="18"/>
        <v>Y</v>
      </c>
      <c r="AQ56" s="93" t="str">
        <f t="shared" si="19"/>
        <v>N</v>
      </c>
      <c r="AR56" s="93" t="str">
        <f t="shared" si="20"/>
        <v>N</v>
      </c>
      <c r="AS56" s="93" t="str">
        <f t="shared" si="21"/>
        <v>N</v>
      </c>
      <c r="AT56" s="95" t="str">
        <f>IF('CO-PO Mapping'!O$2, IF(OR($AN56="-",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IF(OR($AP56="-", SUM( IF('CO-PO Mapping'!O$2,$AB$29,0), IF('CO-PO Mapping'!O$3,$AC$29,0), IF('CO-PO Mapping'!O$4,$AD$29,0), IF('CO-PO Mapping'!O$5,$AE$29,0), IF('CO-PO Mapping'!O$6,$AF$29,0), IF('CO-PO Mapping'!O$7,$AG$29,0) )=0), "-", IF( SUM( IF('CO-PO Mapping'!O$2,$AH56*$AB$29,0), IF('CO-PO Mapping'!O$3,$AI56*$AC$29,0), IF('CO-PO Mapping'!O$4,$AJ56*$AD$29,0), IF('CO-PO Mapping'!O$5,$AK56*$AE$29,0), IF('CO-PO Mapping'!O$6,$AL56*$AF$29,0), IF('CO-PO Mapping'!O$7,$AM56*$AG$29,0)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IF('CO-PO Mapping'!O$6, IF(OR($AR56="-",SUM(IF('CO-PO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IF('CO-PO Mapping'!O$7, IF(OR($AS56="-",SUM(IF('CO-PO Mapping'!O$2,$AB$29,0),IF('CO-PO Mapping'!O$3,$AC$29,0),IF('CO-PO Mapping'!O$4,$AD$29,0),IF('CO-PO Mapping'!O$5,$AE$29,0),IF('CO-PO Mapping'!O$6,$AF$29,0),IF('CO-PO Mapping'!O$7,$AG$29,0))=0), "-", IF(SUM(IF('CO-PO Mapping'!O$2,$AH56*$AB$29,0),IF('CO-PO Mapping'!O$3,$AI56*$AC$29,0),IF('CO-PO Mapping'!O$4,$AJ56*$AD$29,0),IF('CO-PO Mapping'!O$5,$AK56*$AE$29,0),IF('CO-PO Mapping'!O$6,$AL56*$AF$29,0),IF('CO-PO Mapping'!O$7,$AM56*$AG$29,0))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6" s="95" t="str">
        <f>IF('CO-PO Mapping'!P$2, IF(OR($AN56="-",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IF(OR($AP56="-", SUM( IF('CO-PO Mapping'!P$2,$AB$29,0), IF('CO-PO Mapping'!P$3,$AC$29,0), IF('CO-PO Mapping'!P$4,$AD$29,0), IF('CO-PO Mapping'!P$5,$AE$29,0), IF('CO-PO Mapping'!P$6,$AF$29,0), IF('CO-PO Mapping'!P$7,$AG$29,0) )=0), "-", IF( SUM( IF('CO-PO Mapping'!P$2,$AH56*$AB$29,0), IF('CO-PO Mapping'!P$3,$AI56*$AC$29,0), IF('CO-PO Mapping'!P$4,$AJ56*$AD$29,0), IF('CO-PO Mapping'!P$5,$AK56*$AE$29,0), IF('CO-PO Mapping'!P$6,$AL56*$AF$29,0), IF('CO-PO Mapping'!P$7,$AM56*$AG$29,0)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IF('CO-PO Mapping'!P$6, IF(OR($AR56="-",SUM(IF('CO-PO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IF('CO-PO Mapping'!P$7, IF(OR($AS56="-",SUM(IF('CO-PO Mapping'!P$2,$AB$29,0),IF('CO-PO Mapping'!P$3,$AC$29,0),IF('CO-PO Mapping'!P$4,$AD$29,0),IF('CO-PO Mapping'!P$5,$AE$29,0),IF('CO-PO Mapping'!P$6,$AF$29,0),IF('CO-PO Mapping'!P$7,$AG$29,0))=0), "-", IF(SUM(IF('CO-PO Mapping'!P$2,$AH56*$AB$29,0),IF('CO-PO Mapping'!P$3,$AI56*$AC$29,0),IF('CO-PO Mapping'!P$4,$AJ56*$AD$29,0),IF('CO-PO Mapping'!P$5,$AK56*$AE$29,0),IF('CO-PO Mapping'!P$6,$AL56*$AF$29,0),IF('CO-PO Mapping'!P$7,$AM56*$AG$29,0))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6" s="95" t="str">
        <f>IF('CO-PO Mapping'!Q$2, IF(OR($AN56="-",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IF(OR($AP56="-", SUM( IF('CO-PO Mapping'!Q$2,$AB$29,0), IF('CO-PO Mapping'!Q$3,$AC$29,0), IF('CO-PO Mapping'!Q$4,$AD$29,0), IF('CO-PO Mapping'!Q$5,$AE$29,0), IF('CO-PO Mapping'!Q$6,$AF$29,0), IF('CO-PO Mapping'!Q$7,$AG$29,0) )=0), "-", IF( SUM( IF('CO-PO Mapping'!Q$2,$AH56*$AB$29,0), IF('CO-PO Mapping'!Q$3,$AI56*$AC$29,0), IF('CO-PO Mapping'!Q$4,$AJ56*$AD$29,0), IF('CO-PO Mapping'!Q$5,$AK56*$AE$29,0), IF('CO-PO Mapping'!Q$6,$AL56*$AF$29,0), IF('CO-PO Mapping'!Q$7,$AM56*$AG$29,0)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IF('CO-PO Mapping'!Q$6, IF(OR($AR56="-",SUM(IF('CO-PO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IF('CO-PO Mapping'!Q$7, IF(OR($AS56="-",SUM(IF('CO-PO Mapping'!Q$2,$AB$29,0),IF('CO-PO Mapping'!Q$3,$AC$29,0),IF('CO-PO Mapping'!Q$4,$AD$29,0),IF('CO-PO Mapping'!Q$5,$AE$29,0),IF('CO-PO Mapping'!Q$6,$AF$29,0),IF('CO-PO Mapping'!Q$7,$AG$29,0))=0), "-", IF(SUM(IF('CO-PO Mapping'!Q$2,$AH56*$AB$29,0),IF('CO-PO Mapping'!Q$3,$AI56*$AC$29,0),IF('CO-PO Mapping'!Q$4,$AJ56*$AD$29,0),IF('CO-PO Mapping'!Q$5,$AK56*$AE$29,0),IF('CO-PO Mapping'!Q$6,$AL56*$AF$29,0),IF('CO-PO Mapping'!Q$7,$AM56*$AG$29,0))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6" s="95" t="str">
        <f>IF('CO-PO Mapping'!R$2, IF(OR($AN56="-",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IF(OR($AP56="-", SUM( IF('CO-PO Mapping'!R$2,$AB$29,0), IF('CO-PO Mapping'!R$3,$AC$29,0), IF('CO-PO Mapping'!R$4,$AD$29,0), IF('CO-PO Mapping'!R$5,$AE$29,0), IF('CO-PO Mapping'!R$6,$AF$29,0), IF('CO-PO Mapping'!R$7,$AG$29,0) )=0), "-", IF( SUM( IF('CO-PO Mapping'!R$2,$AH56*$AB$29,0), IF('CO-PO Mapping'!R$3,$AI56*$AC$29,0), IF('CO-PO Mapping'!R$4,$AJ56*$AD$29,0), IF('CO-PO Mapping'!R$5,$AK56*$AE$29,0), IF('CO-PO Mapping'!R$6,$AL56*$AF$29,0), IF('CO-PO Mapping'!R$7,$AM56*$AG$29,0)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IF('CO-PO Mapping'!R$6, IF(OR($AR56="-",SUM(IF('CO-PO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IF('CO-PO Mapping'!R$7, IF(OR($AS56="-",SUM(IF('CO-PO Mapping'!R$2,$AB$29,0),IF('CO-PO Mapping'!R$3,$AC$29,0),IF('CO-PO Mapping'!R$4,$AD$29,0),IF('CO-PO Mapping'!R$5,$AE$29,0),IF('CO-PO Mapping'!R$6,$AF$29,0),IF('CO-PO Mapping'!R$7,$AG$29,0))=0), "-", IF(SUM(IF('CO-PO Mapping'!R$2,$AH56*$AB$29,0),IF('CO-PO Mapping'!R$3,$AI56*$AC$29,0),IF('CO-PO Mapping'!R$4,$AJ56*$AD$29,0),IF('CO-PO Mapping'!R$5,$AK56*$AE$29,0),IF('CO-PO Mapping'!R$6,$AL56*$AF$29,0),IF('CO-PO Mapping'!R$7,$AM56*$AG$29,0))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6" s="95" t="str">
        <f>IF('CO-PO Mapping'!S$2, IF(OR($AN56="-",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IF(OR($AP56="-", SUM( IF('CO-PO Mapping'!S$2,$AB$29,0), IF('CO-PO Mapping'!S$3,$AC$29,0), IF('CO-PO Mapping'!S$4,$AD$29,0), IF('CO-PO Mapping'!S$5,$AE$29,0), IF('CO-PO Mapping'!S$6,$AF$29,0), IF('CO-PO Mapping'!S$7,$AG$29,0) )=0), "-", IF( SUM( IF('CO-PO Mapping'!S$2,$AH56*$AB$29,0), IF('CO-PO Mapping'!S$3,$AI56*$AC$29,0), IF('CO-PO Mapping'!S$4,$AJ56*$AD$29,0), IF('CO-PO Mapping'!S$5,$AK56*$AE$29,0), IF('CO-PO Mapping'!S$6,$AL56*$AF$29,0), IF('CO-PO Mapping'!S$7,$AM56*$AG$29,0)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IF('CO-PO Mapping'!S$6, IF(OR($AR56="-",SUM(IF('CO-PO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IF('CO-PO Mapping'!S$7, IF(OR($AS56="-",SUM(IF('CO-PO Mapping'!S$2,$AB$29,0),IF('CO-PO Mapping'!S$3,$AC$29,0),IF('CO-PO Mapping'!S$4,$AD$29,0),IF('CO-PO Mapping'!S$5,$AE$29,0),IF('CO-PO Mapping'!S$6,$AF$29,0),IF('CO-PO Mapping'!S$7,$AG$29,0))=0), "-", IF(SUM(IF('CO-PO Mapping'!S$2,$AH56*$AB$29,0),IF('CO-PO Mapping'!S$3,$AI56*$AC$29,0),IF('CO-PO Mapping'!S$4,$AJ56*$AD$29,0),IF('CO-PO Mapping'!S$5,$AK56*$AE$29,0),IF('CO-PO Mapping'!S$6,$AL56*$AF$29,0),IF('CO-PO Mapping'!S$7,$AM56*$AG$29,0))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6" s="95" t="str">
        <f>IF('CO-PO Mapping'!T$2, IF(OR($AN56="-",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IF(OR($AP56="-", SUM( IF('CO-PO Mapping'!T$2,$AB$29,0), IF('CO-PO Mapping'!T$3,$AC$29,0), IF('CO-PO Mapping'!T$4,$AD$29,0), IF('CO-PO Mapping'!T$5,$AE$29,0), IF('CO-PO Mapping'!T$6,$AF$29,0), IF('CO-PO Mapping'!T$7,$AG$29,0) )=0), "-", IF( SUM( IF('CO-PO Mapping'!T$2,$AH56*$AB$29,0), IF('CO-PO Mapping'!T$3,$AI56*$AC$29,0), IF('CO-PO Mapping'!T$4,$AJ56*$AD$29,0), IF('CO-PO Mapping'!T$5,$AK56*$AE$29,0), IF('CO-PO Mapping'!T$6,$AL56*$AF$29,0), IF('CO-PO Mapping'!T$7,$AM56*$AG$29,0)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IF('CO-PO Mapping'!T$6, IF(OR($AR56="-",SUM(IF('CO-PO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IF('CO-PO Mapping'!T$7, IF(OR($AS56="-",SUM(IF('CO-PO Mapping'!T$2,$AB$29,0),IF('CO-PO Mapping'!T$3,$AC$29,0),IF('CO-PO Mapping'!T$4,$AD$29,0),IF('CO-PO Mapping'!T$5,$AE$29,0),IF('CO-PO Mapping'!T$6,$AF$29,0),IF('CO-PO Mapping'!T$7,$AG$29,0))=0), "-", IF(SUM(IF('CO-PO Mapping'!T$2,$AH56*$AB$29,0),IF('CO-PO Mapping'!T$3,$AI56*$AC$29,0),IF('CO-PO Mapping'!T$4,$AJ56*$AD$29,0),IF('CO-PO Mapping'!T$5,$AK56*$AE$29,0),IF('CO-PO Mapping'!T$6,$AL56*$AF$29,0),IF('CO-PO Mapping'!T$7,$AM56*$AG$29,0))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6" s="95" t="str">
        <f>IF('CO-PO Mapping'!U$2, IF(OR($AN56="-",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IF(OR($AP56="-", SUM( IF('CO-PO Mapping'!U$2,$AB$29,0), IF('CO-PO Mapping'!U$3,$AC$29,0), IF('CO-PO Mapping'!U$4,$AD$29,0), IF('CO-PO Mapping'!U$5,$AE$29,0), IF('CO-PO Mapping'!U$6,$AF$29,0), IF('CO-PO Mapping'!U$7,$AG$29,0) )=0), "-", IF( SUM( IF('CO-PO Mapping'!U$2,$AH56*$AB$29,0), IF('CO-PO Mapping'!U$3,$AI56*$AC$29,0), IF('CO-PO Mapping'!U$4,$AJ56*$AD$29,0), IF('CO-PO Mapping'!U$5,$AK56*$AE$29,0), IF('CO-PO Mapping'!U$6,$AL56*$AF$29,0), IF('CO-PO Mapping'!U$7,$AM56*$AG$29,0)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IF('CO-PO Mapping'!U$6, IF(OR($AR56="-",SUM(IF('CO-PO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IF('CO-PO Mapping'!U$7, IF(OR($AS56="-",SUM(IF('CO-PO Mapping'!U$2,$AB$29,0),IF('CO-PO Mapping'!U$3,$AC$29,0),IF('CO-PO Mapping'!U$4,$AD$29,0),IF('CO-PO Mapping'!U$5,$AE$29,0),IF('CO-PO Mapping'!U$6,$AF$29,0),IF('CO-PO Mapping'!U$7,$AG$29,0))=0), "-", IF(SUM(IF('CO-PO Mapping'!U$2,$AH56*$AB$29,0),IF('CO-PO Mapping'!U$3,$AI56*$AC$29,0),IF('CO-PO Mapping'!U$4,$AJ56*$AD$29,0),IF('CO-PO Mapping'!U$5,$AK56*$AE$29,0),IF('CO-PO Mapping'!U$6,$AL56*$AF$29,0),IF('CO-PO Mapping'!U$7,$AM56*$AG$29,0))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6" s="95" t="str">
        <f>IF('CO-PO Mapping'!V$2, IF(OR($AN56="-",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IF(OR($AP56="-", SUM( IF('CO-PO Mapping'!V$2,$AB$29,0), IF('CO-PO Mapping'!V$3,$AC$29,0), IF('CO-PO Mapping'!V$4,$AD$29,0), IF('CO-PO Mapping'!V$5,$AE$29,0), IF('CO-PO Mapping'!V$6,$AF$29,0), IF('CO-PO Mapping'!V$7,$AG$29,0) )=0), "-", IF( SUM( IF('CO-PO Mapping'!V$2,$AH56*$AB$29,0), IF('CO-PO Mapping'!V$3,$AI56*$AC$29,0), IF('CO-PO Mapping'!V$4,$AJ56*$AD$29,0), IF('CO-PO Mapping'!V$5,$AK56*$AE$29,0), IF('CO-PO Mapping'!V$6,$AL56*$AF$29,0), IF('CO-PO Mapping'!V$7,$AM56*$AG$29,0)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IF('CO-PO Mapping'!V$6, IF(OR($AR56="-",SUM(IF('CO-PO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IF('CO-PO Mapping'!V$7, IF(OR($AS56="-",SUM(IF('CO-PO Mapping'!V$2,$AB$29,0),IF('CO-PO Mapping'!V$3,$AC$29,0),IF('CO-PO Mapping'!V$4,$AD$29,0),IF('CO-PO Mapping'!V$5,$AE$29,0),IF('CO-PO Mapping'!V$6,$AF$29,0),IF('CO-PO Mapping'!V$7,$AG$29,0))=0), "-", IF(SUM(IF('CO-PO Mapping'!V$2,$AH56*$AB$29,0),IF('CO-PO Mapping'!V$3,$AI56*$AC$29,0),IF('CO-PO Mapping'!V$4,$AJ56*$AD$29,0),IF('CO-PO Mapping'!V$5,$AK56*$AE$29,0),IF('CO-PO Mapping'!V$6,$AL56*$AF$29,0),IF('CO-PO Mapping'!V$7,$AM56*$AG$29,0))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6" s="95" t="str">
        <f>IF('CO-PO Mapping'!W$2, IF(OR($AN56="-",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IF(OR($AP56="-", SUM( IF('CO-PO Mapping'!W$2,$AB$29,0), IF('CO-PO Mapping'!W$3,$AC$29,0), IF('CO-PO Mapping'!W$4,$AD$29,0), IF('CO-PO Mapping'!W$5,$AE$29,0), IF('CO-PO Mapping'!W$6,$AF$29,0), IF('CO-PO Mapping'!W$7,$AG$29,0) )=0), "-", IF( SUM( IF('CO-PO Mapping'!W$2,$AH56*$AB$29,0), IF('CO-PO Mapping'!W$3,$AI56*$AC$29,0), IF('CO-PO Mapping'!W$4,$AJ56*$AD$29,0), IF('CO-PO Mapping'!W$5,$AK56*$AE$29,0), IF('CO-PO Mapping'!W$6,$AL56*$AF$29,0), IF('CO-PO Mapping'!W$7,$AM56*$AG$29,0)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IF('CO-PO Mapping'!W$6, IF(OR($AR56="-",SUM(IF('CO-PO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IF('CO-PO Mapping'!W$7, IF(OR($AS56="-",SUM(IF('CO-PO Mapping'!W$2,$AB$29,0),IF('CO-PO Mapping'!W$3,$AC$29,0),IF('CO-PO Mapping'!W$4,$AD$29,0),IF('CO-PO Mapping'!W$5,$AE$29,0),IF('CO-PO Mapping'!W$6,$AF$29,0),IF('CO-PO Mapping'!W$7,$AG$29,0))=0), "-", IF(SUM(IF('CO-PO Mapping'!W$2,$AH56*$AB$29,0),IF('CO-PO Mapping'!W$3,$AI56*$AC$29,0),IF('CO-PO Mapping'!W$4,$AJ56*$AD$29,0),IF('CO-PO Mapping'!W$5,$AK56*$AE$29,0),IF('CO-PO Mapping'!W$6,$AL56*$AF$29,0),IF('CO-PO Mapping'!W$7,$AM56*$AG$29,0))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6" s="95" t="str">
        <f>IF('CO-PO Mapping'!X$2, IF(OR($AN56="-",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IF(OR($AP56="-", SUM( IF('CO-PO Mapping'!X$2,$AB$29,0), IF('CO-PO Mapping'!X$3,$AC$29,0), IF('CO-PO Mapping'!X$4,$AD$29,0), IF('CO-PO Mapping'!X$5,$AE$29,0), IF('CO-PO Mapping'!X$6,$AF$29,0), IF('CO-PO Mapping'!X$7,$AG$29,0) )=0), "-", IF( SUM( IF('CO-PO Mapping'!X$2,$AH56*$AB$29,0), IF('CO-PO Mapping'!X$3,$AI56*$AC$29,0), IF('CO-PO Mapping'!X$4,$AJ56*$AD$29,0), IF('CO-PO Mapping'!X$5,$AK56*$AE$29,0), IF('CO-PO Mapping'!X$6,$AL56*$AF$29,0), IF('CO-PO Mapping'!X$7,$AM56*$AG$29,0)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IF('CO-PO Mapping'!X$6, IF(OR($AR56="-",SUM(IF('CO-PO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IF('CO-PO Mapping'!X$7, IF(OR($AS56="-",SUM(IF('CO-PO Mapping'!X$2,$AB$29,0),IF('CO-PO Mapping'!X$3,$AC$29,0),IF('CO-PO Mapping'!X$4,$AD$29,0),IF('CO-PO Mapping'!X$5,$AE$29,0),IF('CO-PO Mapping'!X$6,$AF$29,0),IF('CO-PO Mapping'!X$7,$AG$29,0))=0), "-", IF(SUM(IF('CO-PO Mapping'!X$2,$AH56*$AB$29,0),IF('CO-PO Mapping'!X$3,$AI56*$AC$29,0),IF('CO-PO Mapping'!X$4,$AJ56*$AD$29,0),IF('CO-PO Mapping'!X$5,$AK56*$AE$29,0),IF('CO-PO Mapping'!X$6,$AL56*$AF$29,0),IF('CO-PO Mapping'!X$7,$AM56*$AG$29,0))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6" s="95" t="str">
        <f>IF('CO-PO Mapping'!Y$2, IF(OR($AN56="-",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IF(OR($AP56="-", SUM( IF('CO-PO Mapping'!Y$2,$AB$29,0), IF('CO-PO Mapping'!Y$3,$AC$29,0), IF('CO-PO Mapping'!Y$4,$AD$29,0), IF('CO-PO Mapping'!Y$5,$AE$29,0), IF('CO-PO Mapping'!Y$6,$AF$29,0), IF('CO-PO Mapping'!Y$7,$AG$29,0) )=0), "-", IF( SUM( IF('CO-PO Mapping'!Y$2,$AH56*$AB$29,0), IF('CO-PO Mapping'!Y$3,$AI56*$AC$29,0), IF('CO-PO Mapping'!Y$4,$AJ56*$AD$29,0), IF('CO-PO Mapping'!Y$5,$AK56*$AE$29,0), IF('CO-PO Mapping'!Y$6,$AL56*$AF$29,0), IF('CO-PO Mapping'!Y$7,$AM56*$AG$29,0)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IF('CO-PO Mapping'!Y$6, IF(OR($AR56="-",SUM(IF('CO-PO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IF('CO-PO Mapping'!Y$7, IF(OR($AS56="-",SUM(IF('CO-PO Mapping'!Y$2,$AB$29,0),IF('CO-PO Mapping'!Y$3,$AC$29,0),IF('CO-PO Mapping'!Y$4,$AD$29,0),IF('CO-PO Mapping'!Y$5,$AE$29,0),IF('CO-PO Mapping'!Y$6,$AF$29,0),IF('CO-PO Mapping'!Y$7,$AG$29,0))=0), "-", IF(SUM(IF('CO-PO Mapping'!Y$2,$AH56*$AB$29,0),IF('CO-PO Mapping'!Y$3,$AI56*$AC$29,0),IF('CO-PO Mapping'!Y$4,$AJ56*$AD$29,0),IF('CO-PO Mapping'!Y$5,$AK56*$AE$29,0),IF('CO-PO Mapping'!Y$6,$AL56*$AF$29,0),IF('CO-PO Mapping'!Y$7,$AM56*$AG$29,0))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6" s="95" t="str">
        <f>IF('CO-PO Mapping'!Z$2, IF(OR($AN56="-",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IF(OR($AP56="-", SUM( IF('CO-PO Mapping'!Z$2,$AB$29,0), IF('CO-PO Mapping'!Z$3,$AC$29,0), IF('CO-PO Mapping'!Z$4,$AD$29,0), IF('CO-PO Mapping'!Z$5,$AE$29,0), IF('CO-PO Mapping'!Z$6,$AF$29,0), IF('CO-PO Mapping'!Z$7,$AG$29,0) )=0), "-", IF( SUM( IF('CO-PO Mapping'!Z$2,$AH56*$AB$29,0), IF('CO-PO Mapping'!Z$3,$AI56*$AC$29,0), IF('CO-PO Mapping'!Z$4,$AJ56*$AD$29,0), IF('CO-PO Mapping'!Z$5,$AK56*$AE$29,0), IF('CO-PO Mapping'!Z$6,$AL56*$AF$29,0), IF('CO-PO Mapping'!Z$7,$AM56*$AG$29,0)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IF('CO-PO Mapping'!Z$6, IF(OR($AR56="-",SUM(IF('CO-PO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IF('CO-PO Mapping'!Z$7, IF(OR($AS56="-",SUM(IF('CO-PO Mapping'!Z$2,$AB$29,0),IF('CO-PO Mapping'!Z$3,$AC$29,0),IF('CO-PO Mapping'!Z$4,$AD$29,0),IF('CO-PO Mapping'!Z$5,$AE$29,0),IF('CO-PO Mapping'!Z$6,$AF$29,0),IF('CO-PO Mapping'!Z$7,$AG$29,0))=0), "-", IF(SUM(IF('CO-PO Mapping'!Z$2,$AH56*$AB$29,0),IF('CO-PO Mapping'!Z$3,$AI56*$AC$29,0),IF('CO-PO Mapping'!Z$4,$AJ56*$AD$29,0),IF('CO-PO Mapping'!Z$5,$AK56*$AE$29,0),IF('CO-PO Mapping'!Z$6,$AL56*$AF$29,0),IF('CO-PO Mapping'!Z$7,$AM56*$AG$29,0))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7" spans="1:57" ht="15" customHeight="1" thickBot="1">
      <c r="A57" s="110">
        <v>22235103238</v>
      </c>
      <c r="B57" s="111" t="s">
        <v>174</v>
      </c>
      <c r="C57" s="70">
        <v>4</v>
      </c>
      <c r="D57" s="71"/>
      <c r="E57" s="71">
        <v>20</v>
      </c>
      <c r="F57" s="71"/>
      <c r="G57" s="71"/>
      <c r="H57" s="103">
        <f t="shared" si="2"/>
        <v>24</v>
      </c>
      <c r="I57" s="75">
        <v>6</v>
      </c>
      <c r="J57" s="75">
        <v>8</v>
      </c>
      <c r="K57" s="75">
        <v>8</v>
      </c>
      <c r="L57" s="75"/>
      <c r="M57" s="75"/>
      <c r="N57" s="75"/>
      <c r="O57" s="105">
        <f t="shared" si="3"/>
        <v>22</v>
      </c>
      <c r="P57" s="75">
        <v>15</v>
      </c>
      <c r="Q57" s="75">
        <v>17</v>
      </c>
      <c r="R57" s="75"/>
      <c r="S57" s="75"/>
      <c r="T57" s="75"/>
      <c r="U57" s="75"/>
      <c r="V57" s="104">
        <f t="shared" si="4"/>
        <v>32</v>
      </c>
      <c r="W57" s="83">
        <f t="shared" si="5"/>
        <v>78</v>
      </c>
      <c r="X57" s="98" t="str">
        <f t="shared" si="10"/>
        <v>A</v>
      </c>
      <c r="Y57" s="47"/>
      <c r="Z57" s="42">
        <f t="shared" si="6"/>
        <v>22235103238</v>
      </c>
      <c r="AA57" s="43" t="str">
        <f t="shared" si="7"/>
        <v>Sadia Islam</v>
      </c>
      <c r="AB57" s="90">
        <f t="shared" si="11"/>
        <v>30</v>
      </c>
      <c r="AC57" s="90">
        <f t="shared" si="11"/>
        <v>23</v>
      </c>
      <c r="AD57" s="90">
        <f t="shared" si="11"/>
        <v>25</v>
      </c>
      <c r="AE57" s="90">
        <f t="shared" si="11"/>
        <v>0</v>
      </c>
      <c r="AF57" s="90">
        <f t="shared" si="11"/>
        <v>0</v>
      </c>
      <c r="AG57" s="90">
        <f t="shared" si="25"/>
        <v>0</v>
      </c>
      <c r="AH57" s="92">
        <f t="shared" si="12"/>
        <v>75</v>
      </c>
      <c r="AI57" s="92">
        <f t="shared" si="13"/>
        <v>76.666666666666671</v>
      </c>
      <c r="AJ57" s="92">
        <f t="shared" si="14"/>
        <v>83.333333333333329</v>
      </c>
      <c r="AK57" s="92">
        <f t="shared" si="22"/>
        <v>0</v>
      </c>
      <c r="AL57" s="92">
        <f t="shared" si="15"/>
        <v>0</v>
      </c>
      <c r="AM57" s="92">
        <f t="shared" si="16"/>
        <v>0</v>
      </c>
      <c r="AN57" s="93" t="str">
        <f t="shared" si="23"/>
        <v>Y</v>
      </c>
      <c r="AO57" s="93" t="str">
        <f t="shared" si="17"/>
        <v>Y</v>
      </c>
      <c r="AP57" s="93" t="str">
        <f t="shared" si="18"/>
        <v>Y</v>
      </c>
      <c r="AQ57" s="93" t="str">
        <f t="shared" si="19"/>
        <v>N</v>
      </c>
      <c r="AR57" s="93" t="str">
        <f t="shared" si="20"/>
        <v>N</v>
      </c>
      <c r="AS57" s="93" t="str">
        <f t="shared" si="21"/>
        <v>N</v>
      </c>
      <c r="AT57" s="95" t="str">
        <f>IF('CO-PO Mapping'!O$2, IF(OR($AN57="-",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IF(OR($AP57="-", SUM( IF('CO-PO Mapping'!O$2,$AB$29,0), IF('CO-PO Mapping'!O$3,$AC$29,0), IF('CO-PO Mapping'!O$4,$AD$29,0), IF('CO-PO Mapping'!O$5,$AE$29,0), IF('CO-PO Mapping'!O$6,$AF$29,0), IF('CO-PO Mapping'!O$7,$AG$29,0) )=0), "-", IF( SUM( IF('CO-PO Mapping'!O$2,$AH57*$AB$29,0), IF('CO-PO Mapping'!O$3,$AI57*$AC$29,0), IF('CO-PO Mapping'!O$4,$AJ57*$AD$29,0), IF('CO-PO Mapping'!O$5,$AK57*$AE$29,0), IF('CO-PO Mapping'!O$6,$AL57*$AF$29,0), IF('CO-PO Mapping'!O$7,$AM57*$AG$29,0)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IF('CO-PO Mapping'!O$6, IF(OR($AR57="-",SUM(IF('CO-PO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IF('CO-PO Mapping'!O$7, IF(OR($AS57="-",SUM(IF('CO-PO Mapping'!O$2,$AB$29,0),IF('CO-PO Mapping'!O$3,$AC$29,0),IF('CO-PO Mapping'!O$4,$AD$29,0),IF('CO-PO Mapping'!O$5,$AE$29,0),IF('CO-PO Mapping'!O$6,$AF$29,0),IF('CO-PO Mapping'!O$7,$AG$29,0))=0), "-", IF(SUM(IF('CO-PO Mapping'!O$2,$AH57*$AB$29,0),IF('CO-PO Mapping'!O$3,$AI57*$AC$29,0),IF('CO-PO Mapping'!O$4,$AJ57*$AD$29,0),IF('CO-PO Mapping'!O$5,$AK57*$AE$29,0),IF('CO-PO Mapping'!O$6,$AL57*$AF$29,0),IF('CO-PO Mapping'!O$7,$AM57*$AG$29,0))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7" s="95" t="str">
        <f>IF('CO-PO Mapping'!P$2, IF(OR($AN57="-",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IF(OR($AP57="-", SUM( IF('CO-PO Mapping'!P$2,$AB$29,0), IF('CO-PO Mapping'!P$3,$AC$29,0), IF('CO-PO Mapping'!P$4,$AD$29,0), IF('CO-PO Mapping'!P$5,$AE$29,0), IF('CO-PO Mapping'!P$6,$AF$29,0), IF('CO-PO Mapping'!P$7,$AG$29,0) )=0), "-", IF( SUM( IF('CO-PO Mapping'!P$2,$AH57*$AB$29,0), IF('CO-PO Mapping'!P$3,$AI57*$AC$29,0), IF('CO-PO Mapping'!P$4,$AJ57*$AD$29,0), IF('CO-PO Mapping'!P$5,$AK57*$AE$29,0), IF('CO-PO Mapping'!P$6,$AL57*$AF$29,0), IF('CO-PO Mapping'!P$7,$AM57*$AG$29,0)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IF('CO-PO Mapping'!P$6, IF(OR($AR57="-",SUM(IF('CO-PO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IF('CO-PO Mapping'!P$7, IF(OR($AS57="-",SUM(IF('CO-PO Mapping'!P$2,$AB$29,0),IF('CO-PO Mapping'!P$3,$AC$29,0),IF('CO-PO Mapping'!P$4,$AD$29,0),IF('CO-PO Mapping'!P$5,$AE$29,0),IF('CO-PO Mapping'!P$6,$AF$29,0),IF('CO-PO Mapping'!P$7,$AG$29,0))=0), "-", IF(SUM(IF('CO-PO Mapping'!P$2,$AH57*$AB$29,0),IF('CO-PO Mapping'!P$3,$AI57*$AC$29,0),IF('CO-PO Mapping'!P$4,$AJ57*$AD$29,0),IF('CO-PO Mapping'!P$5,$AK57*$AE$29,0),IF('CO-PO Mapping'!P$6,$AL57*$AF$29,0),IF('CO-PO Mapping'!P$7,$AM57*$AG$29,0))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7" s="95" t="str">
        <f>IF('CO-PO Mapping'!Q$2, IF(OR($AN57="-",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IF(OR($AP57="-", SUM( IF('CO-PO Mapping'!Q$2,$AB$29,0), IF('CO-PO Mapping'!Q$3,$AC$29,0), IF('CO-PO Mapping'!Q$4,$AD$29,0), IF('CO-PO Mapping'!Q$5,$AE$29,0), IF('CO-PO Mapping'!Q$6,$AF$29,0), IF('CO-PO Mapping'!Q$7,$AG$29,0) )=0), "-", IF( SUM( IF('CO-PO Mapping'!Q$2,$AH57*$AB$29,0), IF('CO-PO Mapping'!Q$3,$AI57*$AC$29,0), IF('CO-PO Mapping'!Q$4,$AJ57*$AD$29,0), IF('CO-PO Mapping'!Q$5,$AK57*$AE$29,0), IF('CO-PO Mapping'!Q$6,$AL57*$AF$29,0), IF('CO-PO Mapping'!Q$7,$AM57*$AG$29,0)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IF('CO-PO Mapping'!Q$6, IF(OR($AR57="-",SUM(IF('CO-PO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IF('CO-PO Mapping'!Q$7, IF(OR($AS57="-",SUM(IF('CO-PO Mapping'!Q$2,$AB$29,0),IF('CO-PO Mapping'!Q$3,$AC$29,0),IF('CO-PO Mapping'!Q$4,$AD$29,0),IF('CO-PO Mapping'!Q$5,$AE$29,0),IF('CO-PO Mapping'!Q$6,$AF$29,0),IF('CO-PO Mapping'!Q$7,$AG$29,0))=0), "-", IF(SUM(IF('CO-PO Mapping'!Q$2,$AH57*$AB$29,0),IF('CO-PO Mapping'!Q$3,$AI57*$AC$29,0),IF('CO-PO Mapping'!Q$4,$AJ57*$AD$29,0),IF('CO-PO Mapping'!Q$5,$AK57*$AE$29,0),IF('CO-PO Mapping'!Q$6,$AL57*$AF$29,0),IF('CO-PO Mapping'!Q$7,$AM57*$AG$29,0))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7" s="95" t="str">
        <f>IF('CO-PO Mapping'!R$2, IF(OR($AN57="-",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IF(OR($AP57="-", SUM( IF('CO-PO Mapping'!R$2,$AB$29,0), IF('CO-PO Mapping'!R$3,$AC$29,0), IF('CO-PO Mapping'!R$4,$AD$29,0), IF('CO-PO Mapping'!R$5,$AE$29,0), IF('CO-PO Mapping'!R$6,$AF$29,0), IF('CO-PO Mapping'!R$7,$AG$29,0) )=0), "-", IF( SUM( IF('CO-PO Mapping'!R$2,$AH57*$AB$29,0), IF('CO-PO Mapping'!R$3,$AI57*$AC$29,0), IF('CO-PO Mapping'!R$4,$AJ57*$AD$29,0), IF('CO-PO Mapping'!R$5,$AK57*$AE$29,0), IF('CO-PO Mapping'!R$6,$AL57*$AF$29,0), IF('CO-PO Mapping'!R$7,$AM57*$AG$29,0)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IF('CO-PO Mapping'!R$6, IF(OR($AR57="-",SUM(IF('CO-PO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IF('CO-PO Mapping'!R$7, IF(OR($AS57="-",SUM(IF('CO-PO Mapping'!R$2,$AB$29,0),IF('CO-PO Mapping'!R$3,$AC$29,0),IF('CO-PO Mapping'!R$4,$AD$29,0),IF('CO-PO Mapping'!R$5,$AE$29,0),IF('CO-PO Mapping'!R$6,$AF$29,0),IF('CO-PO Mapping'!R$7,$AG$29,0))=0), "-", IF(SUM(IF('CO-PO Mapping'!R$2,$AH57*$AB$29,0),IF('CO-PO Mapping'!R$3,$AI57*$AC$29,0),IF('CO-PO Mapping'!R$4,$AJ57*$AD$29,0),IF('CO-PO Mapping'!R$5,$AK57*$AE$29,0),IF('CO-PO Mapping'!R$6,$AL57*$AF$29,0),IF('CO-PO Mapping'!R$7,$AM57*$AG$29,0))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7" s="95" t="str">
        <f>IF('CO-PO Mapping'!S$2, IF(OR($AN57="-",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IF(OR($AP57="-", SUM( IF('CO-PO Mapping'!S$2,$AB$29,0), IF('CO-PO Mapping'!S$3,$AC$29,0), IF('CO-PO Mapping'!S$4,$AD$29,0), IF('CO-PO Mapping'!S$5,$AE$29,0), IF('CO-PO Mapping'!S$6,$AF$29,0), IF('CO-PO Mapping'!S$7,$AG$29,0) )=0), "-", IF( SUM( IF('CO-PO Mapping'!S$2,$AH57*$AB$29,0), IF('CO-PO Mapping'!S$3,$AI57*$AC$29,0), IF('CO-PO Mapping'!S$4,$AJ57*$AD$29,0), IF('CO-PO Mapping'!S$5,$AK57*$AE$29,0), IF('CO-PO Mapping'!S$6,$AL57*$AF$29,0), IF('CO-PO Mapping'!S$7,$AM57*$AG$29,0)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IF('CO-PO Mapping'!S$6, IF(OR($AR57="-",SUM(IF('CO-PO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IF('CO-PO Mapping'!S$7, IF(OR($AS57="-",SUM(IF('CO-PO Mapping'!S$2,$AB$29,0),IF('CO-PO Mapping'!S$3,$AC$29,0),IF('CO-PO Mapping'!S$4,$AD$29,0),IF('CO-PO Mapping'!S$5,$AE$29,0),IF('CO-PO Mapping'!S$6,$AF$29,0),IF('CO-PO Mapping'!S$7,$AG$29,0))=0), "-", IF(SUM(IF('CO-PO Mapping'!S$2,$AH57*$AB$29,0),IF('CO-PO Mapping'!S$3,$AI57*$AC$29,0),IF('CO-PO Mapping'!S$4,$AJ57*$AD$29,0),IF('CO-PO Mapping'!S$5,$AK57*$AE$29,0),IF('CO-PO Mapping'!S$6,$AL57*$AF$29,0),IF('CO-PO Mapping'!S$7,$AM57*$AG$29,0))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7" s="95" t="str">
        <f>IF('CO-PO Mapping'!T$2, IF(OR($AN57="-",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IF(OR($AP57="-", SUM( IF('CO-PO Mapping'!T$2,$AB$29,0), IF('CO-PO Mapping'!T$3,$AC$29,0), IF('CO-PO Mapping'!T$4,$AD$29,0), IF('CO-PO Mapping'!T$5,$AE$29,0), IF('CO-PO Mapping'!T$6,$AF$29,0), IF('CO-PO Mapping'!T$7,$AG$29,0) )=0), "-", IF( SUM( IF('CO-PO Mapping'!T$2,$AH57*$AB$29,0), IF('CO-PO Mapping'!T$3,$AI57*$AC$29,0), IF('CO-PO Mapping'!T$4,$AJ57*$AD$29,0), IF('CO-PO Mapping'!T$5,$AK57*$AE$29,0), IF('CO-PO Mapping'!T$6,$AL57*$AF$29,0), IF('CO-PO Mapping'!T$7,$AM57*$AG$29,0)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IF('CO-PO Mapping'!T$6, IF(OR($AR57="-",SUM(IF('CO-PO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IF('CO-PO Mapping'!T$7, IF(OR($AS57="-",SUM(IF('CO-PO Mapping'!T$2,$AB$29,0),IF('CO-PO Mapping'!T$3,$AC$29,0),IF('CO-PO Mapping'!T$4,$AD$29,0),IF('CO-PO Mapping'!T$5,$AE$29,0),IF('CO-PO Mapping'!T$6,$AF$29,0),IF('CO-PO Mapping'!T$7,$AG$29,0))=0), "-", IF(SUM(IF('CO-PO Mapping'!T$2,$AH57*$AB$29,0),IF('CO-PO Mapping'!T$3,$AI57*$AC$29,0),IF('CO-PO Mapping'!T$4,$AJ57*$AD$29,0),IF('CO-PO Mapping'!T$5,$AK57*$AE$29,0),IF('CO-PO Mapping'!T$6,$AL57*$AF$29,0),IF('CO-PO Mapping'!T$7,$AM57*$AG$29,0))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7" s="95" t="str">
        <f>IF('CO-PO Mapping'!U$2, IF(OR($AN57="-",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IF(OR($AP57="-", SUM( IF('CO-PO Mapping'!U$2,$AB$29,0), IF('CO-PO Mapping'!U$3,$AC$29,0), IF('CO-PO Mapping'!U$4,$AD$29,0), IF('CO-PO Mapping'!U$5,$AE$29,0), IF('CO-PO Mapping'!U$6,$AF$29,0), IF('CO-PO Mapping'!U$7,$AG$29,0) )=0), "-", IF( SUM( IF('CO-PO Mapping'!U$2,$AH57*$AB$29,0), IF('CO-PO Mapping'!U$3,$AI57*$AC$29,0), IF('CO-PO Mapping'!U$4,$AJ57*$AD$29,0), IF('CO-PO Mapping'!U$5,$AK57*$AE$29,0), IF('CO-PO Mapping'!U$6,$AL57*$AF$29,0), IF('CO-PO Mapping'!U$7,$AM57*$AG$29,0)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IF('CO-PO Mapping'!U$6, IF(OR($AR57="-",SUM(IF('CO-PO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IF('CO-PO Mapping'!U$7, IF(OR($AS57="-",SUM(IF('CO-PO Mapping'!U$2,$AB$29,0),IF('CO-PO Mapping'!U$3,$AC$29,0),IF('CO-PO Mapping'!U$4,$AD$29,0),IF('CO-PO Mapping'!U$5,$AE$29,0),IF('CO-PO Mapping'!U$6,$AF$29,0),IF('CO-PO Mapping'!U$7,$AG$29,0))=0), "-", IF(SUM(IF('CO-PO Mapping'!U$2,$AH57*$AB$29,0),IF('CO-PO Mapping'!U$3,$AI57*$AC$29,0),IF('CO-PO Mapping'!U$4,$AJ57*$AD$29,0),IF('CO-PO Mapping'!U$5,$AK57*$AE$29,0),IF('CO-PO Mapping'!U$6,$AL57*$AF$29,0),IF('CO-PO Mapping'!U$7,$AM57*$AG$29,0))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7" s="95" t="str">
        <f>IF('CO-PO Mapping'!V$2, IF(OR($AN57="-",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IF(OR($AP57="-", SUM( IF('CO-PO Mapping'!V$2,$AB$29,0), IF('CO-PO Mapping'!V$3,$AC$29,0), IF('CO-PO Mapping'!V$4,$AD$29,0), IF('CO-PO Mapping'!V$5,$AE$29,0), IF('CO-PO Mapping'!V$6,$AF$29,0), IF('CO-PO Mapping'!V$7,$AG$29,0) )=0), "-", IF( SUM( IF('CO-PO Mapping'!V$2,$AH57*$AB$29,0), IF('CO-PO Mapping'!V$3,$AI57*$AC$29,0), IF('CO-PO Mapping'!V$4,$AJ57*$AD$29,0), IF('CO-PO Mapping'!V$5,$AK57*$AE$29,0), IF('CO-PO Mapping'!V$6,$AL57*$AF$29,0), IF('CO-PO Mapping'!V$7,$AM57*$AG$29,0)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IF('CO-PO Mapping'!V$6, IF(OR($AR57="-",SUM(IF('CO-PO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IF('CO-PO Mapping'!V$7, IF(OR($AS57="-",SUM(IF('CO-PO Mapping'!V$2,$AB$29,0),IF('CO-PO Mapping'!V$3,$AC$29,0),IF('CO-PO Mapping'!V$4,$AD$29,0),IF('CO-PO Mapping'!V$5,$AE$29,0),IF('CO-PO Mapping'!V$6,$AF$29,0),IF('CO-PO Mapping'!V$7,$AG$29,0))=0), "-", IF(SUM(IF('CO-PO Mapping'!V$2,$AH57*$AB$29,0),IF('CO-PO Mapping'!V$3,$AI57*$AC$29,0),IF('CO-PO Mapping'!V$4,$AJ57*$AD$29,0),IF('CO-PO Mapping'!V$5,$AK57*$AE$29,0),IF('CO-PO Mapping'!V$6,$AL57*$AF$29,0),IF('CO-PO Mapping'!V$7,$AM57*$AG$29,0))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7" s="95" t="str">
        <f>IF('CO-PO Mapping'!W$2, IF(OR($AN57="-",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IF(OR($AP57="-", SUM( IF('CO-PO Mapping'!W$2,$AB$29,0), IF('CO-PO Mapping'!W$3,$AC$29,0), IF('CO-PO Mapping'!W$4,$AD$29,0), IF('CO-PO Mapping'!W$5,$AE$29,0), IF('CO-PO Mapping'!W$6,$AF$29,0), IF('CO-PO Mapping'!W$7,$AG$29,0) )=0), "-", IF( SUM( IF('CO-PO Mapping'!W$2,$AH57*$AB$29,0), IF('CO-PO Mapping'!W$3,$AI57*$AC$29,0), IF('CO-PO Mapping'!W$4,$AJ57*$AD$29,0), IF('CO-PO Mapping'!W$5,$AK57*$AE$29,0), IF('CO-PO Mapping'!W$6,$AL57*$AF$29,0), IF('CO-PO Mapping'!W$7,$AM57*$AG$29,0)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IF('CO-PO Mapping'!W$6, IF(OR($AR57="-",SUM(IF('CO-PO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IF('CO-PO Mapping'!W$7, IF(OR($AS57="-",SUM(IF('CO-PO Mapping'!W$2,$AB$29,0),IF('CO-PO Mapping'!W$3,$AC$29,0),IF('CO-PO Mapping'!W$4,$AD$29,0),IF('CO-PO Mapping'!W$5,$AE$29,0),IF('CO-PO Mapping'!W$6,$AF$29,0),IF('CO-PO Mapping'!W$7,$AG$29,0))=0), "-", IF(SUM(IF('CO-PO Mapping'!W$2,$AH57*$AB$29,0),IF('CO-PO Mapping'!W$3,$AI57*$AC$29,0),IF('CO-PO Mapping'!W$4,$AJ57*$AD$29,0),IF('CO-PO Mapping'!W$5,$AK57*$AE$29,0),IF('CO-PO Mapping'!W$6,$AL57*$AF$29,0),IF('CO-PO Mapping'!W$7,$AM57*$AG$29,0))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7" s="95" t="str">
        <f>IF('CO-PO Mapping'!X$2, IF(OR($AN57="-",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IF(OR($AP57="-", SUM( IF('CO-PO Mapping'!X$2,$AB$29,0), IF('CO-PO Mapping'!X$3,$AC$29,0), IF('CO-PO Mapping'!X$4,$AD$29,0), IF('CO-PO Mapping'!X$5,$AE$29,0), IF('CO-PO Mapping'!X$6,$AF$29,0), IF('CO-PO Mapping'!X$7,$AG$29,0) )=0), "-", IF( SUM( IF('CO-PO Mapping'!X$2,$AH57*$AB$29,0), IF('CO-PO Mapping'!X$3,$AI57*$AC$29,0), IF('CO-PO Mapping'!X$4,$AJ57*$AD$29,0), IF('CO-PO Mapping'!X$5,$AK57*$AE$29,0), IF('CO-PO Mapping'!X$6,$AL57*$AF$29,0), IF('CO-PO Mapping'!X$7,$AM57*$AG$29,0)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IF('CO-PO Mapping'!X$6, IF(OR($AR57="-",SUM(IF('CO-PO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IF('CO-PO Mapping'!X$7, IF(OR($AS57="-",SUM(IF('CO-PO Mapping'!X$2,$AB$29,0),IF('CO-PO Mapping'!X$3,$AC$29,0),IF('CO-PO Mapping'!X$4,$AD$29,0),IF('CO-PO Mapping'!X$5,$AE$29,0),IF('CO-PO Mapping'!X$6,$AF$29,0),IF('CO-PO Mapping'!X$7,$AG$29,0))=0), "-", IF(SUM(IF('CO-PO Mapping'!X$2,$AH57*$AB$29,0),IF('CO-PO Mapping'!X$3,$AI57*$AC$29,0),IF('CO-PO Mapping'!X$4,$AJ57*$AD$29,0),IF('CO-PO Mapping'!X$5,$AK57*$AE$29,0),IF('CO-PO Mapping'!X$6,$AL57*$AF$29,0),IF('CO-PO Mapping'!X$7,$AM57*$AG$29,0))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7" s="95" t="str">
        <f>IF('CO-PO Mapping'!Y$2, IF(OR($AN57="-",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IF(OR($AP57="-", SUM( IF('CO-PO Mapping'!Y$2,$AB$29,0), IF('CO-PO Mapping'!Y$3,$AC$29,0), IF('CO-PO Mapping'!Y$4,$AD$29,0), IF('CO-PO Mapping'!Y$5,$AE$29,0), IF('CO-PO Mapping'!Y$6,$AF$29,0), IF('CO-PO Mapping'!Y$7,$AG$29,0) )=0), "-", IF( SUM( IF('CO-PO Mapping'!Y$2,$AH57*$AB$29,0), IF('CO-PO Mapping'!Y$3,$AI57*$AC$29,0), IF('CO-PO Mapping'!Y$4,$AJ57*$AD$29,0), IF('CO-PO Mapping'!Y$5,$AK57*$AE$29,0), IF('CO-PO Mapping'!Y$6,$AL57*$AF$29,0), IF('CO-PO Mapping'!Y$7,$AM57*$AG$29,0)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IF('CO-PO Mapping'!Y$6, IF(OR($AR57="-",SUM(IF('CO-PO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IF('CO-PO Mapping'!Y$7, IF(OR($AS57="-",SUM(IF('CO-PO Mapping'!Y$2,$AB$29,0),IF('CO-PO Mapping'!Y$3,$AC$29,0),IF('CO-PO Mapping'!Y$4,$AD$29,0),IF('CO-PO Mapping'!Y$5,$AE$29,0),IF('CO-PO Mapping'!Y$6,$AF$29,0),IF('CO-PO Mapping'!Y$7,$AG$29,0))=0), "-", IF(SUM(IF('CO-PO Mapping'!Y$2,$AH57*$AB$29,0),IF('CO-PO Mapping'!Y$3,$AI57*$AC$29,0),IF('CO-PO Mapping'!Y$4,$AJ57*$AD$29,0),IF('CO-PO Mapping'!Y$5,$AK57*$AE$29,0),IF('CO-PO Mapping'!Y$6,$AL57*$AF$29,0),IF('CO-PO Mapping'!Y$7,$AM57*$AG$29,0))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7" s="95" t="str">
        <f>IF('CO-PO Mapping'!Z$2, IF(OR($AN57="-",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IF(OR($AP57="-", SUM( IF('CO-PO Mapping'!Z$2,$AB$29,0), IF('CO-PO Mapping'!Z$3,$AC$29,0), IF('CO-PO Mapping'!Z$4,$AD$29,0), IF('CO-PO Mapping'!Z$5,$AE$29,0), IF('CO-PO Mapping'!Z$6,$AF$29,0), IF('CO-PO Mapping'!Z$7,$AG$29,0) )=0), "-", IF( SUM( IF('CO-PO Mapping'!Z$2,$AH57*$AB$29,0), IF('CO-PO Mapping'!Z$3,$AI57*$AC$29,0), IF('CO-PO Mapping'!Z$4,$AJ57*$AD$29,0), IF('CO-PO Mapping'!Z$5,$AK57*$AE$29,0), IF('CO-PO Mapping'!Z$6,$AL57*$AF$29,0), IF('CO-PO Mapping'!Z$7,$AM57*$AG$29,0)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IF('CO-PO Mapping'!Z$6, IF(OR($AR57="-",SUM(IF('CO-PO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IF('CO-PO Mapping'!Z$7, IF(OR($AS57="-",SUM(IF('CO-PO Mapping'!Z$2,$AB$29,0),IF('CO-PO Mapping'!Z$3,$AC$29,0),IF('CO-PO Mapping'!Z$4,$AD$29,0),IF('CO-PO Mapping'!Z$5,$AE$29,0),IF('CO-PO Mapping'!Z$6,$AF$29,0),IF('CO-PO Mapping'!Z$7,$AG$29,0))=0), "-", IF(SUM(IF('CO-PO Mapping'!Z$2,$AH57*$AB$29,0),IF('CO-PO Mapping'!Z$3,$AI57*$AC$29,0),IF('CO-PO Mapping'!Z$4,$AJ57*$AD$29,0),IF('CO-PO Mapping'!Z$5,$AK57*$AE$29,0),IF('CO-PO Mapping'!Z$6,$AL57*$AF$29,0),IF('CO-PO Mapping'!Z$7,$AM57*$AG$29,0))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8" spans="1:57" ht="15" customHeight="1" thickBot="1">
      <c r="A58" s="110">
        <v>22235103242</v>
      </c>
      <c r="B58" s="111" t="s">
        <v>175</v>
      </c>
      <c r="C58" s="70">
        <v>4</v>
      </c>
      <c r="D58" s="70"/>
      <c r="E58" s="71">
        <v>20</v>
      </c>
      <c r="F58" s="70"/>
      <c r="G58" s="71"/>
      <c r="H58" s="103">
        <f t="shared" si="2"/>
        <v>24</v>
      </c>
      <c r="I58" s="75">
        <v>8</v>
      </c>
      <c r="J58" s="75">
        <v>8</v>
      </c>
      <c r="K58" s="75">
        <v>8</v>
      </c>
      <c r="L58" s="75"/>
      <c r="M58" s="75"/>
      <c r="N58" s="75"/>
      <c r="O58" s="105">
        <f t="shared" si="3"/>
        <v>24</v>
      </c>
      <c r="P58" s="75">
        <v>18</v>
      </c>
      <c r="Q58" s="75">
        <v>17</v>
      </c>
      <c r="R58" s="75"/>
      <c r="S58" s="75"/>
      <c r="T58" s="75"/>
      <c r="U58" s="75"/>
      <c r="V58" s="104">
        <f t="shared" si="4"/>
        <v>35</v>
      </c>
      <c r="W58" s="83">
        <f t="shared" si="5"/>
        <v>83</v>
      </c>
      <c r="X58" s="98" t="str">
        <f t="shared" si="10"/>
        <v>A (Plus)</v>
      </c>
      <c r="Y58" s="47"/>
      <c r="Z58" s="42">
        <f t="shared" si="6"/>
        <v>22235103242</v>
      </c>
      <c r="AA58" s="43" t="str">
        <f t="shared" si="7"/>
        <v>Tarikul Islam</v>
      </c>
      <c r="AB58" s="90">
        <f t="shared" si="11"/>
        <v>32</v>
      </c>
      <c r="AC58" s="90">
        <f t="shared" si="11"/>
        <v>26</v>
      </c>
      <c r="AD58" s="90">
        <f t="shared" si="11"/>
        <v>25</v>
      </c>
      <c r="AE58" s="90">
        <f t="shared" si="11"/>
        <v>0</v>
      </c>
      <c r="AF58" s="90">
        <f t="shared" si="11"/>
        <v>0</v>
      </c>
      <c r="AG58" s="90">
        <f t="shared" si="25"/>
        <v>0</v>
      </c>
      <c r="AH58" s="92">
        <f t="shared" si="12"/>
        <v>80</v>
      </c>
      <c r="AI58" s="92">
        <f t="shared" si="13"/>
        <v>86.666666666666671</v>
      </c>
      <c r="AJ58" s="92">
        <f t="shared" si="14"/>
        <v>83.333333333333329</v>
      </c>
      <c r="AK58" s="92">
        <f t="shared" si="22"/>
        <v>0</v>
      </c>
      <c r="AL58" s="92">
        <f t="shared" si="15"/>
        <v>0</v>
      </c>
      <c r="AM58" s="92">
        <f t="shared" si="16"/>
        <v>0</v>
      </c>
      <c r="AN58" s="93" t="str">
        <f t="shared" si="23"/>
        <v>Y</v>
      </c>
      <c r="AO58" s="93" t="str">
        <f t="shared" si="17"/>
        <v>Y</v>
      </c>
      <c r="AP58" s="93" t="str">
        <f t="shared" si="18"/>
        <v>Y</v>
      </c>
      <c r="AQ58" s="93" t="str">
        <f t="shared" si="19"/>
        <v>N</v>
      </c>
      <c r="AR58" s="93" t="str">
        <f t="shared" si="20"/>
        <v>N</v>
      </c>
      <c r="AS58" s="93" t="str">
        <f t="shared" si="21"/>
        <v>N</v>
      </c>
      <c r="AT58" s="95" t="str">
        <f>IF('CO-PO Mapping'!O$2, IF(OR($AN58="-",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IF(OR($AP58="-", SUM( IF('CO-PO Mapping'!O$2,$AB$29,0), IF('CO-PO Mapping'!O$3,$AC$29,0), IF('CO-PO Mapping'!O$4,$AD$29,0), IF('CO-PO Mapping'!O$5,$AE$29,0), IF('CO-PO Mapping'!O$6,$AF$29,0), IF('CO-PO Mapping'!O$7,$AG$29,0) )=0), "-", IF( SUM( IF('CO-PO Mapping'!O$2,$AH58*$AB$29,0), IF('CO-PO Mapping'!O$3,$AI58*$AC$29,0), IF('CO-PO Mapping'!O$4,$AJ58*$AD$29,0), IF('CO-PO Mapping'!O$5,$AK58*$AE$29,0), IF('CO-PO Mapping'!O$6,$AL58*$AF$29,0), IF('CO-PO Mapping'!O$7,$AM58*$AG$29,0)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IF('CO-PO Mapping'!O$6, IF(OR($AR58="-",SUM(IF('CO-PO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IF('CO-PO Mapping'!O$7, IF(OR($AS58="-",SUM(IF('CO-PO Mapping'!O$2,$AB$29,0),IF('CO-PO Mapping'!O$3,$AC$29,0),IF('CO-PO Mapping'!O$4,$AD$29,0),IF('CO-PO Mapping'!O$5,$AE$29,0),IF('CO-PO Mapping'!O$6,$AF$29,0),IF('CO-PO Mapping'!O$7,$AG$29,0))=0), "-", IF(SUM(IF('CO-PO Mapping'!O$2,$AH58*$AB$29,0),IF('CO-PO Mapping'!O$3,$AI58*$AC$29,0),IF('CO-PO Mapping'!O$4,$AJ58*$AD$29,0),IF('CO-PO Mapping'!O$5,$AK58*$AE$29,0),IF('CO-PO Mapping'!O$6,$AL58*$AF$29,0),IF('CO-PO Mapping'!O$7,$AM58*$AG$29,0))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8" s="95" t="str">
        <f>IF('CO-PO Mapping'!P$2, IF(OR($AN58="-",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IF(OR($AP58="-", SUM( IF('CO-PO Mapping'!P$2,$AB$29,0), IF('CO-PO Mapping'!P$3,$AC$29,0), IF('CO-PO Mapping'!P$4,$AD$29,0), IF('CO-PO Mapping'!P$5,$AE$29,0), IF('CO-PO Mapping'!P$6,$AF$29,0), IF('CO-PO Mapping'!P$7,$AG$29,0) )=0), "-", IF( SUM( IF('CO-PO Mapping'!P$2,$AH58*$AB$29,0), IF('CO-PO Mapping'!P$3,$AI58*$AC$29,0), IF('CO-PO Mapping'!P$4,$AJ58*$AD$29,0), IF('CO-PO Mapping'!P$5,$AK58*$AE$29,0), IF('CO-PO Mapping'!P$6,$AL58*$AF$29,0), IF('CO-PO Mapping'!P$7,$AM58*$AG$29,0)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IF('CO-PO Mapping'!P$6, IF(OR($AR58="-",SUM(IF('CO-PO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IF('CO-PO Mapping'!P$7, IF(OR($AS58="-",SUM(IF('CO-PO Mapping'!P$2,$AB$29,0),IF('CO-PO Mapping'!P$3,$AC$29,0),IF('CO-PO Mapping'!P$4,$AD$29,0),IF('CO-PO Mapping'!P$5,$AE$29,0),IF('CO-PO Mapping'!P$6,$AF$29,0),IF('CO-PO Mapping'!P$7,$AG$29,0))=0), "-", IF(SUM(IF('CO-PO Mapping'!P$2,$AH58*$AB$29,0),IF('CO-PO Mapping'!P$3,$AI58*$AC$29,0),IF('CO-PO Mapping'!P$4,$AJ58*$AD$29,0),IF('CO-PO Mapping'!P$5,$AK58*$AE$29,0),IF('CO-PO Mapping'!P$6,$AL58*$AF$29,0),IF('CO-PO Mapping'!P$7,$AM58*$AG$29,0))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8" s="95" t="str">
        <f>IF('CO-PO Mapping'!Q$2, IF(OR($AN58="-",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IF(OR($AP58="-", SUM( IF('CO-PO Mapping'!Q$2,$AB$29,0), IF('CO-PO Mapping'!Q$3,$AC$29,0), IF('CO-PO Mapping'!Q$4,$AD$29,0), IF('CO-PO Mapping'!Q$5,$AE$29,0), IF('CO-PO Mapping'!Q$6,$AF$29,0), IF('CO-PO Mapping'!Q$7,$AG$29,0) )=0), "-", IF( SUM( IF('CO-PO Mapping'!Q$2,$AH58*$AB$29,0), IF('CO-PO Mapping'!Q$3,$AI58*$AC$29,0), IF('CO-PO Mapping'!Q$4,$AJ58*$AD$29,0), IF('CO-PO Mapping'!Q$5,$AK58*$AE$29,0), IF('CO-PO Mapping'!Q$6,$AL58*$AF$29,0), IF('CO-PO Mapping'!Q$7,$AM58*$AG$29,0)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IF('CO-PO Mapping'!Q$6, IF(OR($AR58="-",SUM(IF('CO-PO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IF('CO-PO Mapping'!Q$7, IF(OR($AS58="-",SUM(IF('CO-PO Mapping'!Q$2,$AB$29,0),IF('CO-PO Mapping'!Q$3,$AC$29,0),IF('CO-PO Mapping'!Q$4,$AD$29,0),IF('CO-PO Mapping'!Q$5,$AE$29,0),IF('CO-PO Mapping'!Q$6,$AF$29,0),IF('CO-PO Mapping'!Q$7,$AG$29,0))=0), "-", IF(SUM(IF('CO-PO Mapping'!Q$2,$AH58*$AB$29,0),IF('CO-PO Mapping'!Q$3,$AI58*$AC$29,0),IF('CO-PO Mapping'!Q$4,$AJ58*$AD$29,0),IF('CO-PO Mapping'!Q$5,$AK58*$AE$29,0),IF('CO-PO Mapping'!Q$6,$AL58*$AF$29,0),IF('CO-PO Mapping'!Q$7,$AM58*$AG$29,0))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8" s="95" t="str">
        <f>IF('CO-PO Mapping'!R$2, IF(OR($AN58="-",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IF(OR($AP58="-", SUM( IF('CO-PO Mapping'!R$2,$AB$29,0), IF('CO-PO Mapping'!R$3,$AC$29,0), IF('CO-PO Mapping'!R$4,$AD$29,0), IF('CO-PO Mapping'!R$5,$AE$29,0), IF('CO-PO Mapping'!R$6,$AF$29,0), IF('CO-PO Mapping'!R$7,$AG$29,0) )=0), "-", IF( SUM( IF('CO-PO Mapping'!R$2,$AH58*$AB$29,0), IF('CO-PO Mapping'!R$3,$AI58*$AC$29,0), IF('CO-PO Mapping'!R$4,$AJ58*$AD$29,0), IF('CO-PO Mapping'!R$5,$AK58*$AE$29,0), IF('CO-PO Mapping'!R$6,$AL58*$AF$29,0), IF('CO-PO Mapping'!R$7,$AM58*$AG$29,0)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IF('CO-PO Mapping'!R$6, IF(OR($AR58="-",SUM(IF('CO-PO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IF('CO-PO Mapping'!R$7, IF(OR($AS58="-",SUM(IF('CO-PO Mapping'!R$2,$AB$29,0),IF('CO-PO Mapping'!R$3,$AC$29,0),IF('CO-PO Mapping'!R$4,$AD$29,0),IF('CO-PO Mapping'!R$5,$AE$29,0),IF('CO-PO Mapping'!R$6,$AF$29,0),IF('CO-PO Mapping'!R$7,$AG$29,0))=0), "-", IF(SUM(IF('CO-PO Mapping'!R$2,$AH58*$AB$29,0),IF('CO-PO Mapping'!R$3,$AI58*$AC$29,0),IF('CO-PO Mapping'!R$4,$AJ58*$AD$29,0),IF('CO-PO Mapping'!R$5,$AK58*$AE$29,0),IF('CO-PO Mapping'!R$6,$AL58*$AF$29,0),IF('CO-PO Mapping'!R$7,$AM58*$AG$29,0))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8" s="95" t="str">
        <f>IF('CO-PO Mapping'!S$2, IF(OR($AN58="-",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IF(OR($AP58="-", SUM( IF('CO-PO Mapping'!S$2,$AB$29,0), IF('CO-PO Mapping'!S$3,$AC$29,0), IF('CO-PO Mapping'!S$4,$AD$29,0), IF('CO-PO Mapping'!S$5,$AE$29,0), IF('CO-PO Mapping'!S$6,$AF$29,0), IF('CO-PO Mapping'!S$7,$AG$29,0) )=0), "-", IF( SUM( IF('CO-PO Mapping'!S$2,$AH58*$AB$29,0), IF('CO-PO Mapping'!S$3,$AI58*$AC$29,0), IF('CO-PO Mapping'!S$4,$AJ58*$AD$29,0), IF('CO-PO Mapping'!S$5,$AK58*$AE$29,0), IF('CO-PO Mapping'!S$6,$AL58*$AF$29,0), IF('CO-PO Mapping'!S$7,$AM58*$AG$29,0)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IF('CO-PO Mapping'!S$6, IF(OR($AR58="-",SUM(IF('CO-PO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IF('CO-PO Mapping'!S$7, IF(OR($AS58="-",SUM(IF('CO-PO Mapping'!S$2,$AB$29,0),IF('CO-PO Mapping'!S$3,$AC$29,0),IF('CO-PO Mapping'!S$4,$AD$29,0),IF('CO-PO Mapping'!S$5,$AE$29,0),IF('CO-PO Mapping'!S$6,$AF$29,0),IF('CO-PO Mapping'!S$7,$AG$29,0))=0), "-", IF(SUM(IF('CO-PO Mapping'!S$2,$AH58*$AB$29,0),IF('CO-PO Mapping'!S$3,$AI58*$AC$29,0),IF('CO-PO Mapping'!S$4,$AJ58*$AD$29,0),IF('CO-PO Mapping'!S$5,$AK58*$AE$29,0),IF('CO-PO Mapping'!S$6,$AL58*$AF$29,0),IF('CO-PO Mapping'!S$7,$AM58*$AG$29,0))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8" s="95" t="str">
        <f>IF('CO-PO Mapping'!T$2, IF(OR($AN58="-",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IF(OR($AP58="-", SUM( IF('CO-PO Mapping'!T$2,$AB$29,0), IF('CO-PO Mapping'!T$3,$AC$29,0), IF('CO-PO Mapping'!T$4,$AD$29,0), IF('CO-PO Mapping'!T$5,$AE$29,0), IF('CO-PO Mapping'!T$6,$AF$29,0), IF('CO-PO Mapping'!T$7,$AG$29,0) )=0), "-", IF( SUM( IF('CO-PO Mapping'!T$2,$AH58*$AB$29,0), IF('CO-PO Mapping'!T$3,$AI58*$AC$29,0), IF('CO-PO Mapping'!T$4,$AJ58*$AD$29,0), IF('CO-PO Mapping'!T$5,$AK58*$AE$29,0), IF('CO-PO Mapping'!T$6,$AL58*$AF$29,0), IF('CO-PO Mapping'!T$7,$AM58*$AG$29,0)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IF('CO-PO Mapping'!T$6, IF(OR($AR58="-",SUM(IF('CO-PO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IF('CO-PO Mapping'!T$7, IF(OR($AS58="-",SUM(IF('CO-PO Mapping'!T$2,$AB$29,0),IF('CO-PO Mapping'!T$3,$AC$29,0),IF('CO-PO Mapping'!T$4,$AD$29,0),IF('CO-PO Mapping'!T$5,$AE$29,0),IF('CO-PO Mapping'!T$6,$AF$29,0),IF('CO-PO Mapping'!T$7,$AG$29,0))=0), "-", IF(SUM(IF('CO-PO Mapping'!T$2,$AH58*$AB$29,0),IF('CO-PO Mapping'!T$3,$AI58*$AC$29,0),IF('CO-PO Mapping'!T$4,$AJ58*$AD$29,0),IF('CO-PO Mapping'!T$5,$AK58*$AE$29,0),IF('CO-PO Mapping'!T$6,$AL58*$AF$29,0),IF('CO-PO Mapping'!T$7,$AM58*$AG$29,0))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8" s="95" t="str">
        <f>IF('CO-PO Mapping'!U$2, IF(OR($AN58="-",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IF(OR($AP58="-", SUM( IF('CO-PO Mapping'!U$2,$AB$29,0), IF('CO-PO Mapping'!U$3,$AC$29,0), IF('CO-PO Mapping'!U$4,$AD$29,0), IF('CO-PO Mapping'!U$5,$AE$29,0), IF('CO-PO Mapping'!U$6,$AF$29,0), IF('CO-PO Mapping'!U$7,$AG$29,0) )=0), "-", IF( SUM( IF('CO-PO Mapping'!U$2,$AH58*$AB$29,0), IF('CO-PO Mapping'!U$3,$AI58*$AC$29,0), IF('CO-PO Mapping'!U$4,$AJ58*$AD$29,0), IF('CO-PO Mapping'!U$5,$AK58*$AE$29,0), IF('CO-PO Mapping'!U$6,$AL58*$AF$29,0), IF('CO-PO Mapping'!U$7,$AM58*$AG$29,0)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IF('CO-PO Mapping'!U$6, IF(OR($AR58="-",SUM(IF('CO-PO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IF('CO-PO Mapping'!U$7, IF(OR($AS58="-",SUM(IF('CO-PO Mapping'!U$2,$AB$29,0),IF('CO-PO Mapping'!U$3,$AC$29,0),IF('CO-PO Mapping'!U$4,$AD$29,0),IF('CO-PO Mapping'!U$5,$AE$29,0),IF('CO-PO Mapping'!U$6,$AF$29,0),IF('CO-PO Mapping'!U$7,$AG$29,0))=0), "-", IF(SUM(IF('CO-PO Mapping'!U$2,$AH58*$AB$29,0),IF('CO-PO Mapping'!U$3,$AI58*$AC$29,0),IF('CO-PO Mapping'!U$4,$AJ58*$AD$29,0),IF('CO-PO Mapping'!U$5,$AK58*$AE$29,0),IF('CO-PO Mapping'!U$6,$AL58*$AF$29,0),IF('CO-PO Mapping'!U$7,$AM58*$AG$29,0))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8" s="95" t="str">
        <f>IF('CO-PO Mapping'!V$2, IF(OR($AN58="-",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IF(OR($AP58="-", SUM( IF('CO-PO Mapping'!V$2,$AB$29,0), IF('CO-PO Mapping'!V$3,$AC$29,0), IF('CO-PO Mapping'!V$4,$AD$29,0), IF('CO-PO Mapping'!V$5,$AE$29,0), IF('CO-PO Mapping'!V$6,$AF$29,0), IF('CO-PO Mapping'!V$7,$AG$29,0) )=0), "-", IF( SUM( IF('CO-PO Mapping'!V$2,$AH58*$AB$29,0), IF('CO-PO Mapping'!V$3,$AI58*$AC$29,0), IF('CO-PO Mapping'!V$4,$AJ58*$AD$29,0), IF('CO-PO Mapping'!V$5,$AK58*$AE$29,0), IF('CO-PO Mapping'!V$6,$AL58*$AF$29,0), IF('CO-PO Mapping'!V$7,$AM58*$AG$29,0)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IF('CO-PO Mapping'!V$6, IF(OR($AR58="-",SUM(IF('CO-PO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IF('CO-PO Mapping'!V$7, IF(OR($AS58="-",SUM(IF('CO-PO Mapping'!V$2,$AB$29,0),IF('CO-PO Mapping'!V$3,$AC$29,0),IF('CO-PO Mapping'!V$4,$AD$29,0),IF('CO-PO Mapping'!V$5,$AE$29,0),IF('CO-PO Mapping'!V$6,$AF$29,0),IF('CO-PO Mapping'!V$7,$AG$29,0))=0), "-", IF(SUM(IF('CO-PO Mapping'!V$2,$AH58*$AB$29,0),IF('CO-PO Mapping'!V$3,$AI58*$AC$29,0),IF('CO-PO Mapping'!V$4,$AJ58*$AD$29,0),IF('CO-PO Mapping'!V$5,$AK58*$AE$29,0),IF('CO-PO Mapping'!V$6,$AL58*$AF$29,0),IF('CO-PO Mapping'!V$7,$AM58*$AG$29,0))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8" s="95" t="str">
        <f>IF('CO-PO Mapping'!W$2, IF(OR($AN58="-",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IF(OR($AP58="-", SUM( IF('CO-PO Mapping'!W$2,$AB$29,0), IF('CO-PO Mapping'!W$3,$AC$29,0), IF('CO-PO Mapping'!W$4,$AD$29,0), IF('CO-PO Mapping'!W$5,$AE$29,0), IF('CO-PO Mapping'!W$6,$AF$29,0), IF('CO-PO Mapping'!W$7,$AG$29,0) )=0), "-", IF( SUM( IF('CO-PO Mapping'!W$2,$AH58*$AB$29,0), IF('CO-PO Mapping'!W$3,$AI58*$AC$29,0), IF('CO-PO Mapping'!W$4,$AJ58*$AD$29,0), IF('CO-PO Mapping'!W$5,$AK58*$AE$29,0), IF('CO-PO Mapping'!W$6,$AL58*$AF$29,0), IF('CO-PO Mapping'!W$7,$AM58*$AG$29,0)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IF('CO-PO Mapping'!W$6, IF(OR($AR58="-",SUM(IF('CO-PO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IF('CO-PO Mapping'!W$7, IF(OR($AS58="-",SUM(IF('CO-PO Mapping'!W$2,$AB$29,0),IF('CO-PO Mapping'!W$3,$AC$29,0),IF('CO-PO Mapping'!W$4,$AD$29,0),IF('CO-PO Mapping'!W$5,$AE$29,0),IF('CO-PO Mapping'!W$6,$AF$29,0),IF('CO-PO Mapping'!W$7,$AG$29,0))=0), "-", IF(SUM(IF('CO-PO Mapping'!W$2,$AH58*$AB$29,0),IF('CO-PO Mapping'!W$3,$AI58*$AC$29,0),IF('CO-PO Mapping'!W$4,$AJ58*$AD$29,0),IF('CO-PO Mapping'!W$5,$AK58*$AE$29,0),IF('CO-PO Mapping'!W$6,$AL58*$AF$29,0),IF('CO-PO Mapping'!W$7,$AM58*$AG$29,0))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8" s="95" t="str">
        <f>IF('CO-PO Mapping'!X$2, IF(OR($AN58="-",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IF(OR($AP58="-", SUM( IF('CO-PO Mapping'!X$2,$AB$29,0), IF('CO-PO Mapping'!X$3,$AC$29,0), IF('CO-PO Mapping'!X$4,$AD$29,0), IF('CO-PO Mapping'!X$5,$AE$29,0), IF('CO-PO Mapping'!X$6,$AF$29,0), IF('CO-PO Mapping'!X$7,$AG$29,0) )=0), "-", IF( SUM( IF('CO-PO Mapping'!X$2,$AH58*$AB$29,0), IF('CO-PO Mapping'!X$3,$AI58*$AC$29,0), IF('CO-PO Mapping'!X$4,$AJ58*$AD$29,0), IF('CO-PO Mapping'!X$5,$AK58*$AE$29,0), IF('CO-PO Mapping'!X$6,$AL58*$AF$29,0), IF('CO-PO Mapping'!X$7,$AM58*$AG$29,0)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IF('CO-PO Mapping'!X$6, IF(OR($AR58="-",SUM(IF('CO-PO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IF('CO-PO Mapping'!X$7, IF(OR($AS58="-",SUM(IF('CO-PO Mapping'!X$2,$AB$29,0),IF('CO-PO Mapping'!X$3,$AC$29,0),IF('CO-PO Mapping'!X$4,$AD$29,0),IF('CO-PO Mapping'!X$5,$AE$29,0),IF('CO-PO Mapping'!X$6,$AF$29,0),IF('CO-PO Mapping'!X$7,$AG$29,0))=0), "-", IF(SUM(IF('CO-PO Mapping'!X$2,$AH58*$AB$29,0),IF('CO-PO Mapping'!X$3,$AI58*$AC$29,0),IF('CO-PO Mapping'!X$4,$AJ58*$AD$29,0),IF('CO-PO Mapping'!X$5,$AK58*$AE$29,0),IF('CO-PO Mapping'!X$6,$AL58*$AF$29,0),IF('CO-PO Mapping'!X$7,$AM58*$AG$29,0))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8" s="95" t="str">
        <f>IF('CO-PO Mapping'!Y$2, IF(OR($AN58="-",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IF(OR($AP58="-", SUM( IF('CO-PO Mapping'!Y$2,$AB$29,0), IF('CO-PO Mapping'!Y$3,$AC$29,0), IF('CO-PO Mapping'!Y$4,$AD$29,0), IF('CO-PO Mapping'!Y$5,$AE$29,0), IF('CO-PO Mapping'!Y$6,$AF$29,0), IF('CO-PO Mapping'!Y$7,$AG$29,0) )=0), "-", IF( SUM( IF('CO-PO Mapping'!Y$2,$AH58*$AB$29,0), IF('CO-PO Mapping'!Y$3,$AI58*$AC$29,0), IF('CO-PO Mapping'!Y$4,$AJ58*$AD$29,0), IF('CO-PO Mapping'!Y$5,$AK58*$AE$29,0), IF('CO-PO Mapping'!Y$6,$AL58*$AF$29,0), IF('CO-PO Mapping'!Y$7,$AM58*$AG$29,0)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IF('CO-PO Mapping'!Y$6, IF(OR($AR58="-",SUM(IF('CO-PO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IF('CO-PO Mapping'!Y$7, IF(OR($AS58="-",SUM(IF('CO-PO Mapping'!Y$2,$AB$29,0),IF('CO-PO Mapping'!Y$3,$AC$29,0),IF('CO-PO Mapping'!Y$4,$AD$29,0),IF('CO-PO Mapping'!Y$5,$AE$29,0),IF('CO-PO Mapping'!Y$6,$AF$29,0),IF('CO-PO Mapping'!Y$7,$AG$29,0))=0), "-", IF(SUM(IF('CO-PO Mapping'!Y$2,$AH58*$AB$29,0),IF('CO-PO Mapping'!Y$3,$AI58*$AC$29,0),IF('CO-PO Mapping'!Y$4,$AJ58*$AD$29,0),IF('CO-PO Mapping'!Y$5,$AK58*$AE$29,0),IF('CO-PO Mapping'!Y$6,$AL58*$AF$29,0),IF('CO-PO Mapping'!Y$7,$AM58*$AG$29,0))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8" s="95" t="str">
        <f>IF('CO-PO Mapping'!Z$2, IF(OR($AN58="-",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IF(OR($AP58="-", SUM( IF('CO-PO Mapping'!Z$2,$AB$29,0), IF('CO-PO Mapping'!Z$3,$AC$29,0), IF('CO-PO Mapping'!Z$4,$AD$29,0), IF('CO-PO Mapping'!Z$5,$AE$29,0), IF('CO-PO Mapping'!Z$6,$AF$29,0), IF('CO-PO Mapping'!Z$7,$AG$29,0) )=0), "-", IF( SUM( IF('CO-PO Mapping'!Z$2,$AH58*$AB$29,0), IF('CO-PO Mapping'!Z$3,$AI58*$AC$29,0), IF('CO-PO Mapping'!Z$4,$AJ58*$AD$29,0), IF('CO-PO Mapping'!Z$5,$AK58*$AE$29,0), IF('CO-PO Mapping'!Z$6,$AL58*$AF$29,0), IF('CO-PO Mapping'!Z$7,$AM58*$AG$29,0)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IF('CO-PO Mapping'!Z$6, IF(OR($AR58="-",SUM(IF('CO-PO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IF('CO-PO Mapping'!Z$7, IF(OR($AS58="-",SUM(IF('CO-PO Mapping'!Z$2,$AB$29,0),IF('CO-PO Mapping'!Z$3,$AC$29,0),IF('CO-PO Mapping'!Z$4,$AD$29,0),IF('CO-PO Mapping'!Z$5,$AE$29,0),IF('CO-PO Mapping'!Z$6,$AF$29,0),IF('CO-PO Mapping'!Z$7,$AG$29,0))=0), "-", IF(SUM(IF('CO-PO Mapping'!Z$2,$AH58*$AB$29,0),IF('CO-PO Mapping'!Z$3,$AI58*$AC$29,0),IF('CO-PO Mapping'!Z$4,$AJ58*$AD$29,0),IF('CO-PO Mapping'!Z$5,$AK58*$AE$29,0),IF('CO-PO Mapping'!Z$6,$AL58*$AF$29,0),IF('CO-PO Mapping'!Z$7,$AM58*$AG$29,0))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59" spans="1:57" ht="15" customHeight="1" thickBot="1">
      <c r="A59" s="110">
        <v>22235103247</v>
      </c>
      <c r="B59" s="111" t="s">
        <v>176</v>
      </c>
      <c r="C59" s="70">
        <v>4</v>
      </c>
      <c r="D59" s="71"/>
      <c r="E59" s="71">
        <v>20</v>
      </c>
      <c r="F59" s="71"/>
      <c r="G59" s="71"/>
      <c r="H59" s="103">
        <f t="shared" si="2"/>
        <v>24</v>
      </c>
      <c r="I59" s="75">
        <v>9</v>
      </c>
      <c r="J59" s="75">
        <v>9</v>
      </c>
      <c r="K59" s="75">
        <v>9</v>
      </c>
      <c r="L59" s="75"/>
      <c r="M59" s="75"/>
      <c r="N59" s="75"/>
      <c r="O59" s="105">
        <f t="shared" si="3"/>
        <v>27</v>
      </c>
      <c r="P59" s="75">
        <v>19</v>
      </c>
      <c r="Q59" s="75">
        <v>18</v>
      </c>
      <c r="R59" s="75"/>
      <c r="S59" s="75"/>
      <c r="T59" s="75"/>
      <c r="U59" s="75"/>
      <c r="V59" s="104">
        <f t="shared" si="4"/>
        <v>37</v>
      </c>
      <c r="W59" s="83">
        <f t="shared" si="5"/>
        <v>88</v>
      </c>
      <c r="X59" s="98" t="str">
        <f t="shared" si="10"/>
        <v>A (Plus)</v>
      </c>
      <c r="Y59" s="47"/>
      <c r="Z59" s="42">
        <f t="shared" si="6"/>
        <v>22235103247</v>
      </c>
      <c r="AA59" s="43" t="str">
        <f t="shared" si="7"/>
        <v>Md. Soykot Ahamed</v>
      </c>
      <c r="AB59" s="90">
        <f t="shared" si="11"/>
        <v>33</v>
      </c>
      <c r="AC59" s="90">
        <f t="shared" si="11"/>
        <v>28</v>
      </c>
      <c r="AD59" s="90">
        <f t="shared" si="11"/>
        <v>27</v>
      </c>
      <c r="AE59" s="90">
        <f t="shared" si="11"/>
        <v>0</v>
      </c>
      <c r="AF59" s="90">
        <f t="shared" si="11"/>
        <v>0</v>
      </c>
      <c r="AG59" s="90">
        <f t="shared" si="25"/>
        <v>0</v>
      </c>
      <c r="AH59" s="92">
        <f t="shared" si="12"/>
        <v>82.5</v>
      </c>
      <c r="AI59" s="92">
        <f t="shared" si="13"/>
        <v>93.333333333333329</v>
      </c>
      <c r="AJ59" s="92">
        <f t="shared" si="14"/>
        <v>90</v>
      </c>
      <c r="AK59" s="92">
        <f t="shared" si="22"/>
        <v>0</v>
      </c>
      <c r="AL59" s="92">
        <f t="shared" si="15"/>
        <v>0</v>
      </c>
      <c r="AM59" s="92">
        <f t="shared" si="16"/>
        <v>0</v>
      </c>
      <c r="AN59" s="93" t="str">
        <f t="shared" si="23"/>
        <v>Y</v>
      </c>
      <c r="AO59" s="93" t="str">
        <f t="shared" si="17"/>
        <v>Y</v>
      </c>
      <c r="AP59" s="93" t="str">
        <f t="shared" si="18"/>
        <v>Y</v>
      </c>
      <c r="AQ59" s="93" t="str">
        <f t="shared" si="19"/>
        <v>N</v>
      </c>
      <c r="AR59" s="93" t="str">
        <f t="shared" si="20"/>
        <v>N</v>
      </c>
      <c r="AS59" s="93" t="str">
        <f t="shared" si="21"/>
        <v>N</v>
      </c>
      <c r="AT59" s="95" t="str">
        <f>IF('CO-PO Mapping'!O$2, IF(OR($AN59="-",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IF(OR($AP59="-", SUM( IF('CO-PO Mapping'!O$2,$AB$29,0), IF('CO-PO Mapping'!O$3,$AC$29,0), IF('CO-PO Mapping'!O$4,$AD$29,0), IF('CO-PO Mapping'!O$5,$AE$29,0), IF('CO-PO Mapping'!O$6,$AF$29,0), IF('CO-PO Mapping'!O$7,$AG$29,0) )=0), "-", IF( SUM( IF('CO-PO Mapping'!O$2,$AH59*$AB$29,0), IF('CO-PO Mapping'!O$3,$AI59*$AC$29,0), IF('CO-PO Mapping'!O$4,$AJ59*$AD$29,0), IF('CO-PO Mapping'!O$5,$AK59*$AE$29,0), IF('CO-PO Mapping'!O$6,$AL59*$AF$29,0), IF('CO-PO Mapping'!O$7,$AM59*$AG$29,0)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IF('CO-PO Mapping'!O$6, IF(OR($AR59="-",SUM(IF('CO-PO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IF('CO-PO Mapping'!O$7, IF(OR($AS59="-",SUM(IF('CO-PO Mapping'!O$2,$AB$29,0),IF('CO-PO Mapping'!O$3,$AC$29,0),IF('CO-PO Mapping'!O$4,$AD$29,0),IF('CO-PO Mapping'!O$5,$AE$29,0),IF('CO-PO Mapping'!O$6,$AF$29,0),IF('CO-PO Mapping'!O$7,$AG$29,0))=0), "-", IF(SUM(IF('CO-PO Mapping'!O$2,$AH59*$AB$29,0),IF('CO-PO Mapping'!O$3,$AI59*$AC$29,0),IF('CO-PO Mapping'!O$4,$AJ59*$AD$29,0),IF('CO-PO Mapping'!O$5,$AK59*$AE$29,0),IF('CO-PO Mapping'!O$6,$AL59*$AF$29,0),IF('CO-PO Mapping'!O$7,$AM59*$AG$29,0))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59" s="95" t="str">
        <f>IF('CO-PO Mapping'!P$2, IF(OR($AN59="-",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IF(OR($AP59="-", SUM( IF('CO-PO Mapping'!P$2,$AB$29,0), IF('CO-PO Mapping'!P$3,$AC$29,0), IF('CO-PO Mapping'!P$4,$AD$29,0), IF('CO-PO Mapping'!P$5,$AE$29,0), IF('CO-PO Mapping'!P$6,$AF$29,0), IF('CO-PO Mapping'!P$7,$AG$29,0) )=0), "-", IF( SUM( IF('CO-PO Mapping'!P$2,$AH59*$AB$29,0), IF('CO-PO Mapping'!P$3,$AI59*$AC$29,0), IF('CO-PO Mapping'!P$4,$AJ59*$AD$29,0), IF('CO-PO Mapping'!P$5,$AK59*$AE$29,0), IF('CO-PO Mapping'!P$6,$AL59*$AF$29,0), IF('CO-PO Mapping'!P$7,$AM59*$AG$29,0)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IF('CO-PO Mapping'!P$6, IF(OR($AR59="-",SUM(IF('CO-PO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IF('CO-PO Mapping'!P$7, IF(OR($AS59="-",SUM(IF('CO-PO Mapping'!P$2,$AB$29,0),IF('CO-PO Mapping'!P$3,$AC$29,0),IF('CO-PO Mapping'!P$4,$AD$29,0),IF('CO-PO Mapping'!P$5,$AE$29,0),IF('CO-PO Mapping'!P$6,$AF$29,0),IF('CO-PO Mapping'!P$7,$AG$29,0))=0), "-", IF(SUM(IF('CO-PO Mapping'!P$2,$AH59*$AB$29,0),IF('CO-PO Mapping'!P$3,$AI59*$AC$29,0),IF('CO-PO Mapping'!P$4,$AJ59*$AD$29,0),IF('CO-PO Mapping'!P$5,$AK59*$AE$29,0),IF('CO-PO Mapping'!P$6,$AL59*$AF$29,0),IF('CO-PO Mapping'!P$7,$AM59*$AG$29,0))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59" s="95" t="str">
        <f>IF('CO-PO Mapping'!Q$2, IF(OR($AN59="-",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IF(OR($AP59="-", SUM( IF('CO-PO Mapping'!Q$2,$AB$29,0), IF('CO-PO Mapping'!Q$3,$AC$29,0), IF('CO-PO Mapping'!Q$4,$AD$29,0), IF('CO-PO Mapping'!Q$5,$AE$29,0), IF('CO-PO Mapping'!Q$6,$AF$29,0), IF('CO-PO Mapping'!Q$7,$AG$29,0) )=0), "-", IF( SUM( IF('CO-PO Mapping'!Q$2,$AH59*$AB$29,0), IF('CO-PO Mapping'!Q$3,$AI59*$AC$29,0), IF('CO-PO Mapping'!Q$4,$AJ59*$AD$29,0), IF('CO-PO Mapping'!Q$5,$AK59*$AE$29,0), IF('CO-PO Mapping'!Q$6,$AL59*$AF$29,0), IF('CO-PO Mapping'!Q$7,$AM59*$AG$29,0)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IF('CO-PO Mapping'!Q$6, IF(OR($AR59="-",SUM(IF('CO-PO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IF('CO-PO Mapping'!Q$7, IF(OR($AS59="-",SUM(IF('CO-PO Mapping'!Q$2,$AB$29,0),IF('CO-PO Mapping'!Q$3,$AC$29,0),IF('CO-PO Mapping'!Q$4,$AD$29,0),IF('CO-PO Mapping'!Q$5,$AE$29,0),IF('CO-PO Mapping'!Q$6,$AF$29,0),IF('CO-PO Mapping'!Q$7,$AG$29,0))=0), "-", IF(SUM(IF('CO-PO Mapping'!Q$2,$AH59*$AB$29,0),IF('CO-PO Mapping'!Q$3,$AI59*$AC$29,0),IF('CO-PO Mapping'!Q$4,$AJ59*$AD$29,0),IF('CO-PO Mapping'!Q$5,$AK59*$AE$29,0),IF('CO-PO Mapping'!Q$6,$AL59*$AF$29,0),IF('CO-PO Mapping'!Q$7,$AM59*$AG$29,0))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59" s="95" t="str">
        <f>IF('CO-PO Mapping'!R$2, IF(OR($AN59="-",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IF(OR($AP59="-", SUM( IF('CO-PO Mapping'!R$2,$AB$29,0), IF('CO-PO Mapping'!R$3,$AC$29,0), IF('CO-PO Mapping'!R$4,$AD$29,0), IF('CO-PO Mapping'!R$5,$AE$29,0), IF('CO-PO Mapping'!R$6,$AF$29,0), IF('CO-PO Mapping'!R$7,$AG$29,0) )=0), "-", IF( SUM( IF('CO-PO Mapping'!R$2,$AH59*$AB$29,0), IF('CO-PO Mapping'!R$3,$AI59*$AC$29,0), IF('CO-PO Mapping'!R$4,$AJ59*$AD$29,0), IF('CO-PO Mapping'!R$5,$AK59*$AE$29,0), IF('CO-PO Mapping'!R$6,$AL59*$AF$29,0), IF('CO-PO Mapping'!R$7,$AM59*$AG$29,0)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IF('CO-PO Mapping'!R$6, IF(OR($AR59="-",SUM(IF('CO-PO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IF('CO-PO Mapping'!R$7, IF(OR($AS59="-",SUM(IF('CO-PO Mapping'!R$2,$AB$29,0),IF('CO-PO Mapping'!R$3,$AC$29,0),IF('CO-PO Mapping'!R$4,$AD$29,0),IF('CO-PO Mapping'!R$5,$AE$29,0),IF('CO-PO Mapping'!R$6,$AF$29,0),IF('CO-PO Mapping'!R$7,$AG$29,0))=0), "-", IF(SUM(IF('CO-PO Mapping'!R$2,$AH59*$AB$29,0),IF('CO-PO Mapping'!R$3,$AI59*$AC$29,0),IF('CO-PO Mapping'!R$4,$AJ59*$AD$29,0),IF('CO-PO Mapping'!R$5,$AK59*$AE$29,0),IF('CO-PO Mapping'!R$6,$AL59*$AF$29,0),IF('CO-PO Mapping'!R$7,$AM59*$AG$29,0))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59" s="95" t="str">
        <f>IF('CO-PO Mapping'!S$2, IF(OR($AN59="-",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IF(OR($AP59="-", SUM( IF('CO-PO Mapping'!S$2,$AB$29,0), IF('CO-PO Mapping'!S$3,$AC$29,0), IF('CO-PO Mapping'!S$4,$AD$29,0), IF('CO-PO Mapping'!S$5,$AE$29,0), IF('CO-PO Mapping'!S$6,$AF$29,0), IF('CO-PO Mapping'!S$7,$AG$29,0) )=0), "-", IF( SUM( IF('CO-PO Mapping'!S$2,$AH59*$AB$29,0), IF('CO-PO Mapping'!S$3,$AI59*$AC$29,0), IF('CO-PO Mapping'!S$4,$AJ59*$AD$29,0), IF('CO-PO Mapping'!S$5,$AK59*$AE$29,0), IF('CO-PO Mapping'!S$6,$AL59*$AF$29,0), IF('CO-PO Mapping'!S$7,$AM59*$AG$29,0)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IF('CO-PO Mapping'!S$6, IF(OR($AR59="-",SUM(IF('CO-PO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IF('CO-PO Mapping'!S$7, IF(OR($AS59="-",SUM(IF('CO-PO Mapping'!S$2,$AB$29,0),IF('CO-PO Mapping'!S$3,$AC$29,0),IF('CO-PO Mapping'!S$4,$AD$29,0),IF('CO-PO Mapping'!S$5,$AE$29,0),IF('CO-PO Mapping'!S$6,$AF$29,0),IF('CO-PO Mapping'!S$7,$AG$29,0))=0), "-", IF(SUM(IF('CO-PO Mapping'!S$2,$AH59*$AB$29,0),IF('CO-PO Mapping'!S$3,$AI59*$AC$29,0),IF('CO-PO Mapping'!S$4,$AJ59*$AD$29,0),IF('CO-PO Mapping'!S$5,$AK59*$AE$29,0),IF('CO-PO Mapping'!S$6,$AL59*$AF$29,0),IF('CO-PO Mapping'!S$7,$AM59*$AG$29,0))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59" s="95" t="str">
        <f>IF('CO-PO Mapping'!T$2, IF(OR($AN59="-",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IF(OR($AP59="-", SUM( IF('CO-PO Mapping'!T$2,$AB$29,0), IF('CO-PO Mapping'!T$3,$AC$29,0), IF('CO-PO Mapping'!T$4,$AD$29,0), IF('CO-PO Mapping'!T$5,$AE$29,0), IF('CO-PO Mapping'!T$6,$AF$29,0), IF('CO-PO Mapping'!T$7,$AG$29,0) )=0), "-", IF( SUM( IF('CO-PO Mapping'!T$2,$AH59*$AB$29,0), IF('CO-PO Mapping'!T$3,$AI59*$AC$29,0), IF('CO-PO Mapping'!T$4,$AJ59*$AD$29,0), IF('CO-PO Mapping'!T$5,$AK59*$AE$29,0), IF('CO-PO Mapping'!T$6,$AL59*$AF$29,0), IF('CO-PO Mapping'!T$7,$AM59*$AG$29,0)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IF('CO-PO Mapping'!T$6, IF(OR($AR59="-",SUM(IF('CO-PO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IF('CO-PO Mapping'!T$7, IF(OR($AS59="-",SUM(IF('CO-PO Mapping'!T$2,$AB$29,0),IF('CO-PO Mapping'!T$3,$AC$29,0),IF('CO-PO Mapping'!T$4,$AD$29,0),IF('CO-PO Mapping'!T$5,$AE$29,0),IF('CO-PO Mapping'!T$6,$AF$29,0),IF('CO-PO Mapping'!T$7,$AG$29,0))=0), "-", IF(SUM(IF('CO-PO Mapping'!T$2,$AH59*$AB$29,0),IF('CO-PO Mapping'!T$3,$AI59*$AC$29,0),IF('CO-PO Mapping'!T$4,$AJ59*$AD$29,0),IF('CO-PO Mapping'!T$5,$AK59*$AE$29,0),IF('CO-PO Mapping'!T$6,$AL59*$AF$29,0),IF('CO-PO Mapping'!T$7,$AM59*$AG$29,0))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59" s="95" t="str">
        <f>IF('CO-PO Mapping'!U$2, IF(OR($AN59="-",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IF(OR($AP59="-", SUM( IF('CO-PO Mapping'!U$2,$AB$29,0), IF('CO-PO Mapping'!U$3,$AC$29,0), IF('CO-PO Mapping'!U$4,$AD$29,0), IF('CO-PO Mapping'!U$5,$AE$29,0), IF('CO-PO Mapping'!U$6,$AF$29,0), IF('CO-PO Mapping'!U$7,$AG$29,0) )=0), "-", IF( SUM( IF('CO-PO Mapping'!U$2,$AH59*$AB$29,0), IF('CO-PO Mapping'!U$3,$AI59*$AC$29,0), IF('CO-PO Mapping'!U$4,$AJ59*$AD$29,0), IF('CO-PO Mapping'!U$5,$AK59*$AE$29,0), IF('CO-PO Mapping'!U$6,$AL59*$AF$29,0), IF('CO-PO Mapping'!U$7,$AM59*$AG$29,0)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IF('CO-PO Mapping'!U$6, IF(OR($AR59="-",SUM(IF('CO-PO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IF('CO-PO Mapping'!U$7, IF(OR($AS59="-",SUM(IF('CO-PO Mapping'!U$2,$AB$29,0),IF('CO-PO Mapping'!U$3,$AC$29,0),IF('CO-PO Mapping'!U$4,$AD$29,0),IF('CO-PO Mapping'!U$5,$AE$29,0),IF('CO-PO Mapping'!U$6,$AF$29,0),IF('CO-PO Mapping'!U$7,$AG$29,0))=0), "-", IF(SUM(IF('CO-PO Mapping'!U$2,$AH59*$AB$29,0),IF('CO-PO Mapping'!U$3,$AI59*$AC$29,0),IF('CO-PO Mapping'!U$4,$AJ59*$AD$29,0),IF('CO-PO Mapping'!U$5,$AK59*$AE$29,0),IF('CO-PO Mapping'!U$6,$AL59*$AF$29,0),IF('CO-PO Mapping'!U$7,$AM59*$AG$29,0))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59" s="95" t="str">
        <f>IF('CO-PO Mapping'!V$2, IF(OR($AN59="-",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IF(OR($AP59="-", SUM( IF('CO-PO Mapping'!V$2,$AB$29,0), IF('CO-PO Mapping'!V$3,$AC$29,0), IF('CO-PO Mapping'!V$4,$AD$29,0), IF('CO-PO Mapping'!V$5,$AE$29,0), IF('CO-PO Mapping'!V$6,$AF$29,0), IF('CO-PO Mapping'!V$7,$AG$29,0) )=0), "-", IF( SUM( IF('CO-PO Mapping'!V$2,$AH59*$AB$29,0), IF('CO-PO Mapping'!V$3,$AI59*$AC$29,0), IF('CO-PO Mapping'!V$4,$AJ59*$AD$29,0), IF('CO-PO Mapping'!V$5,$AK59*$AE$29,0), IF('CO-PO Mapping'!V$6,$AL59*$AF$29,0), IF('CO-PO Mapping'!V$7,$AM59*$AG$29,0)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IF('CO-PO Mapping'!V$6, IF(OR($AR59="-",SUM(IF('CO-PO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IF('CO-PO Mapping'!V$7, IF(OR($AS59="-",SUM(IF('CO-PO Mapping'!V$2,$AB$29,0),IF('CO-PO Mapping'!V$3,$AC$29,0),IF('CO-PO Mapping'!V$4,$AD$29,0),IF('CO-PO Mapping'!V$5,$AE$29,0),IF('CO-PO Mapping'!V$6,$AF$29,0),IF('CO-PO Mapping'!V$7,$AG$29,0))=0), "-", IF(SUM(IF('CO-PO Mapping'!V$2,$AH59*$AB$29,0),IF('CO-PO Mapping'!V$3,$AI59*$AC$29,0),IF('CO-PO Mapping'!V$4,$AJ59*$AD$29,0),IF('CO-PO Mapping'!V$5,$AK59*$AE$29,0),IF('CO-PO Mapping'!V$6,$AL59*$AF$29,0),IF('CO-PO Mapping'!V$7,$AM59*$AG$29,0))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59" s="95" t="str">
        <f>IF('CO-PO Mapping'!W$2, IF(OR($AN59="-",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IF(OR($AP59="-", SUM( IF('CO-PO Mapping'!W$2,$AB$29,0), IF('CO-PO Mapping'!W$3,$AC$29,0), IF('CO-PO Mapping'!W$4,$AD$29,0), IF('CO-PO Mapping'!W$5,$AE$29,0), IF('CO-PO Mapping'!W$6,$AF$29,0), IF('CO-PO Mapping'!W$7,$AG$29,0) )=0), "-", IF( SUM( IF('CO-PO Mapping'!W$2,$AH59*$AB$29,0), IF('CO-PO Mapping'!W$3,$AI59*$AC$29,0), IF('CO-PO Mapping'!W$4,$AJ59*$AD$29,0), IF('CO-PO Mapping'!W$5,$AK59*$AE$29,0), IF('CO-PO Mapping'!W$6,$AL59*$AF$29,0), IF('CO-PO Mapping'!W$7,$AM59*$AG$29,0)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IF('CO-PO Mapping'!W$6, IF(OR($AR59="-",SUM(IF('CO-PO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IF('CO-PO Mapping'!W$7, IF(OR($AS59="-",SUM(IF('CO-PO Mapping'!W$2,$AB$29,0),IF('CO-PO Mapping'!W$3,$AC$29,0),IF('CO-PO Mapping'!W$4,$AD$29,0),IF('CO-PO Mapping'!W$5,$AE$29,0),IF('CO-PO Mapping'!W$6,$AF$29,0),IF('CO-PO Mapping'!W$7,$AG$29,0))=0), "-", IF(SUM(IF('CO-PO Mapping'!W$2,$AH59*$AB$29,0),IF('CO-PO Mapping'!W$3,$AI59*$AC$29,0),IF('CO-PO Mapping'!W$4,$AJ59*$AD$29,0),IF('CO-PO Mapping'!W$5,$AK59*$AE$29,0),IF('CO-PO Mapping'!W$6,$AL59*$AF$29,0),IF('CO-PO Mapping'!W$7,$AM59*$AG$29,0))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59" s="95" t="str">
        <f>IF('CO-PO Mapping'!X$2, IF(OR($AN59="-",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IF(OR($AP59="-", SUM( IF('CO-PO Mapping'!X$2,$AB$29,0), IF('CO-PO Mapping'!X$3,$AC$29,0), IF('CO-PO Mapping'!X$4,$AD$29,0), IF('CO-PO Mapping'!X$5,$AE$29,0), IF('CO-PO Mapping'!X$6,$AF$29,0), IF('CO-PO Mapping'!X$7,$AG$29,0) )=0), "-", IF( SUM( IF('CO-PO Mapping'!X$2,$AH59*$AB$29,0), IF('CO-PO Mapping'!X$3,$AI59*$AC$29,0), IF('CO-PO Mapping'!X$4,$AJ59*$AD$29,0), IF('CO-PO Mapping'!X$5,$AK59*$AE$29,0), IF('CO-PO Mapping'!X$6,$AL59*$AF$29,0), IF('CO-PO Mapping'!X$7,$AM59*$AG$29,0)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IF('CO-PO Mapping'!X$6, IF(OR($AR59="-",SUM(IF('CO-PO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IF('CO-PO Mapping'!X$7, IF(OR($AS59="-",SUM(IF('CO-PO Mapping'!X$2,$AB$29,0),IF('CO-PO Mapping'!X$3,$AC$29,0),IF('CO-PO Mapping'!X$4,$AD$29,0),IF('CO-PO Mapping'!X$5,$AE$29,0),IF('CO-PO Mapping'!X$6,$AF$29,0),IF('CO-PO Mapping'!X$7,$AG$29,0))=0), "-", IF(SUM(IF('CO-PO Mapping'!X$2,$AH59*$AB$29,0),IF('CO-PO Mapping'!X$3,$AI59*$AC$29,0),IF('CO-PO Mapping'!X$4,$AJ59*$AD$29,0),IF('CO-PO Mapping'!X$5,$AK59*$AE$29,0),IF('CO-PO Mapping'!X$6,$AL59*$AF$29,0),IF('CO-PO Mapping'!X$7,$AM59*$AG$29,0))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59" s="95" t="str">
        <f>IF('CO-PO Mapping'!Y$2, IF(OR($AN59="-",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IF(OR($AP59="-", SUM( IF('CO-PO Mapping'!Y$2,$AB$29,0), IF('CO-PO Mapping'!Y$3,$AC$29,0), IF('CO-PO Mapping'!Y$4,$AD$29,0), IF('CO-PO Mapping'!Y$5,$AE$29,0), IF('CO-PO Mapping'!Y$6,$AF$29,0), IF('CO-PO Mapping'!Y$7,$AG$29,0) )=0), "-", IF( SUM( IF('CO-PO Mapping'!Y$2,$AH59*$AB$29,0), IF('CO-PO Mapping'!Y$3,$AI59*$AC$29,0), IF('CO-PO Mapping'!Y$4,$AJ59*$AD$29,0), IF('CO-PO Mapping'!Y$5,$AK59*$AE$29,0), IF('CO-PO Mapping'!Y$6,$AL59*$AF$29,0), IF('CO-PO Mapping'!Y$7,$AM59*$AG$29,0)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IF('CO-PO Mapping'!Y$6, IF(OR($AR59="-",SUM(IF('CO-PO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IF('CO-PO Mapping'!Y$7, IF(OR($AS59="-",SUM(IF('CO-PO Mapping'!Y$2,$AB$29,0),IF('CO-PO Mapping'!Y$3,$AC$29,0),IF('CO-PO Mapping'!Y$4,$AD$29,0),IF('CO-PO Mapping'!Y$5,$AE$29,0),IF('CO-PO Mapping'!Y$6,$AF$29,0),IF('CO-PO Mapping'!Y$7,$AG$29,0))=0), "-", IF(SUM(IF('CO-PO Mapping'!Y$2,$AH59*$AB$29,0),IF('CO-PO Mapping'!Y$3,$AI59*$AC$29,0),IF('CO-PO Mapping'!Y$4,$AJ59*$AD$29,0),IF('CO-PO Mapping'!Y$5,$AK59*$AE$29,0),IF('CO-PO Mapping'!Y$6,$AL59*$AF$29,0),IF('CO-PO Mapping'!Y$7,$AM59*$AG$29,0))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59" s="95" t="str">
        <f>IF('CO-PO Mapping'!Z$2, IF(OR($AN59="-",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IF(OR($AP59="-", SUM( IF('CO-PO Mapping'!Z$2,$AB$29,0), IF('CO-PO Mapping'!Z$3,$AC$29,0), IF('CO-PO Mapping'!Z$4,$AD$29,0), IF('CO-PO Mapping'!Z$5,$AE$29,0), IF('CO-PO Mapping'!Z$6,$AF$29,0), IF('CO-PO Mapping'!Z$7,$AG$29,0) )=0), "-", IF( SUM( IF('CO-PO Mapping'!Z$2,$AH59*$AB$29,0), IF('CO-PO Mapping'!Z$3,$AI59*$AC$29,0), IF('CO-PO Mapping'!Z$4,$AJ59*$AD$29,0), IF('CO-PO Mapping'!Z$5,$AK59*$AE$29,0), IF('CO-PO Mapping'!Z$6,$AL59*$AF$29,0), IF('CO-PO Mapping'!Z$7,$AM59*$AG$29,0)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IF('CO-PO Mapping'!Z$6, IF(OR($AR59="-",SUM(IF('CO-PO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IF('CO-PO Mapping'!Z$7, IF(OR($AS59="-",SUM(IF('CO-PO Mapping'!Z$2,$AB$29,0),IF('CO-PO Mapping'!Z$3,$AC$29,0),IF('CO-PO Mapping'!Z$4,$AD$29,0),IF('CO-PO Mapping'!Z$5,$AE$29,0),IF('CO-PO Mapping'!Z$6,$AF$29,0),IF('CO-PO Mapping'!Z$7,$AG$29,0))=0), "-", IF(SUM(IF('CO-PO Mapping'!Z$2,$AH59*$AB$29,0),IF('CO-PO Mapping'!Z$3,$AI59*$AC$29,0),IF('CO-PO Mapping'!Z$4,$AJ59*$AD$29,0),IF('CO-PO Mapping'!Z$5,$AK59*$AE$29,0),IF('CO-PO Mapping'!Z$6,$AL59*$AF$29,0),IF('CO-PO Mapping'!Z$7,$AM59*$AG$29,0))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0" spans="1:57" ht="15" customHeight="1" thickBot="1">
      <c r="A60" s="110">
        <v>22235103256</v>
      </c>
      <c r="B60" s="111" t="s">
        <v>177</v>
      </c>
      <c r="C60" s="70">
        <v>4</v>
      </c>
      <c r="D60" s="70"/>
      <c r="E60" s="71">
        <v>20</v>
      </c>
      <c r="F60" s="70"/>
      <c r="G60" s="71"/>
      <c r="H60" s="103">
        <f t="shared" si="2"/>
        <v>24</v>
      </c>
      <c r="I60" s="75">
        <v>7</v>
      </c>
      <c r="J60" s="75">
        <v>7</v>
      </c>
      <c r="K60" s="75">
        <v>4</v>
      </c>
      <c r="L60" s="75"/>
      <c r="M60" s="75"/>
      <c r="N60" s="75"/>
      <c r="O60" s="105">
        <f t="shared" si="3"/>
        <v>18</v>
      </c>
      <c r="P60" s="75">
        <v>12</v>
      </c>
      <c r="Q60" s="75">
        <v>13</v>
      </c>
      <c r="R60" s="75"/>
      <c r="S60" s="75"/>
      <c r="T60" s="75"/>
      <c r="U60" s="75"/>
      <c r="V60" s="104">
        <f t="shared" si="4"/>
        <v>25</v>
      </c>
      <c r="W60" s="83">
        <f t="shared" si="5"/>
        <v>67</v>
      </c>
      <c r="X60" s="98" t="str">
        <f t="shared" si="10"/>
        <v>B (Plus)</v>
      </c>
      <c r="Y60" s="47"/>
      <c r="Z60" s="42">
        <f t="shared" si="6"/>
        <v>22235103256</v>
      </c>
      <c r="AA60" s="43" t="str">
        <f t="shared" si="7"/>
        <v>Utsob</v>
      </c>
      <c r="AB60" s="90">
        <f t="shared" si="11"/>
        <v>31</v>
      </c>
      <c r="AC60" s="90">
        <f t="shared" si="11"/>
        <v>19</v>
      </c>
      <c r="AD60" s="90">
        <f t="shared" si="11"/>
        <v>17</v>
      </c>
      <c r="AE60" s="90">
        <f t="shared" si="11"/>
        <v>0</v>
      </c>
      <c r="AF60" s="90">
        <f t="shared" si="11"/>
        <v>0</v>
      </c>
      <c r="AG60" s="90">
        <f t="shared" si="25"/>
        <v>0</v>
      </c>
      <c r="AH60" s="92">
        <f t="shared" si="12"/>
        <v>77.5</v>
      </c>
      <c r="AI60" s="92">
        <f t="shared" si="13"/>
        <v>63.333333333333336</v>
      </c>
      <c r="AJ60" s="92">
        <f t="shared" si="14"/>
        <v>56.666666666666664</v>
      </c>
      <c r="AK60" s="92">
        <f t="shared" si="22"/>
        <v>0</v>
      </c>
      <c r="AL60" s="92">
        <f t="shared" si="15"/>
        <v>0</v>
      </c>
      <c r="AM60" s="92">
        <f>IF($AG$29=0,0,AG60*100/$AG$29)</f>
        <v>0</v>
      </c>
      <c r="AN60" s="93" t="str">
        <f t="shared" si="23"/>
        <v>Y</v>
      </c>
      <c r="AO60" s="93" t="str">
        <f t="shared" si="17"/>
        <v>Y</v>
      </c>
      <c r="AP60" s="93" t="str">
        <f t="shared" si="18"/>
        <v>Y</v>
      </c>
      <c r="AQ60" s="93" t="str">
        <f t="shared" si="19"/>
        <v>N</v>
      </c>
      <c r="AR60" s="93" t="str">
        <f t="shared" si="20"/>
        <v>N</v>
      </c>
      <c r="AS60" s="93" t="str">
        <f t="shared" si="21"/>
        <v>N</v>
      </c>
      <c r="AT60" s="95" t="str">
        <f>IF('CO-PO Mapping'!O$2, IF(OR($AN60="-",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IF(OR($AP60="-", SUM( IF('CO-PO Mapping'!O$2,$AB$29,0), IF('CO-PO Mapping'!O$3,$AC$29,0), IF('CO-PO Mapping'!O$4,$AD$29,0), IF('CO-PO Mapping'!O$5,$AE$29,0), IF('CO-PO Mapping'!O$6,$AF$29,0), IF('CO-PO Mapping'!O$7,$AG$29,0) )=0), "-", IF( SUM( IF('CO-PO Mapping'!O$2,$AH60*$AB$29,0), IF('CO-PO Mapping'!O$3,$AI60*$AC$29,0), IF('CO-PO Mapping'!O$4,$AJ60*$AD$29,0), IF('CO-PO Mapping'!O$5,$AK60*$AE$29,0), IF('CO-PO Mapping'!O$6,$AL60*$AF$29,0), IF('CO-PO Mapping'!O$7,$AM60*$AG$29,0)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IF('CO-PO Mapping'!O$6, IF(OR($AR60="-",SUM(IF('CO-PO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IF('CO-PO Mapping'!O$7, IF(OR($AS60="-",SUM(IF('CO-PO Mapping'!O$2,$AB$29,0),IF('CO-PO Mapping'!O$3,$AC$29,0),IF('CO-PO Mapping'!O$4,$AD$29,0),IF('CO-PO Mapping'!O$5,$AE$29,0),IF('CO-PO Mapping'!O$6,$AF$29,0),IF('CO-PO Mapping'!O$7,$AG$29,0))=0), "-", IF(SUM(IF('CO-PO Mapping'!O$2,$AH60*$AB$29,0),IF('CO-PO Mapping'!O$3,$AI60*$AC$29,0),IF('CO-PO Mapping'!O$4,$AJ60*$AD$29,0),IF('CO-PO Mapping'!O$5,$AK60*$AE$29,0),IF('CO-PO Mapping'!O$6,$AL60*$AF$29,0),IF('CO-PO Mapping'!O$7,$AM60*$AG$29,0))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0" s="95" t="str">
        <f>IF('CO-PO Mapping'!P$2, IF(OR($AN60="-",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IF(OR($AP60="-", SUM( IF('CO-PO Mapping'!P$2,$AB$29,0), IF('CO-PO Mapping'!P$3,$AC$29,0), IF('CO-PO Mapping'!P$4,$AD$29,0), IF('CO-PO Mapping'!P$5,$AE$29,0), IF('CO-PO Mapping'!P$6,$AF$29,0), IF('CO-PO Mapping'!P$7,$AG$29,0) )=0), "-", IF( SUM( IF('CO-PO Mapping'!P$2,$AH60*$AB$29,0), IF('CO-PO Mapping'!P$3,$AI60*$AC$29,0), IF('CO-PO Mapping'!P$4,$AJ60*$AD$29,0), IF('CO-PO Mapping'!P$5,$AK60*$AE$29,0), IF('CO-PO Mapping'!P$6,$AL60*$AF$29,0), IF('CO-PO Mapping'!P$7,$AM60*$AG$29,0)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IF('CO-PO Mapping'!P$6, IF(OR($AR60="-",SUM(IF('CO-PO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IF('CO-PO Mapping'!P$7, IF(OR($AS60="-",SUM(IF('CO-PO Mapping'!P$2,$AB$29,0),IF('CO-PO Mapping'!P$3,$AC$29,0),IF('CO-PO Mapping'!P$4,$AD$29,0),IF('CO-PO Mapping'!P$5,$AE$29,0),IF('CO-PO Mapping'!P$6,$AF$29,0),IF('CO-PO Mapping'!P$7,$AG$29,0))=0), "-", IF(SUM(IF('CO-PO Mapping'!P$2,$AH60*$AB$29,0),IF('CO-PO Mapping'!P$3,$AI60*$AC$29,0),IF('CO-PO Mapping'!P$4,$AJ60*$AD$29,0),IF('CO-PO Mapping'!P$5,$AK60*$AE$29,0),IF('CO-PO Mapping'!P$6,$AL60*$AF$29,0),IF('CO-PO Mapping'!P$7,$AM60*$AG$29,0))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0" s="95" t="str">
        <f>IF('CO-PO Mapping'!Q$2, IF(OR($AN60="-",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IF(OR($AP60="-", SUM( IF('CO-PO Mapping'!Q$2,$AB$29,0), IF('CO-PO Mapping'!Q$3,$AC$29,0), IF('CO-PO Mapping'!Q$4,$AD$29,0), IF('CO-PO Mapping'!Q$5,$AE$29,0), IF('CO-PO Mapping'!Q$6,$AF$29,0), IF('CO-PO Mapping'!Q$7,$AG$29,0) )=0), "-", IF( SUM( IF('CO-PO Mapping'!Q$2,$AH60*$AB$29,0), IF('CO-PO Mapping'!Q$3,$AI60*$AC$29,0), IF('CO-PO Mapping'!Q$4,$AJ60*$AD$29,0), IF('CO-PO Mapping'!Q$5,$AK60*$AE$29,0), IF('CO-PO Mapping'!Q$6,$AL60*$AF$29,0), IF('CO-PO Mapping'!Q$7,$AM60*$AG$29,0)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IF('CO-PO Mapping'!Q$6, IF(OR($AR60="-",SUM(IF('CO-PO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IF('CO-PO Mapping'!Q$7, IF(OR($AS60="-",SUM(IF('CO-PO Mapping'!Q$2,$AB$29,0),IF('CO-PO Mapping'!Q$3,$AC$29,0),IF('CO-PO Mapping'!Q$4,$AD$29,0),IF('CO-PO Mapping'!Q$5,$AE$29,0),IF('CO-PO Mapping'!Q$6,$AF$29,0),IF('CO-PO Mapping'!Q$7,$AG$29,0))=0), "-", IF(SUM(IF('CO-PO Mapping'!Q$2,$AH60*$AB$29,0),IF('CO-PO Mapping'!Q$3,$AI60*$AC$29,0),IF('CO-PO Mapping'!Q$4,$AJ60*$AD$29,0),IF('CO-PO Mapping'!Q$5,$AK60*$AE$29,0),IF('CO-PO Mapping'!Q$6,$AL60*$AF$29,0),IF('CO-PO Mapping'!Q$7,$AM60*$AG$29,0))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0" s="95" t="str">
        <f>IF('CO-PO Mapping'!R$2, IF(OR($AN60="-",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IF(OR($AP60="-", SUM( IF('CO-PO Mapping'!R$2,$AB$29,0), IF('CO-PO Mapping'!R$3,$AC$29,0), IF('CO-PO Mapping'!R$4,$AD$29,0), IF('CO-PO Mapping'!R$5,$AE$29,0), IF('CO-PO Mapping'!R$6,$AF$29,0), IF('CO-PO Mapping'!R$7,$AG$29,0) )=0), "-", IF( SUM( IF('CO-PO Mapping'!R$2,$AH60*$AB$29,0), IF('CO-PO Mapping'!R$3,$AI60*$AC$29,0), IF('CO-PO Mapping'!R$4,$AJ60*$AD$29,0), IF('CO-PO Mapping'!R$5,$AK60*$AE$29,0), IF('CO-PO Mapping'!R$6,$AL60*$AF$29,0), IF('CO-PO Mapping'!R$7,$AM60*$AG$29,0)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IF('CO-PO Mapping'!R$6, IF(OR($AR60="-",SUM(IF('CO-PO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IF('CO-PO Mapping'!R$7, IF(OR($AS60="-",SUM(IF('CO-PO Mapping'!R$2,$AB$29,0),IF('CO-PO Mapping'!R$3,$AC$29,0),IF('CO-PO Mapping'!R$4,$AD$29,0),IF('CO-PO Mapping'!R$5,$AE$29,0),IF('CO-PO Mapping'!R$6,$AF$29,0),IF('CO-PO Mapping'!R$7,$AG$29,0))=0), "-", IF(SUM(IF('CO-PO Mapping'!R$2,$AH60*$AB$29,0),IF('CO-PO Mapping'!R$3,$AI60*$AC$29,0),IF('CO-PO Mapping'!R$4,$AJ60*$AD$29,0),IF('CO-PO Mapping'!R$5,$AK60*$AE$29,0),IF('CO-PO Mapping'!R$6,$AL60*$AF$29,0),IF('CO-PO Mapping'!R$7,$AM60*$AG$29,0))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0" s="95" t="str">
        <f>IF('CO-PO Mapping'!S$2, IF(OR($AN60="-",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IF(OR($AP60="-", SUM( IF('CO-PO Mapping'!S$2,$AB$29,0), IF('CO-PO Mapping'!S$3,$AC$29,0), IF('CO-PO Mapping'!S$4,$AD$29,0), IF('CO-PO Mapping'!S$5,$AE$29,0), IF('CO-PO Mapping'!S$6,$AF$29,0), IF('CO-PO Mapping'!S$7,$AG$29,0) )=0), "-", IF( SUM( IF('CO-PO Mapping'!S$2,$AH60*$AB$29,0), IF('CO-PO Mapping'!S$3,$AI60*$AC$29,0), IF('CO-PO Mapping'!S$4,$AJ60*$AD$29,0), IF('CO-PO Mapping'!S$5,$AK60*$AE$29,0), IF('CO-PO Mapping'!S$6,$AL60*$AF$29,0), IF('CO-PO Mapping'!S$7,$AM60*$AG$29,0)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IF('CO-PO Mapping'!S$6, IF(OR($AR60="-",SUM(IF('CO-PO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IF('CO-PO Mapping'!S$7, IF(OR($AS60="-",SUM(IF('CO-PO Mapping'!S$2,$AB$29,0),IF('CO-PO Mapping'!S$3,$AC$29,0),IF('CO-PO Mapping'!S$4,$AD$29,0),IF('CO-PO Mapping'!S$5,$AE$29,0),IF('CO-PO Mapping'!S$6,$AF$29,0),IF('CO-PO Mapping'!S$7,$AG$29,0))=0), "-", IF(SUM(IF('CO-PO Mapping'!S$2,$AH60*$AB$29,0),IF('CO-PO Mapping'!S$3,$AI60*$AC$29,0),IF('CO-PO Mapping'!S$4,$AJ60*$AD$29,0),IF('CO-PO Mapping'!S$5,$AK60*$AE$29,0),IF('CO-PO Mapping'!S$6,$AL60*$AF$29,0),IF('CO-PO Mapping'!S$7,$AM60*$AG$29,0))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0" s="95" t="str">
        <f>IF('CO-PO Mapping'!T$2, IF(OR($AN60="-",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IF(OR($AP60="-", SUM( IF('CO-PO Mapping'!T$2,$AB$29,0), IF('CO-PO Mapping'!T$3,$AC$29,0), IF('CO-PO Mapping'!T$4,$AD$29,0), IF('CO-PO Mapping'!T$5,$AE$29,0), IF('CO-PO Mapping'!T$6,$AF$29,0), IF('CO-PO Mapping'!T$7,$AG$29,0) )=0), "-", IF( SUM( IF('CO-PO Mapping'!T$2,$AH60*$AB$29,0), IF('CO-PO Mapping'!T$3,$AI60*$AC$29,0), IF('CO-PO Mapping'!T$4,$AJ60*$AD$29,0), IF('CO-PO Mapping'!T$5,$AK60*$AE$29,0), IF('CO-PO Mapping'!T$6,$AL60*$AF$29,0), IF('CO-PO Mapping'!T$7,$AM60*$AG$29,0)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IF('CO-PO Mapping'!T$6, IF(OR($AR60="-",SUM(IF('CO-PO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IF('CO-PO Mapping'!T$7, IF(OR($AS60="-",SUM(IF('CO-PO Mapping'!T$2,$AB$29,0),IF('CO-PO Mapping'!T$3,$AC$29,0),IF('CO-PO Mapping'!T$4,$AD$29,0),IF('CO-PO Mapping'!T$5,$AE$29,0),IF('CO-PO Mapping'!T$6,$AF$29,0),IF('CO-PO Mapping'!T$7,$AG$29,0))=0), "-", IF(SUM(IF('CO-PO Mapping'!T$2,$AH60*$AB$29,0),IF('CO-PO Mapping'!T$3,$AI60*$AC$29,0),IF('CO-PO Mapping'!T$4,$AJ60*$AD$29,0),IF('CO-PO Mapping'!T$5,$AK60*$AE$29,0),IF('CO-PO Mapping'!T$6,$AL60*$AF$29,0),IF('CO-PO Mapping'!T$7,$AM60*$AG$29,0))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0" s="95" t="str">
        <f>IF('CO-PO Mapping'!U$2, IF(OR($AN60="-",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IF(OR($AP60="-", SUM( IF('CO-PO Mapping'!U$2,$AB$29,0), IF('CO-PO Mapping'!U$3,$AC$29,0), IF('CO-PO Mapping'!U$4,$AD$29,0), IF('CO-PO Mapping'!U$5,$AE$29,0), IF('CO-PO Mapping'!U$6,$AF$29,0), IF('CO-PO Mapping'!U$7,$AG$29,0) )=0), "-", IF( SUM( IF('CO-PO Mapping'!U$2,$AH60*$AB$29,0), IF('CO-PO Mapping'!U$3,$AI60*$AC$29,0), IF('CO-PO Mapping'!U$4,$AJ60*$AD$29,0), IF('CO-PO Mapping'!U$5,$AK60*$AE$29,0), IF('CO-PO Mapping'!U$6,$AL60*$AF$29,0), IF('CO-PO Mapping'!U$7,$AM60*$AG$29,0)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IF('CO-PO Mapping'!U$6, IF(OR($AR60="-",SUM(IF('CO-PO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IF('CO-PO Mapping'!U$7, IF(OR($AS60="-",SUM(IF('CO-PO Mapping'!U$2,$AB$29,0),IF('CO-PO Mapping'!U$3,$AC$29,0),IF('CO-PO Mapping'!U$4,$AD$29,0),IF('CO-PO Mapping'!U$5,$AE$29,0),IF('CO-PO Mapping'!U$6,$AF$29,0),IF('CO-PO Mapping'!U$7,$AG$29,0))=0), "-", IF(SUM(IF('CO-PO Mapping'!U$2,$AH60*$AB$29,0),IF('CO-PO Mapping'!U$3,$AI60*$AC$29,0),IF('CO-PO Mapping'!U$4,$AJ60*$AD$29,0),IF('CO-PO Mapping'!U$5,$AK60*$AE$29,0),IF('CO-PO Mapping'!U$6,$AL60*$AF$29,0),IF('CO-PO Mapping'!U$7,$AM60*$AG$29,0))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0" s="95" t="str">
        <f>IF('CO-PO Mapping'!V$2, IF(OR($AN60="-",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IF(OR($AP60="-", SUM( IF('CO-PO Mapping'!V$2,$AB$29,0), IF('CO-PO Mapping'!V$3,$AC$29,0), IF('CO-PO Mapping'!V$4,$AD$29,0), IF('CO-PO Mapping'!V$5,$AE$29,0), IF('CO-PO Mapping'!V$6,$AF$29,0), IF('CO-PO Mapping'!V$7,$AG$29,0) )=0), "-", IF( SUM( IF('CO-PO Mapping'!V$2,$AH60*$AB$29,0), IF('CO-PO Mapping'!V$3,$AI60*$AC$29,0), IF('CO-PO Mapping'!V$4,$AJ60*$AD$29,0), IF('CO-PO Mapping'!V$5,$AK60*$AE$29,0), IF('CO-PO Mapping'!V$6,$AL60*$AF$29,0), IF('CO-PO Mapping'!V$7,$AM60*$AG$29,0)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IF('CO-PO Mapping'!V$6, IF(OR($AR60="-",SUM(IF('CO-PO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IF('CO-PO Mapping'!V$7, IF(OR($AS60="-",SUM(IF('CO-PO Mapping'!V$2,$AB$29,0),IF('CO-PO Mapping'!V$3,$AC$29,0),IF('CO-PO Mapping'!V$4,$AD$29,0),IF('CO-PO Mapping'!V$5,$AE$29,0),IF('CO-PO Mapping'!V$6,$AF$29,0),IF('CO-PO Mapping'!V$7,$AG$29,0))=0), "-", IF(SUM(IF('CO-PO Mapping'!V$2,$AH60*$AB$29,0),IF('CO-PO Mapping'!V$3,$AI60*$AC$29,0),IF('CO-PO Mapping'!V$4,$AJ60*$AD$29,0),IF('CO-PO Mapping'!V$5,$AK60*$AE$29,0),IF('CO-PO Mapping'!V$6,$AL60*$AF$29,0),IF('CO-PO Mapping'!V$7,$AM60*$AG$29,0))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0" s="95" t="str">
        <f>IF('CO-PO Mapping'!W$2, IF(OR($AN60="-",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IF(OR($AP60="-", SUM( IF('CO-PO Mapping'!W$2,$AB$29,0), IF('CO-PO Mapping'!W$3,$AC$29,0), IF('CO-PO Mapping'!W$4,$AD$29,0), IF('CO-PO Mapping'!W$5,$AE$29,0), IF('CO-PO Mapping'!W$6,$AF$29,0), IF('CO-PO Mapping'!W$7,$AG$29,0) )=0), "-", IF( SUM( IF('CO-PO Mapping'!W$2,$AH60*$AB$29,0), IF('CO-PO Mapping'!W$3,$AI60*$AC$29,0), IF('CO-PO Mapping'!W$4,$AJ60*$AD$29,0), IF('CO-PO Mapping'!W$5,$AK60*$AE$29,0), IF('CO-PO Mapping'!W$6,$AL60*$AF$29,0), IF('CO-PO Mapping'!W$7,$AM60*$AG$29,0)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IF('CO-PO Mapping'!W$6, IF(OR($AR60="-",SUM(IF('CO-PO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IF('CO-PO Mapping'!W$7, IF(OR($AS60="-",SUM(IF('CO-PO Mapping'!W$2,$AB$29,0),IF('CO-PO Mapping'!W$3,$AC$29,0),IF('CO-PO Mapping'!W$4,$AD$29,0),IF('CO-PO Mapping'!W$5,$AE$29,0),IF('CO-PO Mapping'!W$6,$AF$29,0),IF('CO-PO Mapping'!W$7,$AG$29,0))=0), "-", IF(SUM(IF('CO-PO Mapping'!W$2,$AH60*$AB$29,0),IF('CO-PO Mapping'!W$3,$AI60*$AC$29,0),IF('CO-PO Mapping'!W$4,$AJ60*$AD$29,0),IF('CO-PO Mapping'!W$5,$AK60*$AE$29,0),IF('CO-PO Mapping'!W$6,$AL60*$AF$29,0),IF('CO-PO Mapping'!W$7,$AM60*$AG$29,0))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0" s="95" t="str">
        <f>IF('CO-PO Mapping'!X$2, IF(OR($AN60="-",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IF(OR($AP60="-", SUM( IF('CO-PO Mapping'!X$2,$AB$29,0), IF('CO-PO Mapping'!X$3,$AC$29,0), IF('CO-PO Mapping'!X$4,$AD$29,0), IF('CO-PO Mapping'!X$5,$AE$29,0), IF('CO-PO Mapping'!X$6,$AF$29,0), IF('CO-PO Mapping'!X$7,$AG$29,0) )=0), "-", IF( SUM( IF('CO-PO Mapping'!X$2,$AH60*$AB$29,0), IF('CO-PO Mapping'!X$3,$AI60*$AC$29,0), IF('CO-PO Mapping'!X$4,$AJ60*$AD$29,0), IF('CO-PO Mapping'!X$5,$AK60*$AE$29,0), IF('CO-PO Mapping'!X$6,$AL60*$AF$29,0), IF('CO-PO Mapping'!X$7,$AM60*$AG$29,0)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IF('CO-PO Mapping'!X$6, IF(OR($AR60="-",SUM(IF('CO-PO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IF('CO-PO Mapping'!X$7, IF(OR($AS60="-",SUM(IF('CO-PO Mapping'!X$2,$AB$29,0),IF('CO-PO Mapping'!X$3,$AC$29,0),IF('CO-PO Mapping'!X$4,$AD$29,0),IF('CO-PO Mapping'!X$5,$AE$29,0),IF('CO-PO Mapping'!X$6,$AF$29,0),IF('CO-PO Mapping'!X$7,$AG$29,0))=0), "-", IF(SUM(IF('CO-PO Mapping'!X$2,$AH60*$AB$29,0),IF('CO-PO Mapping'!X$3,$AI60*$AC$29,0),IF('CO-PO Mapping'!X$4,$AJ60*$AD$29,0),IF('CO-PO Mapping'!X$5,$AK60*$AE$29,0),IF('CO-PO Mapping'!X$6,$AL60*$AF$29,0),IF('CO-PO Mapping'!X$7,$AM60*$AG$29,0))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0" s="95" t="str">
        <f>IF('CO-PO Mapping'!Y$2, IF(OR($AN60="-",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IF(OR($AP60="-", SUM( IF('CO-PO Mapping'!Y$2,$AB$29,0), IF('CO-PO Mapping'!Y$3,$AC$29,0), IF('CO-PO Mapping'!Y$4,$AD$29,0), IF('CO-PO Mapping'!Y$5,$AE$29,0), IF('CO-PO Mapping'!Y$6,$AF$29,0), IF('CO-PO Mapping'!Y$7,$AG$29,0) )=0), "-", IF( SUM( IF('CO-PO Mapping'!Y$2,$AH60*$AB$29,0), IF('CO-PO Mapping'!Y$3,$AI60*$AC$29,0), IF('CO-PO Mapping'!Y$4,$AJ60*$AD$29,0), IF('CO-PO Mapping'!Y$5,$AK60*$AE$29,0), IF('CO-PO Mapping'!Y$6,$AL60*$AF$29,0), IF('CO-PO Mapping'!Y$7,$AM60*$AG$29,0)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IF('CO-PO Mapping'!Y$6, IF(OR($AR60="-",SUM(IF('CO-PO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IF('CO-PO Mapping'!Y$7, IF(OR($AS60="-",SUM(IF('CO-PO Mapping'!Y$2,$AB$29,0),IF('CO-PO Mapping'!Y$3,$AC$29,0),IF('CO-PO Mapping'!Y$4,$AD$29,0),IF('CO-PO Mapping'!Y$5,$AE$29,0),IF('CO-PO Mapping'!Y$6,$AF$29,0),IF('CO-PO Mapping'!Y$7,$AG$29,0))=0), "-", IF(SUM(IF('CO-PO Mapping'!Y$2,$AH60*$AB$29,0),IF('CO-PO Mapping'!Y$3,$AI60*$AC$29,0),IF('CO-PO Mapping'!Y$4,$AJ60*$AD$29,0),IF('CO-PO Mapping'!Y$5,$AK60*$AE$29,0),IF('CO-PO Mapping'!Y$6,$AL60*$AF$29,0),IF('CO-PO Mapping'!Y$7,$AM60*$AG$29,0))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0" s="95" t="str">
        <f>IF('CO-PO Mapping'!Z$2, IF(OR($AN60="-",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IF(OR($AP60="-", SUM( IF('CO-PO Mapping'!Z$2,$AB$29,0), IF('CO-PO Mapping'!Z$3,$AC$29,0), IF('CO-PO Mapping'!Z$4,$AD$29,0), IF('CO-PO Mapping'!Z$5,$AE$29,0), IF('CO-PO Mapping'!Z$6,$AF$29,0), IF('CO-PO Mapping'!Z$7,$AG$29,0) )=0), "-", IF( SUM( IF('CO-PO Mapping'!Z$2,$AH60*$AB$29,0), IF('CO-PO Mapping'!Z$3,$AI60*$AC$29,0), IF('CO-PO Mapping'!Z$4,$AJ60*$AD$29,0), IF('CO-PO Mapping'!Z$5,$AK60*$AE$29,0), IF('CO-PO Mapping'!Z$6,$AL60*$AF$29,0), IF('CO-PO Mapping'!Z$7,$AM60*$AG$29,0)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IF('CO-PO Mapping'!Z$6, IF(OR($AR60="-",SUM(IF('CO-PO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IF('CO-PO Mapping'!Z$7, IF(OR($AS60="-",SUM(IF('CO-PO Mapping'!Z$2,$AB$29,0),IF('CO-PO Mapping'!Z$3,$AC$29,0),IF('CO-PO Mapping'!Z$4,$AD$29,0),IF('CO-PO Mapping'!Z$5,$AE$29,0),IF('CO-PO Mapping'!Z$6,$AF$29,0),IF('CO-PO Mapping'!Z$7,$AG$29,0))=0), "-", IF(SUM(IF('CO-PO Mapping'!Z$2,$AH60*$AB$29,0),IF('CO-PO Mapping'!Z$3,$AI60*$AC$29,0),IF('CO-PO Mapping'!Z$4,$AJ60*$AD$29,0),IF('CO-PO Mapping'!Z$5,$AK60*$AE$29,0),IF('CO-PO Mapping'!Z$6,$AL60*$AF$29,0),IF('CO-PO Mapping'!Z$7,$AM60*$AG$29,0))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1" spans="1:57" ht="15" customHeight="1" thickBot="1">
      <c r="A61" s="110">
        <v>22235103269</v>
      </c>
      <c r="B61" s="111" t="s">
        <v>178</v>
      </c>
      <c r="C61" s="70">
        <v>4</v>
      </c>
      <c r="D61" s="71"/>
      <c r="E61" s="71">
        <v>20</v>
      </c>
      <c r="F61" s="71"/>
      <c r="G61" s="71"/>
      <c r="H61" s="103">
        <f t="shared" si="2"/>
        <v>24</v>
      </c>
      <c r="I61" s="75">
        <v>8</v>
      </c>
      <c r="J61" s="75">
        <v>8</v>
      </c>
      <c r="K61" s="75">
        <v>9</v>
      </c>
      <c r="L61" s="75"/>
      <c r="M61" s="75"/>
      <c r="N61" s="75"/>
      <c r="O61" s="105">
        <f t="shared" si="3"/>
        <v>25</v>
      </c>
      <c r="P61" s="75">
        <v>18</v>
      </c>
      <c r="Q61" s="75">
        <v>17</v>
      </c>
      <c r="R61" s="75"/>
      <c r="S61" s="75"/>
      <c r="T61" s="75"/>
      <c r="U61" s="75"/>
      <c r="V61" s="104">
        <f t="shared" si="4"/>
        <v>35</v>
      </c>
      <c r="W61" s="83">
        <f t="shared" si="5"/>
        <v>84</v>
      </c>
      <c r="X61" s="98" t="str">
        <f t="shared" si="10"/>
        <v>A (Plus)</v>
      </c>
      <c r="Y61" s="47"/>
      <c r="Z61" s="42">
        <f t="shared" si="6"/>
        <v>22235103269</v>
      </c>
      <c r="AA61" s="43" t="str">
        <f t="shared" si="7"/>
        <v>Md. Sadat Islam</v>
      </c>
      <c r="AB61" s="90">
        <f t="shared" si="11"/>
        <v>32</v>
      </c>
      <c r="AC61" s="90">
        <f t="shared" si="11"/>
        <v>26</v>
      </c>
      <c r="AD61" s="90">
        <f t="shared" si="11"/>
        <v>26</v>
      </c>
      <c r="AE61" s="90">
        <f t="shared" si="11"/>
        <v>0</v>
      </c>
      <c r="AF61" s="90">
        <f t="shared" si="11"/>
        <v>0</v>
      </c>
      <c r="AG61" s="90">
        <f t="shared" si="25"/>
        <v>0</v>
      </c>
      <c r="AH61" s="92">
        <f t="shared" si="12"/>
        <v>80</v>
      </c>
      <c r="AI61" s="92">
        <f t="shared" si="13"/>
        <v>86.666666666666671</v>
      </c>
      <c r="AJ61" s="92">
        <f t="shared" si="14"/>
        <v>86.666666666666671</v>
      </c>
      <c r="AK61" s="92">
        <f t="shared" si="22"/>
        <v>0</v>
      </c>
      <c r="AL61" s="92">
        <f t="shared" si="15"/>
        <v>0</v>
      </c>
      <c r="AM61" s="92">
        <f t="shared" si="16"/>
        <v>0</v>
      </c>
      <c r="AN61" s="93" t="str">
        <f t="shared" si="23"/>
        <v>Y</v>
      </c>
      <c r="AO61" s="93" t="str">
        <f t="shared" si="17"/>
        <v>Y</v>
      </c>
      <c r="AP61" s="93" t="str">
        <f t="shared" si="18"/>
        <v>Y</v>
      </c>
      <c r="AQ61" s="93" t="str">
        <f t="shared" si="19"/>
        <v>N</v>
      </c>
      <c r="AR61" s="93" t="str">
        <f t="shared" si="20"/>
        <v>N</v>
      </c>
      <c r="AS61" s="93" t="str">
        <f t="shared" si="21"/>
        <v>N</v>
      </c>
      <c r="AT61" s="95" t="str">
        <f>IF('CO-PO Mapping'!O$2, IF(OR($AN61="-",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IF(OR($AP61="-", SUM( IF('CO-PO Mapping'!O$2,$AB$29,0), IF('CO-PO Mapping'!O$3,$AC$29,0), IF('CO-PO Mapping'!O$4,$AD$29,0), IF('CO-PO Mapping'!O$5,$AE$29,0), IF('CO-PO Mapping'!O$6,$AF$29,0), IF('CO-PO Mapping'!O$7,$AG$29,0) )=0), "-", IF( SUM( IF('CO-PO Mapping'!O$2,$AH61*$AB$29,0), IF('CO-PO Mapping'!O$3,$AI61*$AC$29,0), IF('CO-PO Mapping'!O$4,$AJ61*$AD$29,0), IF('CO-PO Mapping'!O$5,$AK61*$AE$29,0), IF('CO-PO Mapping'!O$6,$AL61*$AF$29,0), IF('CO-PO Mapping'!O$7,$AM61*$AG$29,0)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IF('CO-PO Mapping'!O$6, IF(OR($AR61="-",SUM(IF('CO-PO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IF('CO-PO Mapping'!O$7, IF(OR($AS61="-",SUM(IF('CO-PO Mapping'!O$2,$AB$29,0),IF('CO-PO Mapping'!O$3,$AC$29,0),IF('CO-PO Mapping'!O$4,$AD$29,0),IF('CO-PO Mapping'!O$5,$AE$29,0),IF('CO-PO Mapping'!O$6,$AF$29,0),IF('CO-PO Mapping'!O$7,$AG$29,0))=0), "-", IF(SUM(IF('CO-PO Mapping'!O$2,$AH61*$AB$29,0),IF('CO-PO Mapping'!O$3,$AI61*$AC$29,0),IF('CO-PO Mapping'!O$4,$AJ61*$AD$29,0),IF('CO-PO Mapping'!O$5,$AK61*$AE$29,0),IF('CO-PO Mapping'!O$6,$AL61*$AF$29,0),IF('CO-PO Mapping'!O$7,$AM61*$AG$29,0))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1" s="95" t="str">
        <f>IF('CO-PO Mapping'!P$2, IF(OR($AN61="-",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IF(OR($AP61="-", SUM( IF('CO-PO Mapping'!P$2,$AB$29,0), IF('CO-PO Mapping'!P$3,$AC$29,0), IF('CO-PO Mapping'!P$4,$AD$29,0), IF('CO-PO Mapping'!P$5,$AE$29,0), IF('CO-PO Mapping'!P$6,$AF$29,0), IF('CO-PO Mapping'!P$7,$AG$29,0) )=0), "-", IF( SUM( IF('CO-PO Mapping'!P$2,$AH61*$AB$29,0), IF('CO-PO Mapping'!P$3,$AI61*$AC$29,0), IF('CO-PO Mapping'!P$4,$AJ61*$AD$29,0), IF('CO-PO Mapping'!P$5,$AK61*$AE$29,0), IF('CO-PO Mapping'!P$6,$AL61*$AF$29,0), IF('CO-PO Mapping'!P$7,$AM61*$AG$29,0)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IF('CO-PO Mapping'!P$6, IF(OR($AR61="-",SUM(IF('CO-PO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IF('CO-PO Mapping'!P$7, IF(OR($AS61="-",SUM(IF('CO-PO Mapping'!P$2,$AB$29,0),IF('CO-PO Mapping'!P$3,$AC$29,0),IF('CO-PO Mapping'!P$4,$AD$29,0),IF('CO-PO Mapping'!P$5,$AE$29,0),IF('CO-PO Mapping'!P$6,$AF$29,0),IF('CO-PO Mapping'!P$7,$AG$29,0))=0), "-", IF(SUM(IF('CO-PO Mapping'!P$2,$AH61*$AB$29,0),IF('CO-PO Mapping'!P$3,$AI61*$AC$29,0),IF('CO-PO Mapping'!P$4,$AJ61*$AD$29,0),IF('CO-PO Mapping'!P$5,$AK61*$AE$29,0),IF('CO-PO Mapping'!P$6,$AL61*$AF$29,0),IF('CO-PO Mapping'!P$7,$AM61*$AG$29,0))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1" s="95" t="str">
        <f>IF('CO-PO Mapping'!Q$2, IF(OR($AN61="-",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IF(OR($AP61="-", SUM( IF('CO-PO Mapping'!Q$2,$AB$29,0), IF('CO-PO Mapping'!Q$3,$AC$29,0), IF('CO-PO Mapping'!Q$4,$AD$29,0), IF('CO-PO Mapping'!Q$5,$AE$29,0), IF('CO-PO Mapping'!Q$6,$AF$29,0), IF('CO-PO Mapping'!Q$7,$AG$29,0) )=0), "-", IF( SUM( IF('CO-PO Mapping'!Q$2,$AH61*$AB$29,0), IF('CO-PO Mapping'!Q$3,$AI61*$AC$29,0), IF('CO-PO Mapping'!Q$4,$AJ61*$AD$29,0), IF('CO-PO Mapping'!Q$5,$AK61*$AE$29,0), IF('CO-PO Mapping'!Q$6,$AL61*$AF$29,0), IF('CO-PO Mapping'!Q$7,$AM61*$AG$29,0)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IF('CO-PO Mapping'!Q$6, IF(OR($AR61="-",SUM(IF('CO-PO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IF('CO-PO Mapping'!Q$7, IF(OR($AS61="-",SUM(IF('CO-PO Mapping'!Q$2,$AB$29,0),IF('CO-PO Mapping'!Q$3,$AC$29,0),IF('CO-PO Mapping'!Q$4,$AD$29,0),IF('CO-PO Mapping'!Q$5,$AE$29,0),IF('CO-PO Mapping'!Q$6,$AF$29,0),IF('CO-PO Mapping'!Q$7,$AG$29,0))=0), "-", IF(SUM(IF('CO-PO Mapping'!Q$2,$AH61*$AB$29,0),IF('CO-PO Mapping'!Q$3,$AI61*$AC$29,0),IF('CO-PO Mapping'!Q$4,$AJ61*$AD$29,0),IF('CO-PO Mapping'!Q$5,$AK61*$AE$29,0),IF('CO-PO Mapping'!Q$6,$AL61*$AF$29,0),IF('CO-PO Mapping'!Q$7,$AM61*$AG$29,0))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1" s="95" t="str">
        <f>IF('CO-PO Mapping'!R$2, IF(OR($AN61="-",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IF(OR($AP61="-", SUM( IF('CO-PO Mapping'!R$2,$AB$29,0), IF('CO-PO Mapping'!R$3,$AC$29,0), IF('CO-PO Mapping'!R$4,$AD$29,0), IF('CO-PO Mapping'!R$5,$AE$29,0), IF('CO-PO Mapping'!R$6,$AF$29,0), IF('CO-PO Mapping'!R$7,$AG$29,0) )=0), "-", IF( SUM( IF('CO-PO Mapping'!R$2,$AH61*$AB$29,0), IF('CO-PO Mapping'!R$3,$AI61*$AC$29,0), IF('CO-PO Mapping'!R$4,$AJ61*$AD$29,0), IF('CO-PO Mapping'!R$5,$AK61*$AE$29,0), IF('CO-PO Mapping'!R$6,$AL61*$AF$29,0), IF('CO-PO Mapping'!R$7,$AM61*$AG$29,0)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IF('CO-PO Mapping'!R$6, IF(OR($AR61="-",SUM(IF('CO-PO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IF('CO-PO Mapping'!R$7, IF(OR($AS61="-",SUM(IF('CO-PO Mapping'!R$2,$AB$29,0),IF('CO-PO Mapping'!R$3,$AC$29,0),IF('CO-PO Mapping'!R$4,$AD$29,0),IF('CO-PO Mapping'!R$5,$AE$29,0),IF('CO-PO Mapping'!R$6,$AF$29,0),IF('CO-PO Mapping'!R$7,$AG$29,0))=0), "-", IF(SUM(IF('CO-PO Mapping'!R$2,$AH61*$AB$29,0),IF('CO-PO Mapping'!R$3,$AI61*$AC$29,0),IF('CO-PO Mapping'!R$4,$AJ61*$AD$29,0),IF('CO-PO Mapping'!R$5,$AK61*$AE$29,0),IF('CO-PO Mapping'!R$6,$AL61*$AF$29,0),IF('CO-PO Mapping'!R$7,$AM61*$AG$29,0))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1" s="95" t="str">
        <f>IF('CO-PO Mapping'!S$2, IF(OR($AN61="-",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IF(OR($AP61="-", SUM( IF('CO-PO Mapping'!S$2,$AB$29,0), IF('CO-PO Mapping'!S$3,$AC$29,0), IF('CO-PO Mapping'!S$4,$AD$29,0), IF('CO-PO Mapping'!S$5,$AE$29,0), IF('CO-PO Mapping'!S$6,$AF$29,0), IF('CO-PO Mapping'!S$7,$AG$29,0) )=0), "-", IF( SUM( IF('CO-PO Mapping'!S$2,$AH61*$AB$29,0), IF('CO-PO Mapping'!S$3,$AI61*$AC$29,0), IF('CO-PO Mapping'!S$4,$AJ61*$AD$29,0), IF('CO-PO Mapping'!S$5,$AK61*$AE$29,0), IF('CO-PO Mapping'!S$6,$AL61*$AF$29,0), IF('CO-PO Mapping'!S$7,$AM61*$AG$29,0)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IF('CO-PO Mapping'!S$6, IF(OR($AR61="-",SUM(IF('CO-PO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IF('CO-PO Mapping'!S$7, IF(OR($AS61="-",SUM(IF('CO-PO Mapping'!S$2,$AB$29,0),IF('CO-PO Mapping'!S$3,$AC$29,0),IF('CO-PO Mapping'!S$4,$AD$29,0),IF('CO-PO Mapping'!S$5,$AE$29,0),IF('CO-PO Mapping'!S$6,$AF$29,0),IF('CO-PO Mapping'!S$7,$AG$29,0))=0), "-", IF(SUM(IF('CO-PO Mapping'!S$2,$AH61*$AB$29,0),IF('CO-PO Mapping'!S$3,$AI61*$AC$29,0),IF('CO-PO Mapping'!S$4,$AJ61*$AD$29,0),IF('CO-PO Mapping'!S$5,$AK61*$AE$29,0),IF('CO-PO Mapping'!S$6,$AL61*$AF$29,0),IF('CO-PO Mapping'!S$7,$AM61*$AG$29,0))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1" s="95" t="str">
        <f>IF('CO-PO Mapping'!T$2, IF(OR($AN61="-",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IF(OR($AP61="-", SUM( IF('CO-PO Mapping'!T$2,$AB$29,0), IF('CO-PO Mapping'!T$3,$AC$29,0), IF('CO-PO Mapping'!T$4,$AD$29,0), IF('CO-PO Mapping'!T$5,$AE$29,0), IF('CO-PO Mapping'!T$6,$AF$29,0), IF('CO-PO Mapping'!T$7,$AG$29,0) )=0), "-", IF( SUM( IF('CO-PO Mapping'!T$2,$AH61*$AB$29,0), IF('CO-PO Mapping'!T$3,$AI61*$AC$29,0), IF('CO-PO Mapping'!T$4,$AJ61*$AD$29,0), IF('CO-PO Mapping'!T$5,$AK61*$AE$29,0), IF('CO-PO Mapping'!T$6,$AL61*$AF$29,0), IF('CO-PO Mapping'!T$7,$AM61*$AG$29,0)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IF('CO-PO Mapping'!T$6, IF(OR($AR61="-",SUM(IF('CO-PO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IF('CO-PO Mapping'!T$7, IF(OR($AS61="-",SUM(IF('CO-PO Mapping'!T$2,$AB$29,0),IF('CO-PO Mapping'!T$3,$AC$29,0),IF('CO-PO Mapping'!T$4,$AD$29,0),IF('CO-PO Mapping'!T$5,$AE$29,0),IF('CO-PO Mapping'!T$6,$AF$29,0),IF('CO-PO Mapping'!T$7,$AG$29,0))=0), "-", IF(SUM(IF('CO-PO Mapping'!T$2,$AH61*$AB$29,0),IF('CO-PO Mapping'!T$3,$AI61*$AC$29,0),IF('CO-PO Mapping'!T$4,$AJ61*$AD$29,0),IF('CO-PO Mapping'!T$5,$AK61*$AE$29,0),IF('CO-PO Mapping'!T$6,$AL61*$AF$29,0),IF('CO-PO Mapping'!T$7,$AM61*$AG$29,0))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1" s="95" t="str">
        <f>IF('CO-PO Mapping'!U$2, IF(OR($AN61="-",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IF(OR($AP61="-", SUM( IF('CO-PO Mapping'!U$2,$AB$29,0), IF('CO-PO Mapping'!U$3,$AC$29,0), IF('CO-PO Mapping'!U$4,$AD$29,0), IF('CO-PO Mapping'!U$5,$AE$29,0), IF('CO-PO Mapping'!U$6,$AF$29,0), IF('CO-PO Mapping'!U$7,$AG$29,0) )=0), "-", IF( SUM( IF('CO-PO Mapping'!U$2,$AH61*$AB$29,0), IF('CO-PO Mapping'!U$3,$AI61*$AC$29,0), IF('CO-PO Mapping'!U$4,$AJ61*$AD$29,0), IF('CO-PO Mapping'!U$5,$AK61*$AE$29,0), IF('CO-PO Mapping'!U$6,$AL61*$AF$29,0), IF('CO-PO Mapping'!U$7,$AM61*$AG$29,0)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IF('CO-PO Mapping'!U$6, IF(OR($AR61="-",SUM(IF('CO-PO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IF('CO-PO Mapping'!U$7, IF(OR($AS61="-",SUM(IF('CO-PO Mapping'!U$2,$AB$29,0),IF('CO-PO Mapping'!U$3,$AC$29,0),IF('CO-PO Mapping'!U$4,$AD$29,0),IF('CO-PO Mapping'!U$5,$AE$29,0),IF('CO-PO Mapping'!U$6,$AF$29,0),IF('CO-PO Mapping'!U$7,$AG$29,0))=0), "-", IF(SUM(IF('CO-PO Mapping'!U$2,$AH61*$AB$29,0),IF('CO-PO Mapping'!U$3,$AI61*$AC$29,0),IF('CO-PO Mapping'!U$4,$AJ61*$AD$29,0),IF('CO-PO Mapping'!U$5,$AK61*$AE$29,0),IF('CO-PO Mapping'!U$6,$AL61*$AF$29,0),IF('CO-PO Mapping'!U$7,$AM61*$AG$29,0))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1" s="95" t="str">
        <f>IF('CO-PO Mapping'!V$2, IF(OR($AN61="-",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IF(OR($AP61="-", SUM( IF('CO-PO Mapping'!V$2,$AB$29,0), IF('CO-PO Mapping'!V$3,$AC$29,0), IF('CO-PO Mapping'!V$4,$AD$29,0), IF('CO-PO Mapping'!V$5,$AE$29,0), IF('CO-PO Mapping'!V$6,$AF$29,0), IF('CO-PO Mapping'!V$7,$AG$29,0) )=0), "-", IF( SUM( IF('CO-PO Mapping'!V$2,$AH61*$AB$29,0), IF('CO-PO Mapping'!V$3,$AI61*$AC$29,0), IF('CO-PO Mapping'!V$4,$AJ61*$AD$29,0), IF('CO-PO Mapping'!V$5,$AK61*$AE$29,0), IF('CO-PO Mapping'!V$6,$AL61*$AF$29,0), IF('CO-PO Mapping'!V$7,$AM61*$AG$29,0)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IF('CO-PO Mapping'!V$6, IF(OR($AR61="-",SUM(IF('CO-PO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IF('CO-PO Mapping'!V$7, IF(OR($AS61="-",SUM(IF('CO-PO Mapping'!V$2,$AB$29,0),IF('CO-PO Mapping'!V$3,$AC$29,0),IF('CO-PO Mapping'!V$4,$AD$29,0),IF('CO-PO Mapping'!V$5,$AE$29,0),IF('CO-PO Mapping'!V$6,$AF$29,0),IF('CO-PO Mapping'!V$7,$AG$29,0))=0), "-", IF(SUM(IF('CO-PO Mapping'!V$2,$AH61*$AB$29,0),IF('CO-PO Mapping'!V$3,$AI61*$AC$29,0),IF('CO-PO Mapping'!V$4,$AJ61*$AD$29,0),IF('CO-PO Mapping'!V$5,$AK61*$AE$29,0),IF('CO-PO Mapping'!V$6,$AL61*$AF$29,0),IF('CO-PO Mapping'!V$7,$AM61*$AG$29,0))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1" s="95" t="str">
        <f>IF('CO-PO Mapping'!W$2, IF(OR($AN61="-",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IF(OR($AP61="-", SUM( IF('CO-PO Mapping'!W$2,$AB$29,0), IF('CO-PO Mapping'!W$3,$AC$29,0), IF('CO-PO Mapping'!W$4,$AD$29,0), IF('CO-PO Mapping'!W$5,$AE$29,0), IF('CO-PO Mapping'!W$6,$AF$29,0), IF('CO-PO Mapping'!W$7,$AG$29,0) )=0), "-", IF( SUM( IF('CO-PO Mapping'!W$2,$AH61*$AB$29,0), IF('CO-PO Mapping'!W$3,$AI61*$AC$29,0), IF('CO-PO Mapping'!W$4,$AJ61*$AD$29,0), IF('CO-PO Mapping'!W$5,$AK61*$AE$29,0), IF('CO-PO Mapping'!W$6,$AL61*$AF$29,0), IF('CO-PO Mapping'!W$7,$AM61*$AG$29,0)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IF('CO-PO Mapping'!W$6, IF(OR($AR61="-",SUM(IF('CO-PO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IF('CO-PO Mapping'!W$7, IF(OR($AS61="-",SUM(IF('CO-PO Mapping'!W$2,$AB$29,0),IF('CO-PO Mapping'!W$3,$AC$29,0),IF('CO-PO Mapping'!W$4,$AD$29,0),IF('CO-PO Mapping'!W$5,$AE$29,0),IF('CO-PO Mapping'!W$6,$AF$29,0),IF('CO-PO Mapping'!W$7,$AG$29,0))=0), "-", IF(SUM(IF('CO-PO Mapping'!W$2,$AH61*$AB$29,0),IF('CO-PO Mapping'!W$3,$AI61*$AC$29,0),IF('CO-PO Mapping'!W$4,$AJ61*$AD$29,0),IF('CO-PO Mapping'!W$5,$AK61*$AE$29,0),IF('CO-PO Mapping'!W$6,$AL61*$AF$29,0),IF('CO-PO Mapping'!W$7,$AM61*$AG$29,0))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1" s="95" t="str">
        <f>IF('CO-PO Mapping'!X$2, IF(OR($AN61="-",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IF(OR($AP61="-", SUM( IF('CO-PO Mapping'!X$2,$AB$29,0), IF('CO-PO Mapping'!X$3,$AC$29,0), IF('CO-PO Mapping'!X$4,$AD$29,0), IF('CO-PO Mapping'!X$5,$AE$29,0), IF('CO-PO Mapping'!X$6,$AF$29,0), IF('CO-PO Mapping'!X$7,$AG$29,0) )=0), "-", IF( SUM( IF('CO-PO Mapping'!X$2,$AH61*$AB$29,0), IF('CO-PO Mapping'!X$3,$AI61*$AC$29,0), IF('CO-PO Mapping'!X$4,$AJ61*$AD$29,0), IF('CO-PO Mapping'!X$5,$AK61*$AE$29,0), IF('CO-PO Mapping'!X$6,$AL61*$AF$29,0), IF('CO-PO Mapping'!X$7,$AM61*$AG$29,0)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IF('CO-PO Mapping'!X$6, IF(OR($AR61="-",SUM(IF('CO-PO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IF('CO-PO Mapping'!X$7, IF(OR($AS61="-",SUM(IF('CO-PO Mapping'!X$2,$AB$29,0),IF('CO-PO Mapping'!X$3,$AC$29,0),IF('CO-PO Mapping'!X$4,$AD$29,0),IF('CO-PO Mapping'!X$5,$AE$29,0),IF('CO-PO Mapping'!X$6,$AF$29,0),IF('CO-PO Mapping'!X$7,$AG$29,0))=0), "-", IF(SUM(IF('CO-PO Mapping'!X$2,$AH61*$AB$29,0),IF('CO-PO Mapping'!X$3,$AI61*$AC$29,0),IF('CO-PO Mapping'!X$4,$AJ61*$AD$29,0),IF('CO-PO Mapping'!X$5,$AK61*$AE$29,0),IF('CO-PO Mapping'!X$6,$AL61*$AF$29,0),IF('CO-PO Mapping'!X$7,$AM61*$AG$29,0))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1" s="95" t="str">
        <f>IF('CO-PO Mapping'!Y$2, IF(OR($AN61="-",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IF(OR($AP61="-", SUM( IF('CO-PO Mapping'!Y$2,$AB$29,0), IF('CO-PO Mapping'!Y$3,$AC$29,0), IF('CO-PO Mapping'!Y$4,$AD$29,0), IF('CO-PO Mapping'!Y$5,$AE$29,0), IF('CO-PO Mapping'!Y$6,$AF$29,0), IF('CO-PO Mapping'!Y$7,$AG$29,0) )=0), "-", IF( SUM( IF('CO-PO Mapping'!Y$2,$AH61*$AB$29,0), IF('CO-PO Mapping'!Y$3,$AI61*$AC$29,0), IF('CO-PO Mapping'!Y$4,$AJ61*$AD$29,0), IF('CO-PO Mapping'!Y$5,$AK61*$AE$29,0), IF('CO-PO Mapping'!Y$6,$AL61*$AF$29,0), IF('CO-PO Mapping'!Y$7,$AM61*$AG$29,0)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IF('CO-PO Mapping'!Y$6, IF(OR($AR61="-",SUM(IF('CO-PO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IF('CO-PO Mapping'!Y$7, IF(OR($AS61="-",SUM(IF('CO-PO Mapping'!Y$2,$AB$29,0),IF('CO-PO Mapping'!Y$3,$AC$29,0),IF('CO-PO Mapping'!Y$4,$AD$29,0),IF('CO-PO Mapping'!Y$5,$AE$29,0),IF('CO-PO Mapping'!Y$6,$AF$29,0),IF('CO-PO Mapping'!Y$7,$AG$29,0))=0), "-", IF(SUM(IF('CO-PO Mapping'!Y$2,$AH61*$AB$29,0),IF('CO-PO Mapping'!Y$3,$AI61*$AC$29,0),IF('CO-PO Mapping'!Y$4,$AJ61*$AD$29,0),IF('CO-PO Mapping'!Y$5,$AK61*$AE$29,0),IF('CO-PO Mapping'!Y$6,$AL61*$AF$29,0),IF('CO-PO Mapping'!Y$7,$AM61*$AG$29,0))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1" s="95" t="str">
        <f>IF('CO-PO Mapping'!Z$2, IF(OR($AN61="-",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IF(OR($AP61="-", SUM( IF('CO-PO Mapping'!Z$2,$AB$29,0), IF('CO-PO Mapping'!Z$3,$AC$29,0), IF('CO-PO Mapping'!Z$4,$AD$29,0), IF('CO-PO Mapping'!Z$5,$AE$29,0), IF('CO-PO Mapping'!Z$6,$AF$29,0), IF('CO-PO Mapping'!Z$7,$AG$29,0) )=0), "-", IF( SUM( IF('CO-PO Mapping'!Z$2,$AH61*$AB$29,0), IF('CO-PO Mapping'!Z$3,$AI61*$AC$29,0), IF('CO-PO Mapping'!Z$4,$AJ61*$AD$29,0), IF('CO-PO Mapping'!Z$5,$AK61*$AE$29,0), IF('CO-PO Mapping'!Z$6,$AL61*$AF$29,0), IF('CO-PO Mapping'!Z$7,$AM61*$AG$29,0)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IF('CO-PO Mapping'!Z$6, IF(OR($AR61="-",SUM(IF('CO-PO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IF('CO-PO Mapping'!Z$7, IF(OR($AS61="-",SUM(IF('CO-PO Mapping'!Z$2,$AB$29,0),IF('CO-PO Mapping'!Z$3,$AC$29,0),IF('CO-PO Mapping'!Z$4,$AD$29,0),IF('CO-PO Mapping'!Z$5,$AE$29,0),IF('CO-PO Mapping'!Z$6,$AF$29,0),IF('CO-PO Mapping'!Z$7,$AG$29,0))=0), "-", IF(SUM(IF('CO-PO Mapping'!Z$2,$AH61*$AB$29,0),IF('CO-PO Mapping'!Z$3,$AI61*$AC$29,0),IF('CO-PO Mapping'!Z$4,$AJ61*$AD$29,0),IF('CO-PO Mapping'!Z$5,$AK61*$AE$29,0),IF('CO-PO Mapping'!Z$6,$AL61*$AF$29,0),IF('CO-PO Mapping'!Z$7,$AM61*$AG$29,0))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2" spans="1:57" ht="15" customHeight="1" thickBot="1">
      <c r="A62" s="110">
        <v>22235103279</v>
      </c>
      <c r="B62" s="111" t="s">
        <v>179</v>
      </c>
      <c r="C62" s="70">
        <v>4</v>
      </c>
      <c r="D62" s="69"/>
      <c r="E62" s="69">
        <v>20</v>
      </c>
      <c r="F62" s="69"/>
      <c r="G62" s="69"/>
      <c r="H62" s="103">
        <f t="shared" si="2"/>
        <v>24</v>
      </c>
      <c r="I62" s="75">
        <v>8</v>
      </c>
      <c r="J62" s="75">
        <v>8</v>
      </c>
      <c r="K62" s="75">
        <v>9</v>
      </c>
      <c r="L62" s="75"/>
      <c r="M62" s="75"/>
      <c r="N62" s="75"/>
      <c r="O62" s="105">
        <f t="shared" si="3"/>
        <v>25</v>
      </c>
      <c r="P62" s="75">
        <v>18</v>
      </c>
      <c r="Q62" s="75">
        <v>17</v>
      </c>
      <c r="R62" s="75"/>
      <c r="S62" s="75"/>
      <c r="T62" s="75"/>
      <c r="U62" s="75"/>
      <c r="V62" s="104">
        <f t="shared" si="4"/>
        <v>35</v>
      </c>
      <c r="W62" s="83">
        <f t="shared" si="5"/>
        <v>84</v>
      </c>
      <c r="X62" s="98" t="str">
        <f t="shared" si="10"/>
        <v>A (Plus)</v>
      </c>
      <c r="Y62" s="47"/>
      <c r="Z62" s="42">
        <f t="shared" ref="Z62:Z93" si="26">IF(A62="","",A62)</f>
        <v>22235103279</v>
      </c>
      <c r="AA62" s="43" t="str">
        <f t="shared" ref="AA62:AA93" si="27">IF(B62="","",B62)</f>
        <v>Urmi Akter</v>
      </c>
      <c r="AB62" s="90">
        <f t="shared" si="11"/>
        <v>32</v>
      </c>
      <c r="AC62" s="90">
        <f t="shared" si="11"/>
        <v>26</v>
      </c>
      <c r="AD62" s="90">
        <f t="shared" si="11"/>
        <v>26</v>
      </c>
      <c r="AE62" s="90">
        <f t="shared" si="11"/>
        <v>0</v>
      </c>
      <c r="AF62" s="90">
        <f t="shared" si="11"/>
        <v>0</v>
      </c>
      <c r="AG62" s="90">
        <f t="shared" si="25"/>
        <v>0</v>
      </c>
      <c r="AH62" s="92">
        <f t="shared" si="12"/>
        <v>80</v>
      </c>
      <c r="AI62" s="92">
        <f t="shared" si="13"/>
        <v>86.666666666666671</v>
      </c>
      <c r="AJ62" s="92">
        <f t="shared" si="14"/>
        <v>86.666666666666671</v>
      </c>
      <c r="AK62" s="92">
        <f t="shared" si="22"/>
        <v>0</v>
      </c>
      <c r="AL62" s="92">
        <f t="shared" si="15"/>
        <v>0</v>
      </c>
      <c r="AM62" s="92">
        <f t="shared" si="16"/>
        <v>0</v>
      </c>
      <c r="AN62" s="93" t="str">
        <f t="shared" si="23"/>
        <v>Y</v>
      </c>
      <c r="AO62" s="93" t="str">
        <f t="shared" si="17"/>
        <v>Y</v>
      </c>
      <c r="AP62" s="93" t="str">
        <f t="shared" si="18"/>
        <v>Y</v>
      </c>
      <c r="AQ62" s="93" t="str">
        <f t="shared" si="19"/>
        <v>N</v>
      </c>
      <c r="AR62" s="93" t="str">
        <f t="shared" si="20"/>
        <v>N</v>
      </c>
      <c r="AS62" s="93" t="str">
        <f t="shared" si="21"/>
        <v>N</v>
      </c>
      <c r="AT62" s="95" t="str">
        <f>IF('CO-PO Mapping'!O$2, IF(OR($AN62="-",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IF(OR($AP62="-", SUM( IF('CO-PO Mapping'!O$2,$AB$29,0), IF('CO-PO Mapping'!O$3,$AC$29,0), IF('CO-PO Mapping'!O$4,$AD$29,0), IF('CO-PO Mapping'!O$5,$AE$29,0), IF('CO-PO Mapping'!O$6,$AF$29,0), IF('CO-PO Mapping'!O$7,$AG$29,0) )=0), "-", IF( SUM( IF('CO-PO Mapping'!O$2,$AH62*$AB$29,0), IF('CO-PO Mapping'!O$3,$AI62*$AC$29,0), IF('CO-PO Mapping'!O$4,$AJ62*$AD$29,0), IF('CO-PO Mapping'!O$5,$AK62*$AE$29,0), IF('CO-PO Mapping'!O$6,$AL62*$AF$29,0), IF('CO-PO Mapping'!O$7,$AM62*$AG$29,0)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IF('CO-PO Mapping'!O$6, IF(OR($AR62="-",SUM(IF('CO-PO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IF('CO-PO Mapping'!O$7, IF(OR($AS62="-",SUM(IF('CO-PO Mapping'!O$2,$AB$29,0),IF('CO-PO Mapping'!O$3,$AC$29,0),IF('CO-PO Mapping'!O$4,$AD$29,0),IF('CO-PO Mapping'!O$5,$AE$29,0),IF('CO-PO Mapping'!O$6,$AF$29,0),IF('CO-PO Mapping'!O$7,$AG$29,0))=0), "-", IF(SUM(IF('CO-PO Mapping'!O$2,$AH62*$AB$29,0),IF('CO-PO Mapping'!O$3,$AI62*$AC$29,0),IF('CO-PO Mapping'!O$4,$AJ62*$AD$29,0),IF('CO-PO Mapping'!O$5,$AK62*$AE$29,0),IF('CO-PO Mapping'!O$6,$AL62*$AF$29,0),IF('CO-PO Mapping'!O$7,$AM62*$AG$29,0))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2" s="95" t="str">
        <f>IF('CO-PO Mapping'!P$2, IF(OR($AN62="-",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IF(OR($AP62="-", SUM( IF('CO-PO Mapping'!P$2,$AB$29,0), IF('CO-PO Mapping'!P$3,$AC$29,0), IF('CO-PO Mapping'!P$4,$AD$29,0), IF('CO-PO Mapping'!P$5,$AE$29,0), IF('CO-PO Mapping'!P$6,$AF$29,0), IF('CO-PO Mapping'!P$7,$AG$29,0) )=0), "-", IF( SUM( IF('CO-PO Mapping'!P$2,$AH62*$AB$29,0), IF('CO-PO Mapping'!P$3,$AI62*$AC$29,0), IF('CO-PO Mapping'!P$4,$AJ62*$AD$29,0), IF('CO-PO Mapping'!P$5,$AK62*$AE$29,0), IF('CO-PO Mapping'!P$6,$AL62*$AF$29,0), IF('CO-PO Mapping'!P$7,$AM62*$AG$29,0)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IF('CO-PO Mapping'!P$6, IF(OR($AR62="-",SUM(IF('CO-PO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IF('CO-PO Mapping'!P$7, IF(OR($AS62="-",SUM(IF('CO-PO Mapping'!P$2,$AB$29,0),IF('CO-PO Mapping'!P$3,$AC$29,0),IF('CO-PO Mapping'!P$4,$AD$29,0),IF('CO-PO Mapping'!P$5,$AE$29,0),IF('CO-PO Mapping'!P$6,$AF$29,0),IF('CO-PO Mapping'!P$7,$AG$29,0))=0), "-", IF(SUM(IF('CO-PO Mapping'!P$2,$AH62*$AB$29,0),IF('CO-PO Mapping'!P$3,$AI62*$AC$29,0),IF('CO-PO Mapping'!P$4,$AJ62*$AD$29,0),IF('CO-PO Mapping'!P$5,$AK62*$AE$29,0),IF('CO-PO Mapping'!P$6,$AL62*$AF$29,0),IF('CO-PO Mapping'!P$7,$AM62*$AG$29,0))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2" s="95" t="str">
        <f>IF('CO-PO Mapping'!Q$2, IF(OR($AN62="-",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IF(OR($AP62="-", SUM( IF('CO-PO Mapping'!Q$2,$AB$29,0), IF('CO-PO Mapping'!Q$3,$AC$29,0), IF('CO-PO Mapping'!Q$4,$AD$29,0), IF('CO-PO Mapping'!Q$5,$AE$29,0), IF('CO-PO Mapping'!Q$6,$AF$29,0), IF('CO-PO Mapping'!Q$7,$AG$29,0) )=0), "-", IF( SUM( IF('CO-PO Mapping'!Q$2,$AH62*$AB$29,0), IF('CO-PO Mapping'!Q$3,$AI62*$AC$29,0), IF('CO-PO Mapping'!Q$4,$AJ62*$AD$29,0), IF('CO-PO Mapping'!Q$5,$AK62*$AE$29,0), IF('CO-PO Mapping'!Q$6,$AL62*$AF$29,0), IF('CO-PO Mapping'!Q$7,$AM62*$AG$29,0)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IF('CO-PO Mapping'!Q$6, IF(OR($AR62="-",SUM(IF('CO-PO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IF('CO-PO Mapping'!Q$7, IF(OR($AS62="-",SUM(IF('CO-PO Mapping'!Q$2,$AB$29,0),IF('CO-PO Mapping'!Q$3,$AC$29,0),IF('CO-PO Mapping'!Q$4,$AD$29,0),IF('CO-PO Mapping'!Q$5,$AE$29,0),IF('CO-PO Mapping'!Q$6,$AF$29,0),IF('CO-PO Mapping'!Q$7,$AG$29,0))=0), "-", IF(SUM(IF('CO-PO Mapping'!Q$2,$AH62*$AB$29,0),IF('CO-PO Mapping'!Q$3,$AI62*$AC$29,0),IF('CO-PO Mapping'!Q$4,$AJ62*$AD$29,0),IF('CO-PO Mapping'!Q$5,$AK62*$AE$29,0),IF('CO-PO Mapping'!Q$6,$AL62*$AF$29,0),IF('CO-PO Mapping'!Q$7,$AM62*$AG$29,0))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2" s="95" t="str">
        <f>IF('CO-PO Mapping'!R$2, IF(OR($AN62="-",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IF(OR($AP62="-", SUM( IF('CO-PO Mapping'!R$2,$AB$29,0), IF('CO-PO Mapping'!R$3,$AC$29,0), IF('CO-PO Mapping'!R$4,$AD$29,0), IF('CO-PO Mapping'!R$5,$AE$29,0), IF('CO-PO Mapping'!R$6,$AF$29,0), IF('CO-PO Mapping'!R$7,$AG$29,0) )=0), "-", IF( SUM( IF('CO-PO Mapping'!R$2,$AH62*$AB$29,0), IF('CO-PO Mapping'!R$3,$AI62*$AC$29,0), IF('CO-PO Mapping'!R$4,$AJ62*$AD$29,0), IF('CO-PO Mapping'!R$5,$AK62*$AE$29,0), IF('CO-PO Mapping'!R$6,$AL62*$AF$29,0), IF('CO-PO Mapping'!R$7,$AM62*$AG$29,0)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IF('CO-PO Mapping'!R$6, IF(OR($AR62="-",SUM(IF('CO-PO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IF('CO-PO Mapping'!R$7, IF(OR($AS62="-",SUM(IF('CO-PO Mapping'!R$2,$AB$29,0),IF('CO-PO Mapping'!R$3,$AC$29,0),IF('CO-PO Mapping'!R$4,$AD$29,0),IF('CO-PO Mapping'!R$5,$AE$29,0),IF('CO-PO Mapping'!R$6,$AF$29,0),IF('CO-PO Mapping'!R$7,$AG$29,0))=0), "-", IF(SUM(IF('CO-PO Mapping'!R$2,$AH62*$AB$29,0),IF('CO-PO Mapping'!R$3,$AI62*$AC$29,0),IF('CO-PO Mapping'!R$4,$AJ62*$AD$29,0),IF('CO-PO Mapping'!R$5,$AK62*$AE$29,0),IF('CO-PO Mapping'!R$6,$AL62*$AF$29,0),IF('CO-PO Mapping'!R$7,$AM62*$AG$29,0))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2" s="95" t="str">
        <f>IF('CO-PO Mapping'!S$2, IF(OR($AN62="-",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IF(OR($AP62="-", SUM( IF('CO-PO Mapping'!S$2,$AB$29,0), IF('CO-PO Mapping'!S$3,$AC$29,0), IF('CO-PO Mapping'!S$4,$AD$29,0), IF('CO-PO Mapping'!S$5,$AE$29,0), IF('CO-PO Mapping'!S$6,$AF$29,0), IF('CO-PO Mapping'!S$7,$AG$29,0) )=0), "-", IF( SUM( IF('CO-PO Mapping'!S$2,$AH62*$AB$29,0), IF('CO-PO Mapping'!S$3,$AI62*$AC$29,0), IF('CO-PO Mapping'!S$4,$AJ62*$AD$29,0), IF('CO-PO Mapping'!S$5,$AK62*$AE$29,0), IF('CO-PO Mapping'!S$6,$AL62*$AF$29,0), IF('CO-PO Mapping'!S$7,$AM62*$AG$29,0)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IF('CO-PO Mapping'!S$6, IF(OR($AR62="-",SUM(IF('CO-PO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IF('CO-PO Mapping'!S$7, IF(OR($AS62="-",SUM(IF('CO-PO Mapping'!S$2,$AB$29,0),IF('CO-PO Mapping'!S$3,$AC$29,0),IF('CO-PO Mapping'!S$4,$AD$29,0),IF('CO-PO Mapping'!S$5,$AE$29,0),IF('CO-PO Mapping'!S$6,$AF$29,0),IF('CO-PO Mapping'!S$7,$AG$29,0))=0), "-", IF(SUM(IF('CO-PO Mapping'!S$2,$AH62*$AB$29,0),IF('CO-PO Mapping'!S$3,$AI62*$AC$29,0),IF('CO-PO Mapping'!S$4,$AJ62*$AD$29,0),IF('CO-PO Mapping'!S$5,$AK62*$AE$29,0),IF('CO-PO Mapping'!S$6,$AL62*$AF$29,0),IF('CO-PO Mapping'!S$7,$AM62*$AG$29,0))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2" s="95" t="str">
        <f>IF('CO-PO Mapping'!T$2, IF(OR($AN62="-",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IF(OR($AP62="-", SUM( IF('CO-PO Mapping'!T$2,$AB$29,0), IF('CO-PO Mapping'!T$3,$AC$29,0), IF('CO-PO Mapping'!T$4,$AD$29,0), IF('CO-PO Mapping'!T$5,$AE$29,0), IF('CO-PO Mapping'!T$6,$AF$29,0), IF('CO-PO Mapping'!T$7,$AG$29,0) )=0), "-", IF( SUM( IF('CO-PO Mapping'!T$2,$AH62*$AB$29,0), IF('CO-PO Mapping'!T$3,$AI62*$AC$29,0), IF('CO-PO Mapping'!T$4,$AJ62*$AD$29,0), IF('CO-PO Mapping'!T$5,$AK62*$AE$29,0), IF('CO-PO Mapping'!T$6,$AL62*$AF$29,0), IF('CO-PO Mapping'!T$7,$AM62*$AG$29,0)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IF('CO-PO Mapping'!T$6, IF(OR($AR62="-",SUM(IF('CO-PO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IF('CO-PO Mapping'!T$7, IF(OR($AS62="-",SUM(IF('CO-PO Mapping'!T$2,$AB$29,0),IF('CO-PO Mapping'!T$3,$AC$29,0),IF('CO-PO Mapping'!T$4,$AD$29,0),IF('CO-PO Mapping'!T$5,$AE$29,0),IF('CO-PO Mapping'!T$6,$AF$29,0),IF('CO-PO Mapping'!T$7,$AG$29,0))=0), "-", IF(SUM(IF('CO-PO Mapping'!T$2,$AH62*$AB$29,0),IF('CO-PO Mapping'!T$3,$AI62*$AC$29,0),IF('CO-PO Mapping'!T$4,$AJ62*$AD$29,0),IF('CO-PO Mapping'!T$5,$AK62*$AE$29,0),IF('CO-PO Mapping'!T$6,$AL62*$AF$29,0),IF('CO-PO Mapping'!T$7,$AM62*$AG$29,0))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2" s="95" t="str">
        <f>IF('CO-PO Mapping'!U$2, IF(OR($AN62="-",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IF(OR($AP62="-", SUM( IF('CO-PO Mapping'!U$2,$AB$29,0), IF('CO-PO Mapping'!U$3,$AC$29,0), IF('CO-PO Mapping'!U$4,$AD$29,0), IF('CO-PO Mapping'!U$5,$AE$29,0), IF('CO-PO Mapping'!U$6,$AF$29,0), IF('CO-PO Mapping'!U$7,$AG$29,0) )=0), "-", IF( SUM( IF('CO-PO Mapping'!U$2,$AH62*$AB$29,0), IF('CO-PO Mapping'!U$3,$AI62*$AC$29,0), IF('CO-PO Mapping'!U$4,$AJ62*$AD$29,0), IF('CO-PO Mapping'!U$5,$AK62*$AE$29,0), IF('CO-PO Mapping'!U$6,$AL62*$AF$29,0), IF('CO-PO Mapping'!U$7,$AM62*$AG$29,0)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IF('CO-PO Mapping'!U$6, IF(OR($AR62="-",SUM(IF('CO-PO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IF('CO-PO Mapping'!U$7, IF(OR($AS62="-",SUM(IF('CO-PO Mapping'!U$2,$AB$29,0),IF('CO-PO Mapping'!U$3,$AC$29,0),IF('CO-PO Mapping'!U$4,$AD$29,0),IF('CO-PO Mapping'!U$5,$AE$29,0),IF('CO-PO Mapping'!U$6,$AF$29,0),IF('CO-PO Mapping'!U$7,$AG$29,0))=0), "-", IF(SUM(IF('CO-PO Mapping'!U$2,$AH62*$AB$29,0),IF('CO-PO Mapping'!U$3,$AI62*$AC$29,0),IF('CO-PO Mapping'!U$4,$AJ62*$AD$29,0),IF('CO-PO Mapping'!U$5,$AK62*$AE$29,0),IF('CO-PO Mapping'!U$6,$AL62*$AF$29,0),IF('CO-PO Mapping'!U$7,$AM62*$AG$29,0))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2" s="95" t="str">
        <f>IF('CO-PO Mapping'!V$2, IF(OR($AN62="-",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IF(OR($AP62="-", SUM( IF('CO-PO Mapping'!V$2,$AB$29,0), IF('CO-PO Mapping'!V$3,$AC$29,0), IF('CO-PO Mapping'!V$4,$AD$29,0), IF('CO-PO Mapping'!V$5,$AE$29,0), IF('CO-PO Mapping'!V$6,$AF$29,0), IF('CO-PO Mapping'!V$7,$AG$29,0) )=0), "-", IF( SUM( IF('CO-PO Mapping'!V$2,$AH62*$AB$29,0), IF('CO-PO Mapping'!V$3,$AI62*$AC$29,0), IF('CO-PO Mapping'!V$4,$AJ62*$AD$29,0), IF('CO-PO Mapping'!V$5,$AK62*$AE$29,0), IF('CO-PO Mapping'!V$6,$AL62*$AF$29,0), IF('CO-PO Mapping'!V$7,$AM62*$AG$29,0)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IF('CO-PO Mapping'!V$6, IF(OR($AR62="-",SUM(IF('CO-PO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IF('CO-PO Mapping'!V$7, IF(OR($AS62="-",SUM(IF('CO-PO Mapping'!V$2,$AB$29,0),IF('CO-PO Mapping'!V$3,$AC$29,0),IF('CO-PO Mapping'!V$4,$AD$29,0),IF('CO-PO Mapping'!V$5,$AE$29,0),IF('CO-PO Mapping'!V$6,$AF$29,0),IF('CO-PO Mapping'!V$7,$AG$29,0))=0), "-", IF(SUM(IF('CO-PO Mapping'!V$2,$AH62*$AB$29,0),IF('CO-PO Mapping'!V$3,$AI62*$AC$29,0),IF('CO-PO Mapping'!V$4,$AJ62*$AD$29,0),IF('CO-PO Mapping'!V$5,$AK62*$AE$29,0),IF('CO-PO Mapping'!V$6,$AL62*$AF$29,0),IF('CO-PO Mapping'!V$7,$AM62*$AG$29,0))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2" s="95" t="str">
        <f>IF('CO-PO Mapping'!W$2, IF(OR($AN62="-",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IF(OR($AP62="-", SUM( IF('CO-PO Mapping'!W$2,$AB$29,0), IF('CO-PO Mapping'!W$3,$AC$29,0), IF('CO-PO Mapping'!W$4,$AD$29,0), IF('CO-PO Mapping'!W$5,$AE$29,0), IF('CO-PO Mapping'!W$6,$AF$29,0), IF('CO-PO Mapping'!W$7,$AG$29,0) )=0), "-", IF( SUM( IF('CO-PO Mapping'!W$2,$AH62*$AB$29,0), IF('CO-PO Mapping'!W$3,$AI62*$AC$29,0), IF('CO-PO Mapping'!W$4,$AJ62*$AD$29,0), IF('CO-PO Mapping'!W$5,$AK62*$AE$29,0), IF('CO-PO Mapping'!W$6,$AL62*$AF$29,0), IF('CO-PO Mapping'!W$7,$AM62*$AG$29,0)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IF('CO-PO Mapping'!W$6, IF(OR($AR62="-",SUM(IF('CO-PO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IF('CO-PO Mapping'!W$7, IF(OR($AS62="-",SUM(IF('CO-PO Mapping'!W$2,$AB$29,0),IF('CO-PO Mapping'!W$3,$AC$29,0),IF('CO-PO Mapping'!W$4,$AD$29,0),IF('CO-PO Mapping'!W$5,$AE$29,0),IF('CO-PO Mapping'!W$6,$AF$29,0),IF('CO-PO Mapping'!W$7,$AG$29,0))=0), "-", IF(SUM(IF('CO-PO Mapping'!W$2,$AH62*$AB$29,0),IF('CO-PO Mapping'!W$3,$AI62*$AC$29,0),IF('CO-PO Mapping'!W$4,$AJ62*$AD$29,0),IF('CO-PO Mapping'!W$5,$AK62*$AE$29,0),IF('CO-PO Mapping'!W$6,$AL62*$AF$29,0),IF('CO-PO Mapping'!W$7,$AM62*$AG$29,0))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2" s="95" t="str">
        <f>IF('CO-PO Mapping'!X$2, IF(OR($AN62="-",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IF(OR($AP62="-", SUM( IF('CO-PO Mapping'!X$2,$AB$29,0), IF('CO-PO Mapping'!X$3,$AC$29,0), IF('CO-PO Mapping'!X$4,$AD$29,0), IF('CO-PO Mapping'!X$5,$AE$29,0), IF('CO-PO Mapping'!X$6,$AF$29,0), IF('CO-PO Mapping'!X$7,$AG$29,0) )=0), "-", IF( SUM( IF('CO-PO Mapping'!X$2,$AH62*$AB$29,0), IF('CO-PO Mapping'!X$3,$AI62*$AC$29,0), IF('CO-PO Mapping'!X$4,$AJ62*$AD$29,0), IF('CO-PO Mapping'!X$5,$AK62*$AE$29,0), IF('CO-PO Mapping'!X$6,$AL62*$AF$29,0), IF('CO-PO Mapping'!X$7,$AM62*$AG$29,0)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IF('CO-PO Mapping'!X$6, IF(OR($AR62="-",SUM(IF('CO-PO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IF('CO-PO Mapping'!X$7, IF(OR($AS62="-",SUM(IF('CO-PO Mapping'!X$2,$AB$29,0),IF('CO-PO Mapping'!X$3,$AC$29,0),IF('CO-PO Mapping'!X$4,$AD$29,0),IF('CO-PO Mapping'!X$5,$AE$29,0),IF('CO-PO Mapping'!X$6,$AF$29,0),IF('CO-PO Mapping'!X$7,$AG$29,0))=0), "-", IF(SUM(IF('CO-PO Mapping'!X$2,$AH62*$AB$29,0),IF('CO-PO Mapping'!X$3,$AI62*$AC$29,0),IF('CO-PO Mapping'!X$4,$AJ62*$AD$29,0),IF('CO-PO Mapping'!X$5,$AK62*$AE$29,0),IF('CO-PO Mapping'!X$6,$AL62*$AF$29,0),IF('CO-PO Mapping'!X$7,$AM62*$AG$29,0))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2" s="95" t="str">
        <f>IF('CO-PO Mapping'!Y$2, IF(OR($AN62="-",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IF(OR($AP62="-", SUM( IF('CO-PO Mapping'!Y$2,$AB$29,0), IF('CO-PO Mapping'!Y$3,$AC$29,0), IF('CO-PO Mapping'!Y$4,$AD$29,0), IF('CO-PO Mapping'!Y$5,$AE$29,0), IF('CO-PO Mapping'!Y$6,$AF$29,0), IF('CO-PO Mapping'!Y$7,$AG$29,0) )=0), "-", IF( SUM( IF('CO-PO Mapping'!Y$2,$AH62*$AB$29,0), IF('CO-PO Mapping'!Y$3,$AI62*$AC$29,0), IF('CO-PO Mapping'!Y$4,$AJ62*$AD$29,0), IF('CO-PO Mapping'!Y$5,$AK62*$AE$29,0), IF('CO-PO Mapping'!Y$6,$AL62*$AF$29,0), IF('CO-PO Mapping'!Y$7,$AM62*$AG$29,0)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IF('CO-PO Mapping'!Y$6, IF(OR($AR62="-",SUM(IF('CO-PO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IF('CO-PO Mapping'!Y$7, IF(OR($AS62="-",SUM(IF('CO-PO Mapping'!Y$2,$AB$29,0),IF('CO-PO Mapping'!Y$3,$AC$29,0),IF('CO-PO Mapping'!Y$4,$AD$29,0),IF('CO-PO Mapping'!Y$5,$AE$29,0),IF('CO-PO Mapping'!Y$6,$AF$29,0),IF('CO-PO Mapping'!Y$7,$AG$29,0))=0), "-", IF(SUM(IF('CO-PO Mapping'!Y$2,$AH62*$AB$29,0),IF('CO-PO Mapping'!Y$3,$AI62*$AC$29,0),IF('CO-PO Mapping'!Y$4,$AJ62*$AD$29,0),IF('CO-PO Mapping'!Y$5,$AK62*$AE$29,0),IF('CO-PO Mapping'!Y$6,$AL62*$AF$29,0),IF('CO-PO Mapping'!Y$7,$AM62*$AG$29,0))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2" s="95" t="str">
        <f>IF('CO-PO Mapping'!Z$2, IF(OR($AN62="-",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IF(OR($AP62="-", SUM( IF('CO-PO Mapping'!Z$2,$AB$29,0), IF('CO-PO Mapping'!Z$3,$AC$29,0), IF('CO-PO Mapping'!Z$4,$AD$29,0), IF('CO-PO Mapping'!Z$5,$AE$29,0), IF('CO-PO Mapping'!Z$6,$AF$29,0), IF('CO-PO Mapping'!Z$7,$AG$29,0) )=0), "-", IF( SUM( IF('CO-PO Mapping'!Z$2,$AH62*$AB$29,0), IF('CO-PO Mapping'!Z$3,$AI62*$AC$29,0), IF('CO-PO Mapping'!Z$4,$AJ62*$AD$29,0), IF('CO-PO Mapping'!Z$5,$AK62*$AE$29,0), IF('CO-PO Mapping'!Z$6,$AL62*$AF$29,0), IF('CO-PO Mapping'!Z$7,$AM62*$AG$29,0)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IF('CO-PO Mapping'!Z$6, IF(OR($AR62="-",SUM(IF('CO-PO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IF('CO-PO Mapping'!Z$7, IF(OR($AS62="-",SUM(IF('CO-PO Mapping'!Z$2,$AB$29,0),IF('CO-PO Mapping'!Z$3,$AC$29,0),IF('CO-PO Mapping'!Z$4,$AD$29,0),IF('CO-PO Mapping'!Z$5,$AE$29,0),IF('CO-PO Mapping'!Z$6,$AF$29,0),IF('CO-PO Mapping'!Z$7,$AG$29,0))=0), "-", IF(SUM(IF('CO-PO Mapping'!Z$2,$AH62*$AB$29,0),IF('CO-PO Mapping'!Z$3,$AI62*$AC$29,0),IF('CO-PO Mapping'!Z$4,$AJ62*$AD$29,0),IF('CO-PO Mapping'!Z$5,$AK62*$AE$29,0),IF('CO-PO Mapping'!Z$6,$AL62*$AF$29,0),IF('CO-PO Mapping'!Z$7,$AM62*$AG$29,0))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3" spans="1:57" ht="15" customHeight="1" thickBot="1">
      <c r="A63" s="110">
        <v>22235103351</v>
      </c>
      <c r="B63" s="111" t="s">
        <v>180</v>
      </c>
      <c r="C63" s="70">
        <v>4</v>
      </c>
      <c r="D63" s="70"/>
      <c r="E63" s="71">
        <v>20</v>
      </c>
      <c r="F63" s="70"/>
      <c r="G63" s="71"/>
      <c r="H63" s="103">
        <f t="shared" si="2"/>
        <v>24</v>
      </c>
      <c r="I63" s="75">
        <v>5</v>
      </c>
      <c r="J63" s="75">
        <v>7</v>
      </c>
      <c r="K63" s="75">
        <v>7</v>
      </c>
      <c r="L63" s="75"/>
      <c r="M63" s="75"/>
      <c r="N63" s="75"/>
      <c r="O63" s="105">
        <f t="shared" si="3"/>
        <v>19</v>
      </c>
      <c r="P63" s="75">
        <v>15</v>
      </c>
      <c r="Q63" s="75">
        <v>13</v>
      </c>
      <c r="R63" s="75"/>
      <c r="S63" s="75"/>
      <c r="T63" s="75"/>
      <c r="U63" s="75"/>
      <c r="V63" s="104">
        <f t="shared" si="4"/>
        <v>28</v>
      </c>
      <c r="W63" s="83">
        <f t="shared" si="5"/>
        <v>71</v>
      </c>
      <c r="X63" s="98" t="str">
        <f t="shared" si="10"/>
        <v>A (Minus)</v>
      </c>
      <c r="Y63" s="47"/>
      <c r="Z63" s="42">
        <f t="shared" si="26"/>
        <v>22235103351</v>
      </c>
      <c r="AA63" s="43" t="str">
        <f t="shared" si="27"/>
        <v>S. M. Tanbin Tazim</v>
      </c>
      <c r="AB63" s="90">
        <f t="shared" si="11"/>
        <v>29</v>
      </c>
      <c r="AC63" s="90">
        <f t="shared" si="11"/>
        <v>22</v>
      </c>
      <c r="AD63" s="90">
        <f t="shared" si="11"/>
        <v>20</v>
      </c>
      <c r="AE63" s="90">
        <f t="shared" si="11"/>
        <v>0</v>
      </c>
      <c r="AF63" s="90">
        <f t="shared" si="11"/>
        <v>0</v>
      </c>
      <c r="AG63" s="90">
        <f t="shared" si="25"/>
        <v>0</v>
      </c>
      <c r="AH63" s="92">
        <f t="shared" si="12"/>
        <v>72.5</v>
      </c>
      <c r="AI63" s="92">
        <f t="shared" si="13"/>
        <v>73.333333333333329</v>
      </c>
      <c r="AJ63" s="92">
        <f t="shared" si="14"/>
        <v>66.666666666666671</v>
      </c>
      <c r="AK63" s="92">
        <f t="shared" si="22"/>
        <v>0</v>
      </c>
      <c r="AL63" s="92">
        <f t="shared" si="15"/>
        <v>0</v>
      </c>
      <c r="AM63" s="92">
        <f t="shared" si="16"/>
        <v>0</v>
      </c>
      <c r="AN63" s="93" t="str">
        <f t="shared" si="23"/>
        <v>Y</v>
      </c>
      <c r="AO63" s="93" t="str">
        <f t="shared" si="17"/>
        <v>Y</v>
      </c>
      <c r="AP63" s="93" t="str">
        <f t="shared" si="18"/>
        <v>Y</v>
      </c>
      <c r="AQ63" s="93" t="str">
        <f t="shared" si="19"/>
        <v>N</v>
      </c>
      <c r="AR63" s="93" t="str">
        <f t="shared" si="20"/>
        <v>N</v>
      </c>
      <c r="AS63" s="93" t="str">
        <f t="shared" si="21"/>
        <v>N</v>
      </c>
      <c r="AT63" s="95" t="str">
        <f>IF('CO-PO Mapping'!O$2, IF(OR($AN63="-",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IF(OR($AP63="-", SUM( IF('CO-PO Mapping'!O$2,$AB$29,0), IF('CO-PO Mapping'!O$3,$AC$29,0), IF('CO-PO Mapping'!O$4,$AD$29,0), IF('CO-PO Mapping'!O$5,$AE$29,0), IF('CO-PO Mapping'!O$6,$AF$29,0), IF('CO-PO Mapping'!O$7,$AG$29,0) )=0), "-", IF( SUM( IF('CO-PO Mapping'!O$2,$AH63*$AB$29,0), IF('CO-PO Mapping'!O$3,$AI63*$AC$29,0), IF('CO-PO Mapping'!O$4,$AJ63*$AD$29,0), IF('CO-PO Mapping'!O$5,$AK63*$AE$29,0), IF('CO-PO Mapping'!O$6,$AL63*$AF$29,0), IF('CO-PO Mapping'!O$7,$AM63*$AG$29,0)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IF('CO-PO Mapping'!O$6, IF(OR($AR63="-",SUM(IF('CO-PO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IF('CO-PO Mapping'!O$7, IF(OR($AS63="-",SUM(IF('CO-PO Mapping'!O$2,$AB$29,0),IF('CO-PO Mapping'!O$3,$AC$29,0),IF('CO-PO Mapping'!O$4,$AD$29,0),IF('CO-PO Mapping'!O$5,$AE$29,0),IF('CO-PO Mapping'!O$6,$AF$29,0),IF('CO-PO Mapping'!O$7,$AG$29,0))=0), "-", IF(SUM(IF('CO-PO Mapping'!O$2,$AH63*$AB$29,0),IF('CO-PO Mapping'!O$3,$AI63*$AC$29,0),IF('CO-PO Mapping'!O$4,$AJ63*$AD$29,0),IF('CO-PO Mapping'!O$5,$AK63*$AE$29,0),IF('CO-PO Mapping'!O$6,$AL63*$AF$29,0),IF('CO-PO Mapping'!O$7,$AM63*$AG$29,0))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3" s="95" t="str">
        <f>IF('CO-PO Mapping'!P$2, IF(OR($AN63="-",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IF(OR($AP63="-", SUM( IF('CO-PO Mapping'!P$2,$AB$29,0), IF('CO-PO Mapping'!P$3,$AC$29,0), IF('CO-PO Mapping'!P$4,$AD$29,0), IF('CO-PO Mapping'!P$5,$AE$29,0), IF('CO-PO Mapping'!P$6,$AF$29,0), IF('CO-PO Mapping'!P$7,$AG$29,0) )=0), "-", IF( SUM( IF('CO-PO Mapping'!P$2,$AH63*$AB$29,0), IF('CO-PO Mapping'!P$3,$AI63*$AC$29,0), IF('CO-PO Mapping'!P$4,$AJ63*$AD$29,0), IF('CO-PO Mapping'!P$5,$AK63*$AE$29,0), IF('CO-PO Mapping'!P$6,$AL63*$AF$29,0), IF('CO-PO Mapping'!P$7,$AM63*$AG$29,0)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IF('CO-PO Mapping'!P$6, IF(OR($AR63="-",SUM(IF('CO-PO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IF('CO-PO Mapping'!P$7, IF(OR($AS63="-",SUM(IF('CO-PO Mapping'!P$2,$AB$29,0),IF('CO-PO Mapping'!P$3,$AC$29,0),IF('CO-PO Mapping'!P$4,$AD$29,0),IF('CO-PO Mapping'!P$5,$AE$29,0),IF('CO-PO Mapping'!P$6,$AF$29,0),IF('CO-PO Mapping'!P$7,$AG$29,0))=0), "-", IF(SUM(IF('CO-PO Mapping'!P$2,$AH63*$AB$29,0),IF('CO-PO Mapping'!P$3,$AI63*$AC$29,0),IF('CO-PO Mapping'!P$4,$AJ63*$AD$29,0),IF('CO-PO Mapping'!P$5,$AK63*$AE$29,0),IF('CO-PO Mapping'!P$6,$AL63*$AF$29,0),IF('CO-PO Mapping'!P$7,$AM63*$AG$29,0))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3" s="95" t="str">
        <f>IF('CO-PO Mapping'!Q$2, IF(OR($AN63="-",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IF(OR($AP63="-", SUM( IF('CO-PO Mapping'!Q$2,$AB$29,0), IF('CO-PO Mapping'!Q$3,$AC$29,0), IF('CO-PO Mapping'!Q$4,$AD$29,0), IF('CO-PO Mapping'!Q$5,$AE$29,0), IF('CO-PO Mapping'!Q$6,$AF$29,0), IF('CO-PO Mapping'!Q$7,$AG$29,0) )=0), "-", IF( SUM( IF('CO-PO Mapping'!Q$2,$AH63*$AB$29,0), IF('CO-PO Mapping'!Q$3,$AI63*$AC$29,0), IF('CO-PO Mapping'!Q$4,$AJ63*$AD$29,0), IF('CO-PO Mapping'!Q$5,$AK63*$AE$29,0), IF('CO-PO Mapping'!Q$6,$AL63*$AF$29,0), IF('CO-PO Mapping'!Q$7,$AM63*$AG$29,0)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IF('CO-PO Mapping'!Q$6, IF(OR($AR63="-",SUM(IF('CO-PO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IF('CO-PO Mapping'!Q$7, IF(OR($AS63="-",SUM(IF('CO-PO Mapping'!Q$2,$AB$29,0),IF('CO-PO Mapping'!Q$3,$AC$29,0),IF('CO-PO Mapping'!Q$4,$AD$29,0),IF('CO-PO Mapping'!Q$5,$AE$29,0),IF('CO-PO Mapping'!Q$6,$AF$29,0),IF('CO-PO Mapping'!Q$7,$AG$29,0))=0), "-", IF(SUM(IF('CO-PO Mapping'!Q$2,$AH63*$AB$29,0),IF('CO-PO Mapping'!Q$3,$AI63*$AC$29,0),IF('CO-PO Mapping'!Q$4,$AJ63*$AD$29,0),IF('CO-PO Mapping'!Q$5,$AK63*$AE$29,0),IF('CO-PO Mapping'!Q$6,$AL63*$AF$29,0),IF('CO-PO Mapping'!Q$7,$AM63*$AG$29,0))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3" s="95" t="str">
        <f>IF('CO-PO Mapping'!R$2, IF(OR($AN63="-",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IF(OR($AP63="-", SUM( IF('CO-PO Mapping'!R$2,$AB$29,0), IF('CO-PO Mapping'!R$3,$AC$29,0), IF('CO-PO Mapping'!R$4,$AD$29,0), IF('CO-PO Mapping'!R$5,$AE$29,0), IF('CO-PO Mapping'!R$6,$AF$29,0), IF('CO-PO Mapping'!R$7,$AG$29,0) )=0), "-", IF( SUM( IF('CO-PO Mapping'!R$2,$AH63*$AB$29,0), IF('CO-PO Mapping'!R$3,$AI63*$AC$29,0), IF('CO-PO Mapping'!R$4,$AJ63*$AD$29,0), IF('CO-PO Mapping'!R$5,$AK63*$AE$29,0), IF('CO-PO Mapping'!R$6,$AL63*$AF$29,0), IF('CO-PO Mapping'!R$7,$AM63*$AG$29,0)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IF('CO-PO Mapping'!R$6, IF(OR($AR63="-",SUM(IF('CO-PO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IF('CO-PO Mapping'!R$7, IF(OR($AS63="-",SUM(IF('CO-PO Mapping'!R$2,$AB$29,0),IF('CO-PO Mapping'!R$3,$AC$29,0),IF('CO-PO Mapping'!R$4,$AD$29,0),IF('CO-PO Mapping'!R$5,$AE$29,0),IF('CO-PO Mapping'!R$6,$AF$29,0),IF('CO-PO Mapping'!R$7,$AG$29,0))=0), "-", IF(SUM(IF('CO-PO Mapping'!R$2,$AH63*$AB$29,0),IF('CO-PO Mapping'!R$3,$AI63*$AC$29,0),IF('CO-PO Mapping'!R$4,$AJ63*$AD$29,0),IF('CO-PO Mapping'!R$5,$AK63*$AE$29,0),IF('CO-PO Mapping'!R$6,$AL63*$AF$29,0),IF('CO-PO Mapping'!R$7,$AM63*$AG$29,0))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3" s="95" t="str">
        <f>IF('CO-PO Mapping'!S$2, IF(OR($AN63="-",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IF(OR($AP63="-", SUM( IF('CO-PO Mapping'!S$2,$AB$29,0), IF('CO-PO Mapping'!S$3,$AC$29,0), IF('CO-PO Mapping'!S$4,$AD$29,0), IF('CO-PO Mapping'!S$5,$AE$29,0), IF('CO-PO Mapping'!S$6,$AF$29,0), IF('CO-PO Mapping'!S$7,$AG$29,0) )=0), "-", IF( SUM( IF('CO-PO Mapping'!S$2,$AH63*$AB$29,0), IF('CO-PO Mapping'!S$3,$AI63*$AC$29,0), IF('CO-PO Mapping'!S$4,$AJ63*$AD$29,0), IF('CO-PO Mapping'!S$5,$AK63*$AE$29,0), IF('CO-PO Mapping'!S$6,$AL63*$AF$29,0), IF('CO-PO Mapping'!S$7,$AM63*$AG$29,0)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IF('CO-PO Mapping'!S$6, IF(OR($AR63="-",SUM(IF('CO-PO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IF('CO-PO Mapping'!S$7, IF(OR($AS63="-",SUM(IF('CO-PO Mapping'!S$2,$AB$29,0),IF('CO-PO Mapping'!S$3,$AC$29,0),IF('CO-PO Mapping'!S$4,$AD$29,0),IF('CO-PO Mapping'!S$5,$AE$29,0),IF('CO-PO Mapping'!S$6,$AF$29,0),IF('CO-PO Mapping'!S$7,$AG$29,0))=0), "-", IF(SUM(IF('CO-PO Mapping'!S$2,$AH63*$AB$29,0),IF('CO-PO Mapping'!S$3,$AI63*$AC$29,0),IF('CO-PO Mapping'!S$4,$AJ63*$AD$29,0),IF('CO-PO Mapping'!S$5,$AK63*$AE$29,0),IF('CO-PO Mapping'!S$6,$AL63*$AF$29,0),IF('CO-PO Mapping'!S$7,$AM63*$AG$29,0))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3" s="95" t="str">
        <f>IF('CO-PO Mapping'!T$2, IF(OR($AN63="-",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IF(OR($AP63="-", SUM( IF('CO-PO Mapping'!T$2,$AB$29,0), IF('CO-PO Mapping'!T$3,$AC$29,0), IF('CO-PO Mapping'!T$4,$AD$29,0), IF('CO-PO Mapping'!T$5,$AE$29,0), IF('CO-PO Mapping'!T$6,$AF$29,0), IF('CO-PO Mapping'!T$7,$AG$29,0) )=0), "-", IF( SUM( IF('CO-PO Mapping'!T$2,$AH63*$AB$29,0), IF('CO-PO Mapping'!T$3,$AI63*$AC$29,0), IF('CO-PO Mapping'!T$4,$AJ63*$AD$29,0), IF('CO-PO Mapping'!T$5,$AK63*$AE$29,0), IF('CO-PO Mapping'!T$6,$AL63*$AF$29,0), IF('CO-PO Mapping'!T$7,$AM63*$AG$29,0)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IF('CO-PO Mapping'!T$6, IF(OR($AR63="-",SUM(IF('CO-PO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IF('CO-PO Mapping'!T$7, IF(OR($AS63="-",SUM(IF('CO-PO Mapping'!T$2,$AB$29,0),IF('CO-PO Mapping'!T$3,$AC$29,0),IF('CO-PO Mapping'!T$4,$AD$29,0),IF('CO-PO Mapping'!T$5,$AE$29,0),IF('CO-PO Mapping'!T$6,$AF$29,0),IF('CO-PO Mapping'!T$7,$AG$29,0))=0), "-", IF(SUM(IF('CO-PO Mapping'!T$2,$AH63*$AB$29,0),IF('CO-PO Mapping'!T$3,$AI63*$AC$29,0),IF('CO-PO Mapping'!T$4,$AJ63*$AD$29,0),IF('CO-PO Mapping'!T$5,$AK63*$AE$29,0),IF('CO-PO Mapping'!T$6,$AL63*$AF$29,0),IF('CO-PO Mapping'!T$7,$AM63*$AG$29,0))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3" s="95" t="str">
        <f>IF('CO-PO Mapping'!U$2, IF(OR($AN63="-",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IF(OR($AP63="-", SUM( IF('CO-PO Mapping'!U$2,$AB$29,0), IF('CO-PO Mapping'!U$3,$AC$29,0), IF('CO-PO Mapping'!U$4,$AD$29,0), IF('CO-PO Mapping'!U$5,$AE$29,0), IF('CO-PO Mapping'!U$6,$AF$29,0), IF('CO-PO Mapping'!U$7,$AG$29,0) )=0), "-", IF( SUM( IF('CO-PO Mapping'!U$2,$AH63*$AB$29,0), IF('CO-PO Mapping'!U$3,$AI63*$AC$29,0), IF('CO-PO Mapping'!U$4,$AJ63*$AD$29,0), IF('CO-PO Mapping'!U$5,$AK63*$AE$29,0), IF('CO-PO Mapping'!U$6,$AL63*$AF$29,0), IF('CO-PO Mapping'!U$7,$AM63*$AG$29,0)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IF('CO-PO Mapping'!U$6, IF(OR($AR63="-",SUM(IF('CO-PO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IF('CO-PO Mapping'!U$7, IF(OR($AS63="-",SUM(IF('CO-PO Mapping'!U$2,$AB$29,0),IF('CO-PO Mapping'!U$3,$AC$29,0),IF('CO-PO Mapping'!U$4,$AD$29,0),IF('CO-PO Mapping'!U$5,$AE$29,0),IF('CO-PO Mapping'!U$6,$AF$29,0),IF('CO-PO Mapping'!U$7,$AG$29,0))=0), "-", IF(SUM(IF('CO-PO Mapping'!U$2,$AH63*$AB$29,0),IF('CO-PO Mapping'!U$3,$AI63*$AC$29,0),IF('CO-PO Mapping'!U$4,$AJ63*$AD$29,0),IF('CO-PO Mapping'!U$5,$AK63*$AE$29,0),IF('CO-PO Mapping'!U$6,$AL63*$AF$29,0),IF('CO-PO Mapping'!U$7,$AM63*$AG$29,0))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3" s="95" t="str">
        <f>IF('CO-PO Mapping'!V$2, IF(OR($AN63="-",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IF(OR($AP63="-", SUM( IF('CO-PO Mapping'!V$2,$AB$29,0), IF('CO-PO Mapping'!V$3,$AC$29,0), IF('CO-PO Mapping'!V$4,$AD$29,0), IF('CO-PO Mapping'!V$5,$AE$29,0), IF('CO-PO Mapping'!V$6,$AF$29,0), IF('CO-PO Mapping'!V$7,$AG$29,0) )=0), "-", IF( SUM( IF('CO-PO Mapping'!V$2,$AH63*$AB$29,0), IF('CO-PO Mapping'!V$3,$AI63*$AC$29,0), IF('CO-PO Mapping'!V$4,$AJ63*$AD$29,0), IF('CO-PO Mapping'!V$5,$AK63*$AE$29,0), IF('CO-PO Mapping'!V$6,$AL63*$AF$29,0), IF('CO-PO Mapping'!V$7,$AM63*$AG$29,0)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IF('CO-PO Mapping'!V$6, IF(OR($AR63="-",SUM(IF('CO-PO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IF('CO-PO Mapping'!V$7, IF(OR($AS63="-",SUM(IF('CO-PO Mapping'!V$2,$AB$29,0),IF('CO-PO Mapping'!V$3,$AC$29,0),IF('CO-PO Mapping'!V$4,$AD$29,0),IF('CO-PO Mapping'!V$5,$AE$29,0),IF('CO-PO Mapping'!V$6,$AF$29,0),IF('CO-PO Mapping'!V$7,$AG$29,0))=0), "-", IF(SUM(IF('CO-PO Mapping'!V$2,$AH63*$AB$29,0),IF('CO-PO Mapping'!V$3,$AI63*$AC$29,0),IF('CO-PO Mapping'!V$4,$AJ63*$AD$29,0),IF('CO-PO Mapping'!V$5,$AK63*$AE$29,0),IF('CO-PO Mapping'!V$6,$AL63*$AF$29,0),IF('CO-PO Mapping'!V$7,$AM63*$AG$29,0))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3" s="95" t="str">
        <f>IF('CO-PO Mapping'!W$2, IF(OR($AN63="-",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IF(OR($AP63="-", SUM( IF('CO-PO Mapping'!W$2,$AB$29,0), IF('CO-PO Mapping'!W$3,$AC$29,0), IF('CO-PO Mapping'!W$4,$AD$29,0), IF('CO-PO Mapping'!W$5,$AE$29,0), IF('CO-PO Mapping'!W$6,$AF$29,0), IF('CO-PO Mapping'!W$7,$AG$29,0) )=0), "-", IF( SUM( IF('CO-PO Mapping'!W$2,$AH63*$AB$29,0), IF('CO-PO Mapping'!W$3,$AI63*$AC$29,0), IF('CO-PO Mapping'!W$4,$AJ63*$AD$29,0), IF('CO-PO Mapping'!W$5,$AK63*$AE$29,0), IF('CO-PO Mapping'!W$6,$AL63*$AF$29,0), IF('CO-PO Mapping'!W$7,$AM63*$AG$29,0)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IF('CO-PO Mapping'!W$6, IF(OR($AR63="-",SUM(IF('CO-PO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IF('CO-PO Mapping'!W$7, IF(OR($AS63="-",SUM(IF('CO-PO Mapping'!W$2,$AB$29,0),IF('CO-PO Mapping'!W$3,$AC$29,0),IF('CO-PO Mapping'!W$4,$AD$29,0),IF('CO-PO Mapping'!W$5,$AE$29,0),IF('CO-PO Mapping'!W$6,$AF$29,0),IF('CO-PO Mapping'!W$7,$AG$29,0))=0), "-", IF(SUM(IF('CO-PO Mapping'!W$2,$AH63*$AB$29,0),IF('CO-PO Mapping'!W$3,$AI63*$AC$29,0),IF('CO-PO Mapping'!W$4,$AJ63*$AD$29,0),IF('CO-PO Mapping'!W$5,$AK63*$AE$29,0),IF('CO-PO Mapping'!W$6,$AL63*$AF$29,0),IF('CO-PO Mapping'!W$7,$AM63*$AG$29,0))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3" s="95" t="str">
        <f>IF('CO-PO Mapping'!X$2, IF(OR($AN63="-",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IF(OR($AP63="-", SUM( IF('CO-PO Mapping'!X$2,$AB$29,0), IF('CO-PO Mapping'!X$3,$AC$29,0), IF('CO-PO Mapping'!X$4,$AD$29,0), IF('CO-PO Mapping'!X$5,$AE$29,0), IF('CO-PO Mapping'!X$6,$AF$29,0), IF('CO-PO Mapping'!X$7,$AG$29,0) )=0), "-", IF( SUM( IF('CO-PO Mapping'!X$2,$AH63*$AB$29,0), IF('CO-PO Mapping'!X$3,$AI63*$AC$29,0), IF('CO-PO Mapping'!X$4,$AJ63*$AD$29,0), IF('CO-PO Mapping'!X$5,$AK63*$AE$29,0), IF('CO-PO Mapping'!X$6,$AL63*$AF$29,0), IF('CO-PO Mapping'!X$7,$AM63*$AG$29,0)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IF('CO-PO Mapping'!X$6, IF(OR($AR63="-",SUM(IF('CO-PO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IF('CO-PO Mapping'!X$7, IF(OR($AS63="-",SUM(IF('CO-PO Mapping'!X$2,$AB$29,0),IF('CO-PO Mapping'!X$3,$AC$29,0),IF('CO-PO Mapping'!X$4,$AD$29,0),IF('CO-PO Mapping'!X$5,$AE$29,0),IF('CO-PO Mapping'!X$6,$AF$29,0),IF('CO-PO Mapping'!X$7,$AG$29,0))=0), "-", IF(SUM(IF('CO-PO Mapping'!X$2,$AH63*$AB$29,0),IF('CO-PO Mapping'!X$3,$AI63*$AC$29,0),IF('CO-PO Mapping'!X$4,$AJ63*$AD$29,0),IF('CO-PO Mapping'!X$5,$AK63*$AE$29,0),IF('CO-PO Mapping'!X$6,$AL63*$AF$29,0),IF('CO-PO Mapping'!X$7,$AM63*$AG$29,0))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3" s="95" t="str">
        <f>IF('CO-PO Mapping'!Y$2, IF(OR($AN63="-",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IF(OR($AP63="-", SUM( IF('CO-PO Mapping'!Y$2,$AB$29,0), IF('CO-PO Mapping'!Y$3,$AC$29,0), IF('CO-PO Mapping'!Y$4,$AD$29,0), IF('CO-PO Mapping'!Y$5,$AE$29,0), IF('CO-PO Mapping'!Y$6,$AF$29,0), IF('CO-PO Mapping'!Y$7,$AG$29,0) )=0), "-", IF( SUM( IF('CO-PO Mapping'!Y$2,$AH63*$AB$29,0), IF('CO-PO Mapping'!Y$3,$AI63*$AC$29,0), IF('CO-PO Mapping'!Y$4,$AJ63*$AD$29,0), IF('CO-PO Mapping'!Y$5,$AK63*$AE$29,0), IF('CO-PO Mapping'!Y$6,$AL63*$AF$29,0), IF('CO-PO Mapping'!Y$7,$AM63*$AG$29,0)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IF('CO-PO Mapping'!Y$6, IF(OR($AR63="-",SUM(IF('CO-PO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IF('CO-PO Mapping'!Y$7, IF(OR($AS63="-",SUM(IF('CO-PO Mapping'!Y$2,$AB$29,0),IF('CO-PO Mapping'!Y$3,$AC$29,0),IF('CO-PO Mapping'!Y$4,$AD$29,0),IF('CO-PO Mapping'!Y$5,$AE$29,0),IF('CO-PO Mapping'!Y$6,$AF$29,0),IF('CO-PO Mapping'!Y$7,$AG$29,0))=0), "-", IF(SUM(IF('CO-PO Mapping'!Y$2,$AH63*$AB$29,0),IF('CO-PO Mapping'!Y$3,$AI63*$AC$29,0),IF('CO-PO Mapping'!Y$4,$AJ63*$AD$29,0),IF('CO-PO Mapping'!Y$5,$AK63*$AE$29,0),IF('CO-PO Mapping'!Y$6,$AL63*$AF$29,0),IF('CO-PO Mapping'!Y$7,$AM63*$AG$29,0))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3" s="95" t="str">
        <f>IF('CO-PO Mapping'!Z$2, IF(OR($AN63="-",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IF(OR($AP63="-", SUM( IF('CO-PO Mapping'!Z$2,$AB$29,0), IF('CO-PO Mapping'!Z$3,$AC$29,0), IF('CO-PO Mapping'!Z$4,$AD$29,0), IF('CO-PO Mapping'!Z$5,$AE$29,0), IF('CO-PO Mapping'!Z$6,$AF$29,0), IF('CO-PO Mapping'!Z$7,$AG$29,0) )=0), "-", IF( SUM( IF('CO-PO Mapping'!Z$2,$AH63*$AB$29,0), IF('CO-PO Mapping'!Z$3,$AI63*$AC$29,0), IF('CO-PO Mapping'!Z$4,$AJ63*$AD$29,0), IF('CO-PO Mapping'!Z$5,$AK63*$AE$29,0), IF('CO-PO Mapping'!Z$6,$AL63*$AF$29,0), IF('CO-PO Mapping'!Z$7,$AM63*$AG$29,0)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IF('CO-PO Mapping'!Z$6, IF(OR($AR63="-",SUM(IF('CO-PO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IF('CO-PO Mapping'!Z$7, IF(OR($AS63="-",SUM(IF('CO-PO Mapping'!Z$2,$AB$29,0),IF('CO-PO Mapping'!Z$3,$AC$29,0),IF('CO-PO Mapping'!Z$4,$AD$29,0),IF('CO-PO Mapping'!Z$5,$AE$29,0),IF('CO-PO Mapping'!Z$6,$AF$29,0),IF('CO-PO Mapping'!Z$7,$AG$29,0))=0), "-", IF(SUM(IF('CO-PO Mapping'!Z$2,$AH63*$AB$29,0),IF('CO-PO Mapping'!Z$3,$AI63*$AC$29,0),IF('CO-PO Mapping'!Z$4,$AJ63*$AD$29,0),IF('CO-PO Mapping'!Z$5,$AK63*$AE$29,0),IF('CO-PO Mapping'!Z$6,$AL63*$AF$29,0),IF('CO-PO Mapping'!Z$7,$AM63*$AG$29,0))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4" spans="1:57" ht="15" customHeight="1" thickBot="1">
      <c r="A64" s="110">
        <v>22235103353</v>
      </c>
      <c r="B64" s="111" t="s">
        <v>181</v>
      </c>
      <c r="C64" s="70">
        <v>4</v>
      </c>
      <c r="D64" s="71"/>
      <c r="E64" s="71">
        <v>20</v>
      </c>
      <c r="F64" s="71"/>
      <c r="G64" s="71"/>
      <c r="H64" s="103">
        <f t="shared" si="2"/>
        <v>24</v>
      </c>
      <c r="I64" s="75">
        <v>7</v>
      </c>
      <c r="J64" s="75">
        <v>6</v>
      </c>
      <c r="K64" s="75">
        <v>7</v>
      </c>
      <c r="L64" s="75"/>
      <c r="M64" s="75"/>
      <c r="N64" s="75"/>
      <c r="O64" s="105">
        <f t="shared" si="3"/>
        <v>20</v>
      </c>
      <c r="P64" s="75">
        <v>18</v>
      </c>
      <c r="Q64" s="75">
        <v>12</v>
      </c>
      <c r="R64" s="75"/>
      <c r="S64" s="75"/>
      <c r="T64" s="75"/>
      <c r="U64" s="75"/>
      <c r="V64" s="104">
        <f t="shared" si="4"/>
        <v>30</v>
      </c>
      <c r="W64" s="83">
        <f t="shared" si="5"/>
        <v>74</v>
      </c>
      <c r="X64" s="98" t="str">
        <f t="shared" si="10"/>
        <v>A (Minus)</v>
      </c>
      <c r="Y64" s="47"/>
      <c r="Z64" s="42">
        <f t="shared" si="26"/>
        <v>22235103353</v>
      </c>
      <c r="AA64" s="43" t="str">
        <f t="shared" si="27"/>
        <v>Shahadat Hossain Shuhan</v>
      </c>
      <c r="AB64" s="90">
        <f t="shared" si="11"/>
        <v>31</v>
      </c>
      <c r="AC64" s="90">
        <f t="shared" si="11"/>
        <v>24</v>
      </c>
      <c r="AD64" s="90">
        <f t="shared" si="11"/>
        <v>19</v>
      </c>
      <c r="AE64" s="90">
        <f t="shared" si="11"/>
        <v>0</v>
      </c>
      <c r="AF64" s="90">
        <f t="shared" si="11"/>
        <v>0</v>
      </c>
      <c r="AG64" s="90">
        <f t="shared" si="25"/>
        <v>0</v>
      </c>
      <c r="AH64" s="92">
        <f t="shared" si="12"/>
        <v>77.5</v>
      </c>
      <c r="AI64" s="92">
        <f t="shared" si="13"/>
        <v>80</v>
      </c>
      <c r="AJ64" s="92">
        <f t="shared" si="14"/>
        <v>63.333333333333336</v>
      </c>
      <c r="AK64" s="92">
        <f t="shared" si="22"/>
        <v>0</v>
      </c>
      <c r="AL64" s="92">
        <f t="shared" si="15"/>
        <v>0</v>
      </c>
      <c r="AM64" s="92">
        <f t="shared" si="16"/>
        <v>0</v>
      </c>
      <c r="AN64" s="93" t="str">
        <f t="shared" si="23"/>
        <v>Y</v>
      </c>
      <c r="AO64" s="93" t="str">
        <f t="shared" si="17"/>
        <v>Y</v>
      </c>
      <c r="AP64" s="93" t="str">
        <f t="shared" si="18"/>
        <v>Y</v>
      </c>
      <c r="AQ64" s="93" t="str">
        <f t="shared" si="19"/>
        <v>N</v>
      </c>
      <c r="AR64" s="93" t="str">
        <f t="shared" si="20"/>
        <v>N</v>
      </c>
      <c r="AS64" s="93" t="str">
        <f t="shared" si="21"/>
        <v>N</v>
      </c>
      <c r="AT64" s="95" t="str">
        <f>IF('CO-PO Mapping'!O$2, IF(OR($AN64="-",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IF(OR($AP64="-", SUM( IF('CO-PO Mapping'!O$2,$AB$29,0), IF('CO-PO Mapping'!O$3,$AC$29,0), IF('CO-PO Mapping'!O$4,$AD$29,0), IF('CO-PO Mapping'!O$5,$AE$29,0), IF('CO-PO Mapping'!O$6,$AF$29,0), IF('CO-PO Mapping'!O$7,$AG$29,0) )=0), "-", IF( SUM( IF('CO-PO Mapping'!O$2,$AH64*$AB$29,0), IF('CO-PO Mapping'!O$3,$AI64*$AC$29,0), IF('CO-PO Mapping'!O$4,$AJ64*$AD$29,0), IF('CO-PO Mapping'!O$5,$AK64*$AE$29,0), IF('CO-PO Mapping'!O$6,$AL64*$AF$29,0), IF('CO-PO Mapping'!O$7,$AM64*$AG$29,0)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IF('CO-PO Mapping'!O$6, IF(OR($AR64="-",SUM(IF('CO-PO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IF('CO-PO Mapping'!O$7, IF(OR($AS64="-",SUM(IF('CO-PO Mapping'!O$2,$AB$29,0),IF('CO-PO Mapping'!O$3,$AC$29,0),IF('CO-PO Mapping'!O$4,$AD$29,0),IF('CO-PO Mapping'!O$5,$AE$29,0),IF('CO-PO Mapping'!O$6,$AF$29,0),IF('CO-PO Mapping'!O$7,$AG$29,0))=0), "-", IF(SUM(IF('CO-PO Mapping'!O$2,$AH64*$AB$29,0),IF('CO-PO Mapping'!O$3,$AI64*$AC$29,0),IF('CO-PO Mapping'!O$4,$AJ64*$AD$29,0),IF('CO-PO Mapping'!O$5,$AK64*$AE$29,0),IF('CO-PO Mapping'!O$6,$AL64*$AF$29,0),IF('CO-PO Mapping'!O$7,$AM64*$AG$29,0))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4" s="95" t="str">
        <f>IF('CO-PO Mapping'!P$2, IF(OR($AN64="-",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IF(OR($AP64="-", SUM( IF('CO-PO Mapping'!P$2,$AB$29,0), IF('CO-PO Mapping'!P$3,$AC$29,0), IF('CO-PO Mapping'!P$4,$AD$29,0), IF('CO-PO Mapping'!P$5,$AE$29,0), IF('CO-PO Mapping'!P$6,$AF$29,0), IF('CO-PO Mapping'!P$7,$AG$29,0) )=0), "-", IF( SUM( IF('CO-PO Mapping'!P$2,$AH64*$AB$29,0), IF('CO-PO Mapping'!P$3,$AI64*$AC$29,0), IF('CO-PO Mapping'!P$4,$AJ64*$AD$29,0), IF('CO-PO Mapping'!P$5,$AK64*$AE$29,0), IF('CO-PO Mapping'!P$6,$AL64*$AF$29,0), IF('CO-PO Mapping'!P$7,$AM64*$AG$29,0)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IF('CO-PO Mapping'!P$6, IF(OR($AR64="-",SUM(IF('CO-PO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IF('CO-PO Mapping'!P$7, IF(OR($AS64="-",SUM(IF('CO-PO Mapping'!P$2,$AB$29,0),IF('CO-PO Mapping'!P$3,$AC$29,0),IF('CO-PO Mapping'!P$4,$AD$29,0),IF('CO-PO Mapping'!P$5,$AE$29,0),IF('CO-PO Mapping'!P$6,$AF$29,0),IF('CO-PO Mapping'!P$7,$AG$29,0))=0), "-", IF(SUM(IF('CO-PO Mapping'!P$2,$AH64*$AB$29,0),IF('CO-PO Mapping'!P$3,$AI64*$AC$29,0),IF('CO-PO Mapping'!P$4,$AJ64*$AD$29,0),IF('CO-PO Mapping'!P$5,$AK64*$AE$29,0),IF('CO-PO Mapping'!P$6,$AL64*$AF$29,0),IF('CO-PO Mapping'!P$7,$AM64*$AG$29,0))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4" s="95" t="str">
        <f>IF('CO-PO Mapping'!Q$2, IF(OR($AN64="-",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IF(OR($AP64="-", SUM( IF('CO-PO Mapping'!Q$2,$AB$29,0), IF('CO-PO Mapping'!Q$3,$AC$29,0), IF('CO-PO Mapping'!Q$4,$AD$29,0), IF('CO-PO Mapping'!Q$5,$AE$29,0), IF('CO-PO Mapping'!Q$6,$AF$29,0), IF('CO-PO Mapping'!Q$7,$AG$29,0) )=0), "-", IF( SUM( IF('CO-PO Mapping'!Q$2,$AH64*$AB$29,0), IF('CO-PO Mapping'!Q$3,$AI64*$AC$29,0), IF('CO-PO Mapping'!Q$4,$AJ64*$AD$29,0), IF('CO-PO Mapping'!Q$5,$AK64*$AE$29,0), IF('CO-PO Mapping'!Q$6,$AL64*$AF$29,0), IF('CO-PO Mapping'!Q$7,$AM64*$AG$29,0)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IF('CO-PO Mapping'!Q$6, IF(OR($AR64="-",SUM(IF('CO-PO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IF('CO-PO Mapping'!Q$7, IF(OR($AS64="-",SUM(IF('CO-PO Mapping'!Q$2,$AB$29,0),IF('CO-PO Mapping'!Q$3,$AC$29,0),IF('CO-PO Mapping'!Q$4,$AD$29,0),IF('CO-PO Mapping'!Q$5,$AE$29,0),IF('CO-PO Mapping'!Q$6,$AF$29,0),IF('CO-PO Mapping'!Q$7,$AG$29,0))=0), "-", IF(SUM(IF('CO-PO Mapping'!Q$2,$AH64*$AB$29,0),IF('CO-PO Mapping'!Q$3,$AI64*$AC$29,0),IF('CO-PO Mapping'!Q$4,$AJ64*$AD$29,0),IF('CO-PO Mapping'!Q$5,$AK64*$AE$29,0),IF('CO-PO Mapping'!Q$6,$AL64*$AF$29,0),IF('CO-PO Mapping'!Q$7,$AM64*$AG$29,0))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4" s="95" t="str">
        <f>IF('CO-PO Mapping'!R$2, IF(OR($AN64="-",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IF(OR($AP64="-", SUM( IF('CO-PO Mapping'!R$2,$AB$29,0), IF('CO-PO Mapping'!R$3,$AC$29,0), IF('CO-PO Mapping'!R$4,$AD$29,0), IF('CO-PO Mapping'!R$5,$AE$29,0), IF('CO-PO Mapping'!R$6,$AF$29,0), IF('CO-PO Mapping'!R$7,$AG$29,0) )=0), "-", IF( SUM( IF('CO-PO Mapping'!R$2,$AH64*$AB$29,0), IF('CO-PO Mapping'!R$3,$AI64*$AC$29,0), IF('CO-PO Mapping'!R$4,$AJ64*$AD$29,0), IF('CO-PO Mapping'!R$5,$AK64*$AE$29,0), IF('CO-PO Mapping'!R$6,$AL64*$AF$29,0), IF('CO-PO Mapping'!R$7,$AM64*$AG$29,0)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IF('CO-PO Mapping'!R$6, IF(OR($AR64="-",SUM(IF('CO-PO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IF('CO-PO Mapping'!R$7, IF(OR($AS64="-",SUM(IF('CO-PO Mapping'!R$2,$AB$29,0),IF('CO-PO Mapping'!R$3,$AC$29,0),IF('CO-PO Mapping'!R$4,$AD$29,0),IF('CO-PO Mapping'!R$5,$AE$29,0),IF('CO-PO Mapping'!R$6,$AF$29,0),IF('CO-PO Mapping'!R$7,$AG$29,0))=0), "-", IF(SUM(IF('CO-PO Mapping'!R$2,$AH64*$AB$29,0),IF('CO-PO Mapping'!R$3,$AI64*$AC$29,0),IF('CO-PO Mapping'!R$4,$AJ64*$AD$29,0),IF('CO-PO Mapping'!R$5,$AK64*$AE$29,0),IF('CO-PO Mapping'!R$6,$AL64*$AF$29,0),IF('CO-PO Mapping'!R$7,$AM64*$AG$29,0))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4" s="95" t="str">
        <f>IF('CO-PO Mapping'!S$2, IF(OR($AN64="-",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IF(OR($AP64="-", SUM( IF('CO-PO Mapping'!S$2,$AB$29,0), IF('CO-PO Mapping'!S$3,$AC$29,0), IF('CO-PO Mapping'!S$4,$AD$29,0), IF('CO-PO Mapping'!S$5,$AE$29,0), IF('CO-PO Mapping'!S$6,$AF$29,0), IF('CO-PO Mapping'!S$7,$AG$29,0) )=0), "-", IF( SUM( IF('CO-PO Mapping'!S$2,$AH64*$AB$29,0), IF('CO-PO Mapping'!S$3,$AI64*$AC$29,0), IF('CO-PO Mapping'!S$4,$AJ64*$AD$29,0), IF('CO-PO Mapping'!S$5,$AK64*$AE$29,0), IF('CO-PO Mapping'!S$6,$AL64*$AF$29,0), IF('CO-PO Mapping'!S$7,$AM64*$AG$29,0)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IF('CO-PO Mapping'!S$6, IF(OR($AR64="-",SUM(IF('CO-PO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IF('CO-PO Mapping'!S$7, IF(OR($AS64="-",SUM(IF('CO-PO Mapping'!S$2,$AB$29,0),IF('CO-PO Mapping'!S$3,$AC$29,0),IF('CO-PO Mapping'!S$4,$AD$29,0),IF('CO-PO Mapping'!S$5,$AE$29,0),IF('CO-PO Mapping'!S$6,$AF$29,0),IF('CO-PO Mapping'!S$7,$AG$29,0))=0), "-", IF(SUM(IF('CO-PO Mapping'!S$2,$AH64*$AB$29,0),IF('CO-PO Mapping'!S$3,$AI64*$AC$29,0),IF('CO-PO Mapping'!S$4,$AJ64*$AD$29,0),IF('CO-PO Mapping'!S$5,$AK64*$AE$29,0),IF('CO-PO Mapping'!S$6,$AL64*$AF$29,0),IF('CO-PO Mapping'!S$7,$AM64*$AG$29,0))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4" s="95" t="str">
        <f>IF('CO-PO Mapping'!T$2, IF(OR($AN64="-",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IF(OR($AP64="-", SUM( IF('CO-PO Mapping'!T$2,$AB$29,0), IF('CO-PO Mapping'!T$3,$AC$29,0), IF('CO-PO Mapping'!T$4,$AD$29,0), IF('CO-PO Mapping'!T$5,$AE$29,0), IF('CO-PO Mapping'!T$6,$AF$29,0), IF('CO-PO Mapping'!T$7,$AG$29,0) )=0), "-", IF( SUM( IF('CO-PO Mapping'!T$2,$AH64*$AB$29,0), IF('CO-PO Mapping'!T$3,$AI64*$AC$29,0), IF('CO-PO Mapping'!T$4,$AJ64*$AD$29,0), IF('CO-PO Mapping'!T$5,$AK64*$AE$29,0), IF('CO-PO Mapping'!T$6,$AL64*$AF$29,0), IF('CO-PO Mapping'!T$7,$AM64*$AG$29,0)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IF('CO-PO Mapping'!T$6, IF(OR($AR64="-",SUM(IF('CO-PO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IF('CO-PO Mapping'!T$7, IF(OR($AS64="-",SUM(IF('CO-PO Mapping'!T$2,$AB$29,0),IF('CO-PO Mapping'!T$3,$AC$29,0),IF('CO-PO Mapping'!T$4,$AD$29,0),IF('CO-PO Mapping'!T$5,$AE$29,0),IF('CO-PO Mapping'!T$6,$AF$29,0),IF('CO-PO Mapping'!T$7,$AG$29,0))=0), "-", IF(SUM(IF('CO-PO Mapping'!T$2,$AH64*$AB$29,0),IF('CO-PO Mapping'!T$3,$AI64*$AC$29,0),IF('CO-PO Mapping'!T$4,$AJ64*$AD$29,0),IF('CO-PO Mapping'!T$5,$AK64*$AE$29,0),IF('CO-PO Mapping'!T$6,$AL64*$AF$29,0),IF('CO-PO Mapping'!T$7,$AM64*$AG$29,0))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4" s="95" t="str">
        <f>IF('CO-PO Mapping'!U$2, IF(OR($AN64="-",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IF(OR($AP64="-", SUM( IF('CO-PO Mapping'!U$2,$AB$29,0), IF('CO-PO Mapping'!U$3,$AC$29,0), IF('CO-PO Mapping'!U$4,$AD$29,0), IF('CO-PO Mapping'!U$5,$AE$29,0), IF('CO-PO Mapping'!U$6,$AF$29,0), IF('CO-PO Mapping'!U$7,$AG$29,0) )=0), "-", IF( SUM( IF('CO-PO Mapping'!U$2,$AH64*$AB$29,0), IF('CO-PO Mapping'!U$3,$AI64*$AC$29,0), IF('CO-PO Mapping'!U$4,$AJ64*$AD$29,0), IF('CO-PO Mapping'!U$5,$AK64*$AE$29,0), IF('CO-PO Mapping'!U$6,$AL64*$AF$29,0), IF('CO-PO Mapping'!U$7,$AM64*$AG$29,0)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IF('CO-PO Mapping'!U$6, IF(OR($AR64="-",SUM(IF('CO-PO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IF('CO-PO Mapping'!U$7, IF(OR($AS64="-",SUM(IF('CO-PO Mapping'!U$2,$AB$29,0),IF('CO-PO Mapping'!U$3,$AC$29,0),IF('CO-PO Mapping'!U$4,$AD$29,0),IF('CO-PO Mapping'!U$5,$AE$29,0),IF('CO-PO Mapping'!U$6,$AF$29,0),IF('CO-PO Mapping'!U$7,$AG$29,0))=0), "-", IF(SUM(IF('CO-PO Mapping'!U$2,$AH64*$AB$29,0),IF('CO-PO Mapping'!U$3,$AI64*$AC$29,0),IF('CO-PO Mapping'!U$4,$AJ64*$AD$29,0),IF('CO-PO Mapping'!U$5,$AK64*$AE$29,0),IF('CO-PO Mapping'!U$6,$AL64*$AF$29,0),IF('CO-PO Mapping'!U$7,$AM64*$AG$29,0))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4" s="95" t="str">
        <f>IF('CO-PO Mapping'!V$2, IF(OR($AN64="-",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IF(OR($AP64="-", SUM( IF('CO-PO Mapping'!V$2,$AB$29,0), IF('CO-PO Mapping'!V$3,$AC$29,0), IF('CO-PO Mapping'!V$4,$AD$29,0), IF('CO-PO Mapping'!V$5,$AE$29,0), IF('CO-PO Mapping'!V$6,$AF$29,0), IF('CO-PO Mapping'!V$7,$AG$29,0) )=0), "-", IF( SUM( IF('CO-PO Mapping'!V$2,$AH64*$AB$29,0), IF('CO-PO Mapping'!V$3,$AI64*$AC$29,0), IF('CO-PO Mapping'!V$4,$AJ64*$AD$29,0), IF('CO-PO Mapping'!V$5,$AK64*$AE$29,0), IF('CO-PO Mapping'!V$6,$AL64*$AF$29,0), IF('CO-PO Mapping'!V$7,$AM64*$AG$29,0)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IF('CO-PO Mapping'!V$6, IF(OR($AR64="-",SUM(IF('CO-PO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IF('CO-PO Mapping'!V$7, IF(OR($AS64="-",SUM(IF('CO-PO Mapping'!V$2,$AB$29,0),IF('CO-PO Mapping'!V$3,$AC$29,0),IF('CO-PO Mapping'!V$4,$AD$29,0),IF('CO-PO Mapping'!V$5,$AE$29,0),IF('CO-PO Mapping'!V$6,$AF$29,0),IF('CO-PO Mapping'!V$7,$AG$29,0))=0), "-", IF(SUM(IF('CO-PO Mapping'!V$2,$AH64*$AB$29,0),IF('CO-PO Mapping'!V$3,$AI64*$AC$29,0),IF('CO-PO Mapping'!V$4,$AJ64*$AD$29,0),IF('CO-PO Mapping'!V$5,$AK64*$AE$29,0),IF('CO-PO Mapping'!V$6,$AL64*$AF$29,0),IF('CO-PO Mapping'!V$7,$AM64*$AG$29,0))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4" s="95" t="str">
        <f>IF('CO-PO Mapping'!W$2, IF(OR($AN64="-",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IF(OR($AP64="-", SUM( IF('CO-PO Mapping'!W$2,$AB$29,0), IF('CO-PO Mapping'!W$3,$AC$29,0), IF('CO-PO Mapping'!W$4,$AD$29,0), IF('CO-PO Mapping'!W$5,$AE$29,0), IF('CO-PO Mapping'!W$6,$AF$29,0), IF('CO-PO Mapping'!W$7,$AG$29,0) )=0), "-", IF( SUM( IF('CO-PO Mapping'!W$2,$AH64*$AB$29,0), IF('CO-PO Mapping'!W$3,$AI64*$AC$29,0), IF('CO-PO Mapping'!W$4,$AJ64*$AD$29,0), IF('CO-PO Mapping'!W$5,$AK64*$AE$29,0), IF('CO-PO Mapping'!W$6,$AL64*$AF$29,0), IF('CO-PO Mapping'!W$7,$AM64*$AG$29,0)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IF('CO-PO Mapping'!W$6, IF(OR($AR64="-",SUM(IF('CO-PO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IF('CO-PO Mapping'!W$7, IF(OR($AS64="-",SUM(IF('CO-PO Mapping'!W$2,$AB$29,0),IF('CO-PO Mapping'!W$3,$AC$29,0),IF('CO-PO Mapping'!W$4,$AD$29,0),IF('CO-PO Mapping'!W$5,$AE$29,0),IF('CO-PO Mapping'!W$6,$AF$29,0),IF('CO-PO Mapping'!W$7,$AG$29,0))=0), "-", IF(SUM(IF('CO-PO Mapping'!W$2,$AH64*$AB$29,0),IF('CO-PO Mapping'!W$3,$AI64*$AC$29,0),IF('CO-PO Mapping'!W$4,$AJ64*$AD$29,0),IF('CO-PO Mapping'!W$5,$AK64*$AE$29,0),IF('CO-PO Mapping'!W$6,$AL64*$AF$29,0),IF('CO-PO Mapping'!W$7,$AM64*$AG$29,0))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4" s="95" t="str">
        <f>IF('CO-PO Mapping'!X$2, IF(OR($AN64="-",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IF(OR($AP64="-", SUM( IF('CO-PO Mapping'!X$2,$AB$29,0), IF('CO-PO Mapping'!X$3,$AC$29,0), IF('CO-PO Mapping'!X$4,$AD$29,0), IF('CO-PO Mapping'!X$5,$AE$29,0), IF('CO-PO Mapping'!X$6,$AF$29,0), IF('CO-PO Mapping'!X$7,$AG$29,0) )=0), "-", IF( SUM( IF('CO-PO Mapping'!X$2,$AH64*$AB$29,0), IF('CO-PO Mapping'!X$3,$AI64*$AC$29,0), IF('CO-PO Mapping'!X$4,$AJ64*$AD$29,0), IF('CO-PO Mapping'!X$5,$AK64*$AE$29,0), IF('CO-PO Mapping'!X$6,$AL64*$AF$29,0), IF('CO-PO Mapping'!X$7,$AM64*$AG$29,0)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IF('CO-PO Mapping'!X$6, IF(OR($AR64="-",SUM(IF('CO-PO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IF('CO-PO Mapping'!X$7, IF(OR($AS64="-",SUM(IF('CO-PO Mapping'!X$2,$AB$29,0),IF('CO-PO Mapping'!X$3,$AC$29,0),IF('CO-PO Mapping'!X$4,$AD$29,0),IF('CO-PO Mapping'!X$5,$AE$29,0),IF('CO-PO Mapping'!X$6,$AF$29,0),IF('CO-PO Mapping'!X$7,$AG$29,0))=0), "-", IF(SUM(IF('CO-PO Mapping'!X$2,$AH64*$AB$29,0),IF('CO-PO Mapping'!X$3,$AI64*$AC$29,0),IF('CO-PO Mapping'!X$4,$AJ64*$AD$29,0),IF('CO-PO Mapping'!X$5,$AK64*$AE$29,0),IF('CO-PO Mapping'!X$6,$AL64*$AF$29,0),IF('CO-PO Mapping'!X$7,$AM64*$AG$29,0))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4" s="95" t="str">
        <f>IF('CO-PO Mapping'!Y$2, IF(OR($AN64="-",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IF(OR($AP64="-", SUM( IF('CO-PO Mapping'!Y$2,$AB$29,0), IF('CO-PO Mapping'!Y$3,$AC$29,0), IF('CO-PO Mapping'!Y$4,$AD$29,0), IF('CO-PO Mapping'!Y$5,$AE$29,0), IF('CO-PO Mapping'!Y$6,$AF$29,0), IF('CO-PO Mapping'!Y$7,$AG$29,0) )=0), "-", IF( SUM( IF('CO-PO Mapping'!Y$2,$AH64*$AB$29,0), IF('CO-PO Mapping'!Y$3,$AI64*$AC$29,0), IF('CO-PO Mapping'!Y$4,$AJ64*$AD$29,0), IF('CO-PO Mapping'!Y$5,$AK64*$AE$29,0), IF('CO-PO Mapping'!Y$6,$AL64*$AF$29,0), IF('CO-PO Mapping'!Y$7,$AM64*$AG$29,0)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IF('CO-PO Mapping'!Y$6, IF(OR($AR64="-",SUM(IF('CO-PO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IF('CO-PO Mapping'!Y$7, IF(OR($AS64="-",SUM(IF('CO-PO Mapping'!Y$2,$AB$29,0),IF('CO-PO Mapping'!Y$3,$AC$29,0),IF('CO-PO Mapping'!Y$4,$AD$29,0),IF('CO-PO Mapping'!Y$5,$AE$29,0),IF('CO-PO Mapping'!Y$6,$AF$29,0),IF('CO-PO Mapping'!Y$7,$AG$29,0))=0), "-", IF(SUM(IF('CO-PO Mapping'!Y$2,$AH64*$AB$29,0),IF('CO-PO Mapping'!Y$3,$AI64*$AC$29,0),IF('CO-PO Mapping'!Y$4,$AJ64*$AD$29,0),IF('CO-PO Mapping'!Y$5,$AK64*$AE$29,0),IF('CO-PO Mapping'!Y$6,$AL64*$AF$29,0),IF('CO-PO Mapping'!Y$7,$AM64*$AG$29,0))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4" s="95" t="str">
        <f>IF('CO-PO Mapping'!Z$2, IF(OR($AN64="-",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IF(OR($AP64="-", SUM( IF('CO-PO Mapping'!Z$2,$AB$29,0), IF('CO-PO Mapping'!Z$3,$AC$29,0), IF('CO-PO Mapping'!Z$4,$AD$29,0), IF('CO-PO Mapping'!Z$5,$AE$29,0), IF('CO-PO Mapping'!Z$6,$AF$29,0), IF('CO-PO Mapping'!Z$7,$AG$29,0) )=0), "-", IF( SUM( IF('CO-PO Mapping'!Z$2,$AH64*$AB$29,0), IF('CO-PO Mapping'!Z$3,$AI64*$AC$29,0), IF('CO-PO Mapping'!Z$4,$AJ64*$AD$29,0), IF('CO-PO Mapping'!Z$5,$AK64*$AE$29,0), IF('CO-PO Mapping'!Z$6,$AL64*$AF$29,0), IF('CO-PO Mapping'!Z$7,$AM64*$AG$29,0)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IF('CO-PO Mapping'!Z$6, IF(OR($AR64="-",SUM(IF('CO-PO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IF('CO-PO Mapping'!Z$7, IF(OR($AS64="-",SUM(IF('CO-PO Mapping'!Z$2,$AB$29,0),IF('CO-PO Mapping'!Z$3,$AC$29,0),IF('CO-PO Mapping'!Z$4,$AD$29,0),IF('CO-PO Mapping'!Z$5,$AE$29,0),IF('CO-PO Mapping'!Z$6,$AF$29,0),IF('CO-PO Mapping'!Z$7,$AG$29,0))=0), "-", IF(SUM(IF('CO-PO Mapping'!Z$2,$AH64*$AB$29,0),IF('CO-PO Mapping'!Z$3,$AI64*$AC$29,0),IF('CO-PO Mapping'!Z$4,$AJ64*$AD$29,0),IF('CO-PO Mapping'!Z$5,$AK64*$AE$29,0),IF('CO-PO Mapping'!Z$6,$AL64*$AF$29,0),IF('CO-PO Mapping'!Z$7,$AM64*$AG$29,0))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5" spans="1:57" ht="15" customHeight="1" thickBot="1">
      <c r="A65" s="110">
        <v>22235103587</v>
      </c>
      <c r="B65" s="111" t="s">
        <v>182</v>
      </c>
      <c r="C65" s="70">
        <v>4</v>
      </c>
      <c r="D65" s="70"/>
      <c r="E65" s="71">
        <v>20</v>
      </c>
      <c r="F65" s="70"/>
      <c r="G65" s="71"/>
      <c r="H65" s="103">
        <f t="shared" si="2"/>
        <v>24</v>
      </c>
      <c r="I65" s="75">
        <v>8</v>
      </c>
      <c r="J65" s="75">
        <v>5</v>
      </c>
      <c r="K65" s="75">
        <v>5</v>
      </c>
      <c r="L65" s="75"/>
      <c r="M65" s="75"/>
      <c r="N65" s="75"/>
      <c r="O65" s="105">
        <f t="shared" si="3"/>
        <v>18</v>
      </c>
      <c r="P65" s="75">
        <v>12</v>
      </c>
      <c r="Q65" s="75">
        <v>13</v>
      </c>
      <c r="R65" s="75"/>
      <c r="S65" s="75"/>
      <c r="T65" s="75"/>
      <c r="U65" s="75"/>
      <c r="V65" s="104">
        <f t="shared" si="4"/>
        <v>25</v>
      </c>
      <c r="W65" s="83">
        <f t="shared" si="5"/>
        <v>67</v>
      </c>
      <c r="X65" s="98" t="str">
        <f t="shared" si="10"/>
        <v>B (Plus)</v>
      </c>
      <c r="Y65" s="47"/>
      <c r="Z65" s="42">
        <f t="shared" si="26"/>
        <v>22235103587</v>
      </c>
      <c r="AA65" s="43" t="str">
        <f t="shared" si="27"/>
        <v>Ahmad Yasir Rahat</v>
      </c>
      <c r="AB65" s="90">
        <f t="shared" si="11"/>
        <v>32</v>
      </c>
      <c r="AC65" s="90">
        <f t="shared" si="11"/>
        <v>17</v>
      </c>
      <c r="AD65" s="90">
        <f t="shared" si="11"/>
        <v>18</v>
      </c>
      <c r="AE65" s="90">
        <f t="shared" si="11"/>
        <v>0</v>
      </c>
      <c r="AF65" s="90">
        <f t="shared" si="11"/>
        <v>0</v>
      </c>
      <c r="AG65" s="90">
        <f t="shared" si="25"/>
        <v>0</v>
      </c>
      <c r="AH65" s="92">
        <f t="shared" si="12"/>
        <v>80</v>
      </c>
      <c r="AI65" s="92">
        <f t="shared" si="13"/>
        <v>56.666666666666664</v>
      </c>
      <c r="AJ65" s="92">
        <f t="shared" si="14"/>
        <v>60</v>
      </c>
      <c r="AK65" s="92">
        <f t="shared" si="22"/>
        <v>0</v>
      </c>
      <c r="AL65" s="92">
        <f t="shared" si="15"/>
        <v>0</v>
      </c>
      <c r="AM65" s="92">
        <f t="shared" si="16"/>
        <v>0</v>
      </c>
      <c r="AN65" s="93" t="str">
        <f t="shared" si="23"/>
        <v>Y</v>
      </c>
      <c r="AO65" s="93" t="str">
        <f t="shared" si="17"/>
        <v>Y</v>
      </c>
      <c r="AP65" s="93" t="str">
        <f t="shared" si="18"/>
        <v>Y</v>
      </c>
      <c r="AQ65" s="93" t="str">
        <f t="shared" si="19"/>
        <v>N</v>
      </c>
      <c r="AR65" s="93" t="str">
        <f t="shared" si="20"/>
        <v>N</v>
      </c>
      <c r="AS65" s="93" t="str">
        <f t="shared" si="21"/>
        <v>N</v>
      </c>
      <c r="AT65" s="95" t="str">
        <f>IF('CO-PO Mapping'!O$2, IF(OR($AN65="-",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IF(OR($AP65="-", SUM( IF('CO-PO Mapping'!O$2,$AB$29,0), IF('CO-PO Mapping'!O$3,$AC$29,0), IF('CO-PO Mapping'!O$4,$AD$29,0), IF('CO-PO Mapping'!O$5,$AE$29,0), IF('CO-PO Mapping'!O$6,$AF$29,0), IF('CO-PO Mapping'!O$7,$AG$29,0) )=0), "-", IF( SUM( IF('CO-PO Mapping'!O$2,$AH65*$AB$29,0), IF('CO-PO Mapping'!O$3,$AI65*$AC$29,0), IF('CO-PO Mapping'!O$4,$AJ65*$AD$29,0), IF('CO-PO Mapping'!O$5,$AK65*$AE$29,0), IF('CO-PO Mapping'!O$6,$AL65*$AF$29,0), IF('CO-PO Mapping'!O$7,$AM65*$AG$29,0)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IF('CO-PO Mapping'!O$6, IF(OR($AR65="-",SUM(IF('CO-PO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IF('CO-PO Mapping'!O$7, IF(OR($AS65="-",SUM(IF('CO-PO Mapping'!O$2,$AB$29,0),IF('CO-PO Mapping'!O$3,$AC$29,0),IF('CO-PO Mapping'!O$4,$AD$29,0),IF('CO-PO Mapping'!O$5,$AE$29,0),IF('CO-PO Mapping'!O$6,$AF$29,0),IF('CO-PO Mapping'!O$7,$AG$29,0))=0), "-", IF(SUM(IF('CO-PO Mapping'!O$2,$AH65*$AB$29,0),IF('CO-PO Mapping'!O$3,$AI65*$AC$29,0),IF('CO-PO Mapping'!O$4,$AJ65*$AD$29,0),IF('CO-PO Mapping'!O$5,$AK65*$AE$29,0),IF('CO-PO Mapping'!O$6,$AL65*$AF$29,0),IF('CO-PO Mapping'!O$7,$AM65*$AG$29,0))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5" s="95" t="str">
        <f>IF('CO-PO Mapping'!P$2, IF(OR($AN65="-",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IF(OR($AP65="-", SUM( IF('CO-PO Mapping'!P$2,$AB$29,0), IF('CO-PO Mapping'!P$3,$AC$29,0), IF('CO-PO Mapping'!P$4,$AD$29,0), IF('CO-PO Mapping'!P$5,$AE$29,0), IF('CO-PO Mapping'!P$6,$AF$29,0), IF('CO-PO Mapping'!P$7,$AG$29,0) )=0), "-", IF( SUM( IF('CO-PO Mapping'!P$2,$AH65*$AB$29,0), IF('CO-PO Mapping'!P$3,$AI65*$AC$29,0), IF('CO-PO Mapping'!P$4,$AJ65*$AD$29,0), IF('CO-PO Mapping'!P$5,$AK65*$AE$29,0), IF('CO-PO Mapping'!P$6,$AL65*$AF$29,0), IF('CO-PO Mapping'!P$7,$AM65*$AG$29,0)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IF('CO-PO Mapping'!P$6, IF(OR($AR65="-",SUM(IF('CO-PO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IF('CO-PO Mapping'!P$7, IF(OR($AS65="-",SUM(IF('CO-PO Mapping'!P$2,$AB$29,0),IF('CO-PO Mapping'!P$3,$AC$29,0),IF('CO-PO Mapping'!P$4,$AD$29,0),IF('CO-PO Mapping'!P$5,$AE$29,0),IF('CO-PO Mapping'!P$6,$AF$29,0),IF('CO-PO Mapping'!P$7,$AG$29,0))=0), "-", IF(SUM(IF('CO-PO Mapping'!P$2,$AH65*$AB$29,0),IF('CO-PO Mapping'!P$3,$AI65*$AC$29,0),IF('CO-PO Mapping'!P$4,$AJ65*$AD$29,0),IF('CO-PO Mapping'!P$5,$AK65*$AE$29,0),IF('CO-PO Mapping'!P$6,$AL65*$AF$29,0),IF('CO-PO Mapping'!P$7,$AM65*$AG$29,0))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5" s="95" t="str">
        <f>IF('CO-PO Mapping'!Q$2, IF(OR($AN65="-",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IF(OR($AP65="-", SUM( IF('CO-PO Mapping'!Q$2,$AB$29,0), IF('CO-PO Mapping'!Q$3,$AC$29,0), IF('CO-PO Mapping'!Q$4,$AD$29,0), IF('CO-PO Mapping'!Q$5,$AE$29,0), IF('CO-PO Mapping'!Q$6,$AF$29,0), IF('CO-PO Mapping'!Q$7,$AG$29,0) )=0), "-", IF( SUM( IF('CO-PO Mapping'!Q$2,$AH65*$AB$29,0), IF('CO-PO Mapping'!Q$3,$AI65*$AC$29,0), IF('CO-PO Mapping'!Q$4,$AJ65*$AD$29,0), IF('CO-PO Mapping'!Q$5,$AK65*$AE$29,0), IF('CO-PO Mapping'!Q$6,$AL65*$AF$29,0), IF('CO-PO Mapping'!Q$7,$AM65*$AG$29,0)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IF('CO-PO Mapping'!Q$6, IF(OR($AR65="-",SUM(IF('CO-PO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IF('CO-PO Mapping'!Q$7, IF(OR($AS65="-",SUM(IF('CO-PO Mapping'!Q$2,$AB$29,0),IF('CO-PO Mapping'!Q$3,$AC$29,0),IF('CO-PO Mapping'!Q$4,$AD$29,0),IF('CO-PO Mapping'!Q$5,$AE$29,0),IF('CO-PO Mapping'!Q$6,$AF$29,0),IF('CO-PO Mapping'!Q$7,$AG$29,0))=0), "-", IF(SUM(IF('CO-PO Mapping'!Q$2,$AH65*$AB$29,0),IF('CO-PO Mapping'!Q$3,$AI65*$AC$29,0),IF('CO-PO Mapping'!Q$4,$AJ65*$AD$29,0),IF('CO-PO Mapping'!Q$5,$AK65*$AE$29,0),IF('CO-PO Mapping'!Q$6,$AL65*$AF$29,0),IF('CO-PO Mapping'!Q$7,$AM65*$AG$29,0))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5" s="95" t="str">
        <f>IF('CO-PO Mapping'!R$2, IF(OR($AN65="-",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IF(OR($AP65="-", SUM( IF('CO-PO Mapping'!R$2,$AB$29,0), IF('CO-PO Mapping'!R$3,$AC$29,0), IF('CO-PO Mapping'!R$4,$AD$29,0), IF('CO-PO Mapping'!R$5,$AE$29,0), IF('CO-PO Mapping'!R$6,$AF$29,0), IF('CO-PO Mapping'!R$7,$AG$29,0) )=0), "-", IF( SUM( IF('CO-PO Mapping'!R$2,$AH65*$AB$29,0), IF('CO-PO Mapping'!R$3,$AI65*$AC$29,0), IF('CO-PO Mapping'!R$4,$AJ65*$AD$29,0), IF('CO-PO Mapping'!R$5,$AK65*$AE$29,0), IF('CO-PO Mapping'!R$6,$AL65*$AF$29,0), IF('CO-PO Mapping'!R$7,$AM65*$AG$29,0)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IF('CO-PO Mapping'!R$6, IF(OR($AR65="-",SUM(IF('CO-PO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IF('CO-PO Mapping'!R$7, IF(OR($AS65="-",SUM(IF('CO-PO Mapping'!R$2,$AB$29,0),IF('CO-PO Mapping'!R$3,$AC$29,0),IF('CO-PO Mapping'!R$4,$AD$29,0),IF('CO-PO Mapping'!R$5,$AE$29,0),IF('CO-PO Mapping'!R$6,$AF$29,0),IF('CO-PO Mapping'!R$7,$AG$29,0))=0), "-", IF(SUM(IF('CO-PO Mapping'!R$2,$AH65*$AB$29,0),IF('CO-PO Mapping'!R$3,$AI65*$AC$29,0),IF('CO-PO Mapping'!R$4,$AJ65*$AD$29,0),IF('CO-PO Mapping'!R$5,$AK65*$AE$29,0),IF('CO-PO Mapping'!R$6,$AL65*$AF$29,0),IF('CO-PO Mapping'!R$7,$AM65*$AG$29,0))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5" s="95" t="str">
        <f>IF('CO-PO Mapping'!S$2, IF(OR($AN65="-",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IF(OR($AP65="-", SUM( IF('CO-PO Mapping'!S$2,$AB$29,0), IF('CO-PO Mapping'!S$3,$AC$29,0), IF('CO-PO Mapping'!S$4,$AD$29,0), IF('CO-PO Mapping'!S$5,$AE$29,0), IF('CO-PO Mapping'!S$6,$AF$29,0), IF('CO-PO Mapping'!S$7,$AG$29,0) )=0), "-", IF( SUM( IF('CO-PO Mapping'!S$2,$AH65*$AB$29,0), IF('CO-PO Mapping'!S$3,$AI65*$AC$29,0), IF('CO-PO Mapping'!S$4,$AJ65*$AD$29,0), IF('CO-PO Mapping'!S$5,$AK65*$AE$29,0), IF('CO-PO Mapping'!S$6,$AL65*$AF$29,0), IF('CO-PO Mapping'!S$7,$AM65*$AG$29,0)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IF('CO-PO Mapping'!S$6, IF(OR($AR65="-",SUM(IF('CO-PO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IF('CO-PO Mapping'!S$7, IF(OR($AS65="-",SUM(IF('CO-PO Mapping'!S$2,$AB$29,0),IF('CO-PO Mapping'!S$3,$AC$29,0),IF('CO-PO Mapping'!S$4,$AD$29,0),IF('CO-PO Mapping'!S$5,$AE$29,0),IF('CO-PO Mapping'!S$6,$AF$29,0),IF('CO-PO Mapping'!S$7,$AG$29,0))=0), "-", IF(SUM(IF('CO-PO Mapping'!S$2,$AH65*$AB$29,0),IF('CO-PO Mapping'!S$3,$AI65*$AC$29,0),IF('CO-PO Mapping'!S$4,$AJ65*$AD$29,0),IF('CO-PO Mapping'!S$5,$AK65*$AE$29,0),IF('CO-PO Mapping'!S$6,$AL65*$AF$29,0),IF('CO-PO Mapping'!S$7,$AM65*$AG$29,0))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5" s="95" t="str">
        <f>IF('CO-PO Mapping'!T$2, IF(OR($AN65="-",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IF(OR($AP65="-", SUM( IF('CO-PO Mapping'!T$2,$AB$29,0), IF('CO-PO Mapping'!T$3,$AC$29,0), IF('CO-PO Mapping'!T$4,$AD$29,0), IF('CO-PO Mapping'!T$5,$AE$29,0), IF('CO-PO Mapping'!T$6,$AF$29,0), IF('CO-PO Mapping'!T$7,$AG$29,0) )=0), "-", IF( SUM( IF('CO-PO Mapping'!T$2,$AH65*$AB$29,0), IF('CO-PO Mapping'!T$3,$AI65*$AC$29,0), IF('CO-PO Mapping'!T$4,$AJ65*$AD$29,0), IF('CO-PO Mapping'!T$5,$AK65*$AE$29,0), IF('CO-PO Mapping'!T$6,$AL65*$AF$29,0), IF('CO-PO Mapping'!T$7,$AM65*$AG$29,0)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IF('CO-PO Mapping'!T$6, IF(OR($AR65="-",SUM(IF('CO-PO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IF('CO-PO Mapping'!T$7, IF(OR($AS65="-",SUM(IF('CO-PO Mapping'!T$2,$AB$29,0),IF('CO-PO Mapping'!T$3,$AC$29,0),IF('CO-PO Mapping'!T$4,$AD$29,0),IF('CO-PO Mapping'!T$5,$AE$29,0),IF('CO-PO Mapping'!T$6,$AF$29,0),IF('CO-PO Mapping'!T$7,$AG$29,0))=0), "-", IF(SUM(IF('CO-PO Mapping'!T$2,$AH65*$AB$29,0),IF('CO-PO Mapping'!T$3,$AI65*$AC$29,0),IF('CO-PO Mapping'!T$4,$AJ65*$AD$29,0),IF('CO-PO Mapping'!T$5,$AK65*$AE$29,0),IF('CO-PO Mapping'!T$6,$AL65*$AF$29,0),IF('CO-PO Mapping'!T$7,$AM65*$AG$29,0))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5" s="95" t="str">
        <f>IF('CO-PO Mapping'!U$2, IF(OR($AN65="-",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IF(OR($AP65="-", SUM( IF('CO-PO Mapping'!U$2,$AB$29,0), IF('CO-PO Mapping'!U$3,$AC$29,0), IF('CO-PO Mapping'!U$4,$AD$29,0), IF('CO-PO Mapping'!U$5,$AE$29,0), IF('CO-PO Mapping'!U$6,$AF$29,0), IF('CO-PO Mapping'!U$7,$AG$29,0) )=0), "-", IF( SUM( IF('CO-PO Mapping'!U$2,$AH65*$AB$29,0), IF('CO-PO Mapping'!U$3,$AI65*$AC$29,0), IF('CO-PO Mapping'!U$4,$AJ65*$AD$29,0), IF('CO-PO Mapping'!U$5,$AK65*$AE$29,0), IF('CO-PO Mapping'!U$6,$AL65*$AF$29,0), IF('CO-PO Mapping'!U$7,$AM65*$AG$29,0)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IF('CO-PO Mapping'!U$6, IF(OR($AR65="-",SUM(IF('CO-PO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IF('CO-PO Mapping'!U$7, IF(OR($AS65="-",SUM(IF('CO-PO Mapping'!U$2,$AB$29,0),IF('CO-PO Mapping'!U$3,$AC$29,0),IF('CO-PO Mapping'!U$4,$AD$29,0),IF('CO-PO Mapping'!U$5,$AE$29,0),IF('CO-PO Mapping'!U$6,$AF$29,0),IF('CO-PO Mapping'!U$7,$AG$29,0))=0), "-", IF(SUM(IF('CO-PO Mapping'!U$2,$AH65*$AB$29,0),IF('CO-PO Mapping'!U$3,$AI65*$AC$29,0),IF('CO-PO Mapping'!U$4,$AJ65*$AD$29,0),IF('CO-PO Mapping'!U$5,$AK65*$AE$29,0),IF('CO-PO Mapping'!U$6,$AL65*$AF$29,0),IF('CO-PO Mapping'!U$7,$AM65*$AG$29,0))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5" s="95" t="str">
        <f>IF('CO-PO Mapping'!V$2, IF(OR($AN65="-",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IF(OR($AP65="-", SUM( IF('CO-PO Mapping'!V$2,$AB$29,0), IF('CO-PO Mapping'!V$3,$AC$29,0), IF('CO-PO Mapping'!V$4,$AD$29,0), IF('CO-PO Mapping'!V$5,$AE$29,0), IF('CO-PO Mapping'!V$6,$AF$29,0), IF('CO-PO Mapping'!V$7,$AG$29,0) )=0), "-", IF( SUM( IF('CO-PO Mapping'!V$2,$AH65*$AB$29,0), IF('CO-PO Mapping'!V$3,$AI65*$AC$29,0), IF('CO-PO Mapping'!V$4,$AJ65*$AD$29,0), IF('CO-PO Mapping'!V$5,$AK65*$AE$29,0), IF('CO-PO Mapping'!V$6,$AL65*$AF$29,0), IF('CO-PO Mapping'!V$7,$AM65*$AG$29,0)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IF('CO-PO Mapping'!V$6, IF(OR($AR65="-",SUM(IF('CO-PO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IF('CO-PO Mapping'!V$7, IF(OR($AS65="-",SUM(IF('CO-PO Mapping'!V$2,$AB$29,0),IF('CO-PO Mapping'!V$3,$AC$29,0),IF('CO-PO Mapping'!V$4,$AD$29,0),IF('CO-PO Mapping'!V$5,$AE$29,0),IF('CO-PO Mapping'!V$6,$AF$29,0),IF('CO-PO Mapping'!V$7,$AG$29,0))=0), "-", IF(SUM(IF('CO-PO Mapping'!V$2,$AH65*$AB$29,0),IF('CO-PO Mapping'!V$3,$AI65*$AC$29,0),IF('CO-PO Mapping'!V$4,$AJ65*$AD$29,0),IF('CO-PO Mapping'!V$5,$AK65*$AE$29,0),IF('CO-PO Mapping'!V$6,$AL65*$AF$29,0),IF('CO-PO Mapping'!V$7,$AM65*$AG$29,0))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5" s="95" t="str">
        <f>IF('CO-PO Mapping'!W$2, IF(OR($AN65="-",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IF(OR($AP65="-", SUM( IF('CO-PO Mapping'!W$2,$AB$29,0), IF('CO-PO Mapping'!W$3,$AC$29,0), IF('CO-PO Mapping'!W$4,$AD$29,0), IF('CO-PO Mapping'!W$5,$AE$29,0), IF('CO-PO Mapping'!W$6,$AF$29,0), IF('CO-PO Mapping'!W$7,$AG$29,0) )=0), "-", IF( SUM( IF('CO-PO Mapping'!W$2,$AH65*$AB$29,0), IF('CO-PO Mapping'!W$3,$AI65*$AC$29,0), IF('CO-PO Mapping'!W$4,$AJ65*$AD$29,0), IF('CO-PO Mapping'!W$5,$AK65*$AE$29,0), IF('CO-PO Mapping'!W$6,$AL65*$AF$29,0), IF('CO-PO Mapping'!W$7,$AM65*$AG$29,0)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IF('CO-PO Mapping'!W$6, IF(OR($AR65="-",SUM(IF('CO-PO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IF('CO-PO Mapping'!W$7, IF(OR($AS65="-",SUM(IF('CO-PO Mapping'!W$2,$AB$29,0),IF('CO-PO Mapping'!W$3,$AC$29,0),IF('CO-PO Mapping'!W$4,$AD$29,0),IF('CO-PO Mapping'!W$5,$AE$29,0),IF('CO-PO Mapping'!W$6,$AF$29,0),IF('CO-PO Mapping'!W$7,$AG$29,0))=0), "-", IF(SUM(IF('CO-PO Mapping'!W$2,$AH65*$AB$29,0),IF('CO-PO Mapping'!W$3,$AI65*$AC$29,0),IF('CO-PO Mapping'!W$4,$AJ65*$AD$29,0),IF('CO-PO Mapping'!W$5,$AK65*$AE$29,0),IF('CO-PO Mapping'!W$6,$AL65*$AF$29,0),IF('CO-PO Mapping'!W$7,$AM65*$AG$29,0))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5" s="95" t="str">
        <f>IF('CO-PO Mapping'!X$2, IF(OR($AN65="-",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IF(OR($AP65="-", SUM( IF('CO-PO Mapping'!X$2,$AB$29,0), IF('CO-PO Mapping'!X$3,$AC$29,0), IF('CO-PO Mapping'!X$4,$AD$29,0), IF('CO-PO Mapping'!X$5,$AE$29,0), IF('CO-PO Mapping'!X$6,$AF$29,0), IF('CO-PO Mapping'!X$7,$AG$29,0) )=0), "-", IF( SUM( IF('CO-PO Mapping'!X$2,$AH65*$AB$29,0), IF('CO-PO Mapping'!X$3,$AI65*$AC$29,0), IF('CO-PO Mapping'!X$4,$AJ65*$AD$29,0), IF('CO-PO Mapping'!X$5,$AK65*$AE$29,0), IF('CO-PO Mapping'!X$6,$AL65*$AF$29,0), IF('CO-PO Mapping'!X$7,$AM65*$AG$29,0)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IF('CO-PO Mapping'!X$6, IF(OR($AR65="-",SUM(IF('CO-PO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IF('CO-PO Mapping'!X$7, IF(OR($AS65="-",SUM(IF('CO-PO Mapping'!X$2,$AB$29,0),IF('CO-PO Mapping'!X$3,$AC$29,0),IF('CO-PO Mapping'!X$4,$AD$29,0),IF('CO-PO Mapping'!X$5,$AE$29,0),IF('CO-PO Mapping'!X$6,$AF$29,0),IF('CO-PO Mapping'!X$7,$AG$29,0))=0), "-", IF(SUM(IF('CO-PO Mapping'!X$2,$AH65*$AB$29,0),IF('CO-PO Mapping'!X$3,$AI65*$AC$29,0),IF('CO-PO Mapping'!X$4,$AJ65*$AD$29,0),IF('CO-PO Mapping'!X$5,$AK65*$AE$29,0),IF('CO-PO Mapping'!X$6,$AL65*$AF$29,0),IF('CO-PO Mapping'!X$7,$AM65*$AG$29,0))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5" s="95" t="str">
        <f>IF('CO-PO Mapping'!Y$2, IF(OR($AN65="-",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IF(OR($AP65="-", SUM( IF('CO-PO Mapping'!Y$2,$AB$29,0), IF('CO-PO Mapping'!Y$3,$AC$29,0), IF('CO-PO Mapping'!Y$4,$AD$29,0), IF('CO-PO Mapping'!Y$5,$AE$29,0), IF('CO-PO Mapping'!Y$6,$AF$29,0), IF('CO-PO Mapping'!Y$7,$AG$29,0) )=0), "-", IF( SUM( IF('CO-PO Mapping'!Y$2,$AH65*$AB$29,0), IF('CO-PO Mapping'!Y$3,$AI65*$AC$29,0), IF('CO-PO Mapping'!Y$4,$AJ65*$AD$29,0), IF('CO-PO Mapping'!Y$5,$AK65*$AE$29,0), IF('CO-PO Mapping'!Y$6,$AL65*$AF$29,0), IF('CO-PO Mapping'!Y$7,$AM65*$AG$29,0)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IF('CO-PO Mapping'!Y$6, IF(OR($AR65="-",SUM(IF('CO-PO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IF('CO-PO Mapping'!Y$7, IF(OR($AS65="-",SUM(IF('CO-PO Mapping'!Y$2,$AB$29,0),IF('CO-PO Mapping'!Y$3,$AC$29,0),IF('CO-PO Mapping'!Y$4,$AD$29,0),IF('CO-PO Mapping'!Y$5,$AE$29,0),IF('CO-PO Mapping'!Y$6,$AF$29,0),IF('CO-PO Mapping'!Y$7,$AG$29,0))=0), "-", IF(SUM(IF('CO-PO Mapping'!Y$2,$AH65*$AB$29,0),IF('CO-PO Mapping'!Y$3,$AI65*$AC$29,0),IF('CO-PO Mapping'!Y$4,$AJ65*$AD$29,0),IF('CO-PO Mapping'!Y$5,$AK65*$AE$29,0),IF('CO-PO Mapping'!Y$6,$AL65*$AF$29,0),IF('CO-PO Mapping'!Y$7,$AM65*$AG$29,0))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5" s="95" t="str">
        <f>IF('CO-PO Mapping'!Z$2, IF(OR($AN65="-",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IF(OR($AP65="-", SUM( IF('CO-PO Mapping'!Z$2,$AB$29,0), IF('CO-PO Mapping'!Z$3,$AC$29,0), IF('CO-PO Mapping'!Z$4,$AD$29,0), IF('CO-PO Mapping'!Z$5,$AE$29,0), IF('CO-PO Mapping'!Z$6,$AF$29,0), IF('CO-PO Mapping'!Z$7,$AG$29,0) )=0), "-", IF( SUM( IF('CO-PO Mapping'!Z$2,$AH65*$AB$29,0), IF('CO-PO Mapping'!Z$3,$AI65*$AC$29,0), IF('CO-PO Mapping'!Z$4,$AJ65*$AD$29,0), IF('CO-PO Mapping'!Z$5,$AK65*$AE$29,0), IF('CO-PO Mapping'!Z$6,$AL65*$AF$29,0), IF('CO-PO Mapping'!Z$7,$AM65*$AG$29,0)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IF('CO-PO Mapping'!Z$6, IF(OR($AR65="-",SUM(IF('CO-PO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IF('CO-PO Mapping'!Z$7, IF(OR($AS65="-",SUM(IF('CO-PO Mapping'!Z$2,$AB$29,0),IF('CO-PO Mapping'!Z$3,$AC$29,0),IF('CO-PO Mapping'!Z$4,$AD$29,0),IF('CO-PO Mapping'!Z$5,$AE$29,0),IF('CO-PO Mapping'!Z$6,$AF$29,0),IF('CO-PO Mapping'!Z$7,$AG$29,0))=0), "-", IF(SUM(IF('CO-PO Mapping'!Z$2,$AH65*$AB$29,0),IF('CO-PO Mapping'!Z$3,$AI65*$AC$29,0),IF('CO-PO Mapping'!Z$4,$AJ65*$AD$29,0),IF('CO-PO Mapping'!Z$5,$AK65*$AE$29,0),IF('CO-PO Mapping'!Z$6,$AL65*$AF$29,0),IF('CO-PO Mapping'!Z$7,$AM65*$AG$29,0))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6" spans="1:57" ht="15" customHeight="1" thickBot="1">
      <c r="A66" s="110">
        <v>22235103593</v>
      </c>
      <c r="B66" s="111" t="s">
        <v>183</v>
      </c>
      <c r="C66" s="70">
        <v>4</v>
      </c>
      <c r="D66" s="71"/>
      <c r="E66" s="71">
        <v>20</v>
      </c>
      <c r="F66" s="71"/>
      <c r="G66" s="71"/>
      <c r="H66" s="103">
        <f t="shared" si="2"/>
        <v>24</v>
      </c>
      <c r="I66" s="75">
        <v>8</v>
      </c>
      <c r="J66" s="75">
        <v>8</v>
      </c>
      <c r="K66" s="75">
        <v>6</v>
      </c>
      <c r="L66" s="75"/>
      <c r="M66" s="75"/>
      <c r="N66" s="75"/>
      <c r="O66" s="105">
        <f t="shared" si="3"/>
        <v>22</v>
      </c>
      <c r="P66" s="75">
        <v>16</v>
      </c>
      <c r="Q66" s="75">
        <v>16</v>
      </c>
      <c r="R66" s="75"/>
      <c r="S66" s="75"/>
      <c r="T66" s="75"/>
      <c r="U66" s="75"/>
      <c r="V66" s="104">
        <f t="shared" si="4"/>
        <v>32</v>
      </c>
      <c r="W66" s="83">
        <f t="shared" si="5"/>
        <v>78</v>
      </c>
      <c r="X66" s="98" t="str">
        <f t="shared" si="10"/>
        <v>A</v>
      </c>
      <c r="Y66" s="47"/>
      <c r="Z66" s="42">
        <f t="shared" si="26"/>
        <v>22235103593</v>
      </c>
      <c r="AA66" s="43" t="str">
        <f t="shared" si="27"/>
        <v>Sumya Akter Any</v>
      </c>
      <c r="AB66" s="90">
        <f t="shared" si="11"/>
        <v>32</v>
      </c>
      <c r="AC66" s="90">
        <f t="shared" si="11"/>
        <v>24</v>
      </c>
      <c r="AD66" s="90">
        <f t="shared" si="11"/>
        <v>22</v>
      </c>
      <c r="AE66" s="90">
        <f t="shared" si="11"/>
        <v>0</v>
      </c>
      <c r="AF66" s="90">
        <f t="shared" si="11"/>
        <v>0</v>
      </c>
      <c r="AG66" s="90">
        <f t="shared" si="25"/>
        <v>0</v>
      </c>
      <c r="AH66" s="92">
        <f t="shared" si="12"/>
        <v>80</v>
      </c>
      <c r="AI66" s="92">
        <f t="shared" si="13"/>
        <v>80</v>
      </c>
      <c r="AJ66" s="92">
        <f t="shared" si="14"/>
        <v>73.333333333333329</v>
      </c>
      <c r="AK66" s="92">
        <f t="shared" si="22"/>
        <v>0</v>
      </c>
      <c r="AL66" s="92">
        <f t="shared" si="15"/>
        <v>0</v>
      </c>
      <c r="AM66" s="92">
        <f t="shared" si="16"/>
        <v>0</v>
      </c>
      <c r="AN66" s="93" t="str">
        <f t="shared" si="23"/>
        <v>Y</v>
      </c>
      <c r="AO66" s="93" t="str">
        <f t="shared" si="17"/>
        <v>Y</v>
      </c>
      <c r="AP66" s="93" t="str">
        <f t="shared" si="18"/>
        <v>Y</v>
      </c>
      <c r="AQ66" s="93" t="str">
        <f t="shared" si="19"/>
        <v>N</v>
      </c>
      <c r="AR66" s="93" t="str">
        <f t="shared" si="20"/>
        <v>N</v>
      </c>
      <c r="AS66" s="93" t="str">
        <f t="shared" si="21"/>
        <v>N</v>
      </c>
      <c r="AT66" s="95" t="str">
        <f>IF('CO-PO Mapping'!O$2, IF(OR($AN66="-",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IF(OR($AP66="-", SUM( IF('CO-PO Mapping'!O$2,$AB$29,0), IF('CO-PO Mapping'!O$3,$AC$29,0), IF('CO-PO Mapping'!O$4,$AD$29,0), IF('CO-PO Mapping'!O$5,$AE$29,0), IF('CO-PO Mapping'!O$6,$AF$29,0), IF('CO-PO Mapping'!O$7,$AG$29,0) )=0), "-", IF( SUM( IF('CO-PO Mapping'!O$2,$AH66*$AB$29,0), IF('CO-PO Mapping'!O$3,$AI66*$AC$29,0), IF('CO-PO Mapping'!O$4,$AJ66*$AD$29,0), IF('CO-PO Mapping'!O$5,$AK66*$AE$29,0), IF('CO-PO Mapping'!O$6,$AL66*$AF$29,0), IF('CO-PO Mapping'!O$7,$AM66*$AG$29,0)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IF('CO-PO Mapping'!O$6, IF(OR($AR66="-",SUM(IF('CO-PO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IF('CO-PO Mapping'!O$7, IF(OR($AS66="-",SUM(IF('CO-PO Mapping'!O$2,$AB$29,0),IF('CO-PO Mapping'!O$3,$AC$29,0),IF('CO-PO Mapping'!O$4,$AD$29,0),IF('CO-PO Mapping'!O$5,$AE$29,0),IF('CO-PO Mapping'!O$6,$AF$29,0),IF('CO-PO Mapping'!O$7,$AG$29,0))=0), "-", IF(SUM(IF('CO-PO Mapping'!O$2,$AH66*$AB$29,0),IF('CO-PO Mapping'!O$3,$AI66*$AC$29,0),IF('CO-PO Mapping'!O$4,$AJ66*$AD$29,0),IF('CO-PO Mapping'!O$5,$AK66*$AE$29,0),IF('CO-PO Mapping'!O$6,$AL66*$AF$29,0),IF('CO-PO Mapping'!O$7,$AM66*$AG$29,0))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6" s="95" t="str">
        <f>IF('CO-PO Mapping'!P$2, IF(OR($AN66="-",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IF(OR($AP66="-", SUM( IF('CO-PO Mapping'!P$2,$AB$29,0), IF('CO-PO Mapping'!P$3,$AC$29,0), IF('CO-PO Mapping'!P$4,$AD$29,0), IF('CO-PO Mapping'!P$5,$AE$29,0), IF('CO-PO Mapping'!P$6,$AF$29,0), IF('CO-PO Mapping'!P$7,$AG$29,0) )=0), "-", IF( SUM( IF('CO-PO Mapping'!P$2,$AH66*$AB$29,0), IF('CO-PO Mapping'!P$3,$AI66*$AC$29,0), IF('CO-PO Mapping'!P$4,$AJ66*$AD$29,0), IF('CO-PO Mapping'!P$5,$AK66*$AE$29,0), IF('CO-PO Mapping'!P$6,$AL66*$AF$29,0), IF('CO-PO Mapping'!P$7,$AM66*$AG$29,0)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IF('CO-PO Mapping'!P$6, IF(OR($AR66="-",SUM(IF('CO-PO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IF('CO-PO Mapping'!P$7, IF(OR($AS66="-",SUM(IF('CO-PO Mapping'!P$2,$AB$29,0),IF('CO-PO Mapping'!P$3,$AC$29,0),IF('CO-PO Mapping'!P$4,$AD$29,0),IF('CO-PO Mapping'!P$5,$AE$29,0),IF('CO-PO Mapping'!P$6,$AF$29,0),IF('CO-PO Mapping'!P$7,$AG$29,0))=0), "-", IF(SUM(IF('CO-PO Mapping'!P$2,$AH66*$AB$29,0),IF('CO-PO Mapping'!P$3,$AI66*$AC$29,0),IF('CO-PO Mapping'!P$4,$AJ66*$AD$29,0),IF('CO-PO Mapping'!P$5,$AK66*$AE$29,0),IF('CO-PO Mapping'!P$6,$AL66*$AF$29,0),IF('CO-PO Mapping'!P$7,$AM66*$AG$29,0))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6" s="95" t="str">
        <f>IF('CO-PO Mapping'!Q$2, IF(OR($AN66="-",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IF(OR($AP66="-", SUM( IF('CO-PO Mapping'!Q$2,$AB$29,0), IF('CO-PO Mapping'!Q$3,$AC$29,0), IF('CO-PO Mapping'!Q$4,$AD$29,0), IF('CO-PO Mapping'!Q$5,$AE$29,0), IF('CO-PO Mapping'!Q$6,$AF$29,0), IF('CO-PO Mapping'!Q$7,$AG$29,0) )=0), "-", IF( SUM( IF('CO-PO Mapping'!Q$2,$AH66*$AB$29,0), IF('CO-PO Mapping'!Q$3,$AI66*$AC$29,0), IF('CO-PO Mapping'!Q$4,$AJ66*$AD$29,0), IF('CO-PO Mapping'!Q$5,$AK66*$AE$29,0), IF('CO-PO Mapping'!Q$6,$AL66*$AF$29,0), IF('CO-PO Mapping'!Q$7,$AM66*$AG$29,0)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IF('CO-PO Mapping'!Q$6, IF(OR($AR66="-",SUM(IF('CO-PO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IF('CO-PO Mapping'!Q$7, IF(OR($AS66="-",SUM(IF('CO-PO Mapping'!Q$2,$AB$29,0),IF('CO-PO Mapping'!Q$3,$AC$29,0),IF('CO-PO Mapping'!Q$4,$AD$29,0),IF('CO-PO Mapping'!Q$5,$AE$29,0),IF('CO-PO Mapping'!Q$6,$AF$29,0),IF('CO-PO Mapping'!Q$7,$AG$29,0))=0), "-", IF(SUM(IF('CO-PO Mapping'!Q$2,$AH66*$AB$29,0),IF('CO-PO Mapping'!Q$3,$AI66*$AC$29,0),IF('CO-PO Mapping'!Q$4,$AJ66*$AD$29,0),IF('CO-PO Mapping'!Q$5,$AK66*$AE$29,0),IF('CO-PO Mapping'!Q$6,$AL66*$AF$29,0),IF('CO-PO Mapping'!Q$7,$AM66*$AG$29,0))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6" s="95" t="str">
        <f>IF('CO-PO Mapping'!R$2, IF(OR($AN66="-",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IF(OR($AP66="-", SUM( IF('CO-PO Mapping'!R$2,$AB$29,0), IF('CO-PO Mapping'!R$3,$AC$29,0), IF('CO-PO Mapping'!R$4,$AD$29,0), IF('CO-PO Mapping'!R$5,$AE$29,0), IF('CO-PO Mapping'!R$6,$AF$29,0), IF('CO-PO Mapping'!R$7,$AG$29,0) )=0), "-", IF( SUM( IF('CO-PO Mapping'!R$2,$AH66*$AB$29,0), IF('CO-PO Mapping'!R$3,$AI66*$AC$29,0), IF('CO-PO Mapping'!R$4,$AJ66*$AD$29,0), IF('CO-PO Mapping'!R$5,$AK66*$AE$29,0), IF('CO-PO Mapping'!R$6,$AL66*$AF$29,0), IF('CO-PO Mapping'!R$7,$AM66*$AG$29,0)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IF('CO-PO Mapping'!R$6, IF(OR($AR66="-",SUM(IF('CO-PO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IF('CO-PO Mapping'!R$7, IF(OR($AS66="-",SUM(IF('CO-PO Mapping'!R$2,$AB$29,0),IF('CO-PO Mapping'!R$3,$AC$29,0),IF('CO-PO Mapping'!R$4,$AD$29,0),IF('CO-PO Mapping'!R$5,$AE$29,0),IF('CO-PO Mapping'!R$6,$AF$29,0),IF('CO-PO Mapping'!R$7,$AG$29,0))=0), "-", IF(SUM(IF('CO-PO Mapping'!R$2,$AH66*$AB$29,0),IF('CO-PO Mapping'!R$3,$AI66*$AC$29,0),IF('CO-PO Mapping'!R$4,$AJ66*$AD$29,0),IF('CO-PO Mapping'!R$5,$AK66*$AE$29,0),IF('CO-PO Mapping'!R$6,$AL66*$AF$29,0),IF('CO-PO Mapping'!R$7,$AM66*$AG$29,0))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6" s="95" t="str">
        <f>IF('CO-PO Mapping'!S$2, IF(OR($AN66="-",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IF(OR($AP66="-", SUM( IF('CO-PO Mapping'!S$2,$AB$29,0), IF('CO-PO Mapping'!S$3,$AC$29,0), IF('CO-PO Mapping'!S$4,$AD$29,0), IF('CO-PO Mapping'!S$5,$AE$29,0), IF('CO-PO Mapping'!S$6,$AF$29,0), IF('CO-PO Mapping'!S$7,$AG$29,0) )=0), "-", IF( SUM( IF('CO-PO Mapping'!S$2,$AH66*$AB$29,0), IF('CO-PO Mapping'!S$3,$AI66*$AC$29,0), IF('CO-PO Mapping'!S$4,$AJ66*$AD$29,0), IF('CO-PO Mapping'!S$5,$AK66*$AE$29,0), IF('CO-PO Mapping'!S$6,$AL66*$AF$29,0), IF('CO-PO Mapping'!S$7,$AM66*$AG$29,0)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IF('CO-PO Mapping'!S$6, IF(OR($AR66="-",SUM(IF('CO-PO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IF('CO-PO Mapping'!S$7, IF(OR($AS66="-",SUM(IF('CO-PO Mapping'!S$2,$AB$29,0),IF('CO-PO Mapping'!S$3,$AC$29,0),IF('CO-PO Mapping'!S$4,$AD$29,0),IF('CO-PO Mapping'!S$5,$AE$29,0),IF('CO-PO Mapping'!S$6,$AF$29,0),IF('CO-PO Mapping'!S$7,$AG$29,0))=0), "-", IF(SUM(IF('CO-PO Mapping'!S$2,$AH66*$AB$29,0),IF('CO-PO Mapping'!S$3,$AI66*$AC$29,0),IF('CO-PO Mapping'!S$4,$AJ66*$AD$29,0),IF('CO-PO Mapping'!S$5,$AK66*$AE$29,0),IF('CO-PO Mapping'!S$6,$AL66*$AF$29,0),IF('CO-PO Mapping'!S$7,$AM66*$AG$29,0))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6" s="95" t="str">
        <f>IF('CO-PO Mapping'!T$2, IF(OR($AN66="-",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IF(OR($AP66="-", SUM( IF('CO-PO Mapping'!T$2,$AB$29,0), IF('CO-PO Mapping'!T$3,$AC$29,0), IF('CO-PO Mapping'!T$4,$AD$29,0), IF('CO-PO Mapping'!T$5,$AE$29,0), IF('CO-PO Mapping'!T$6,$AF$29,0), IF('CO-PO Mapping'!T$7,$AG$29,0) )=0), "-", IF( SUM( IF('CO-PO Mapping'!T$2,$AH66*$AB$29,0), IF('CO-PO Mapping'!T$3,$AI66*$AC$29,0), IF('CO-PO Mapping'!T$4,$AJ66*$AD$29,0), IF('CO-PO Mapping'!T$5,$AK66*$AE$29,0), IF('CO-PO Mapping'!T$6,$AL66*$AF$29,0), IF('CO-PO Mapping'!T$7,$AM66*$AG$29,0)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IF('CO-PO Mapping'!T$6, IF(OR($AR66="-",SUM(IF('CO-PO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IF('CO-PO Mapping'!T$7, IF(OR($AS66="-",SUM(IF('CO-PO Mapping'!T$2,$AB$29,0),IF('CO-PO Mapping'!T$3,$AC$29,0),IF('CO-PO Mapping'!T$4,$AD$29,0),IF('CO-PO Mapping'!T$5,$AE$29,0),IF('CO-PO Mapping'!T$6,$AF$29,0),IF('CO-PO Mapping'!T$7,$AG$29,0))=0), "-", IF(SUM(IF('CO-PO Mapping'!T$2,$AH66*$AB$29,0),IF('CO-PO Mapping'!T$3,$AI66*$AC$29,0),IF('CO-PO Mapping'!T$4,$AJ66*$AD$29,0),IF('CO-PO Mapping'!T$5,$AK66*$AE$29,0),IF('CO-PO Mapping'!T$6,$AL66*$AF$29,0),IF('CO-PO Mapping'!T$7,$AM66*$AG$29,0))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6" s="95" t="str">
        <f>IF('CO-PO Mapping'!U$2, IF(OR($AN66="-",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IF(OR($AP66="-", SUM( IF('CO-PO Mapping'!U$2,$AB$29,0), IF('CO-PO Mapping'!U$3,$AC$29,0), IF('CO-PO Mapping'!U$4,$AD$29,0), IF('CO-PO Mapping'!U$5,$AE$29,0), IF('CO-PO Mapping'!U$6,$AF$29,0), IF('CO-PO Mapping'!U$7,$AG$29,0) )=0), "-", IF( SUM( IF('CO-PO Mapping'!U$2,$AH66*$AB$29,0), IF('CO-PO Mapping'!U$3,$AI66*$AC$29,0), IF('CO-PO Mapping'!U$4,$AJ66*$AD$29,0), IF('CO-PO Mapping'!U$5,$AK66*$AE$29,0), IF('CO-PO Mapping'!U$6,$AL66*$AF$29,0), IF('CO-PO Mapping'!U$7,$AM66*$AG$29,0)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IF('CO-PO Mapping'!U$6, IF(OR($AR66="-",SUM(IF('CO-PO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IF('CO-PO Mapping'!U$7, IF(OR($AS66="-",SUM(IF('CO-PO Mapping'!U$2,$AB$29,0),IF('CO-PO Mapping'!U$3,$AC$29,0),IF('CO-PO Mapping'!U$4,$AD$29,0),IF('CO-PO Mapping'!U$5,$AE$29,0),IF('CO-PO Mapping'!U$6,$AF$29,0),IF('CO-PO Mapping'!U$7,$AG$29,0))=0), "-", IF(SUM(IF('CO-PO Mapping'!U$2,$AH66*$AB$29,0),IF('CO-PO Mapping'!U$3,$AI66*$AC$29,0),IF('CO-PO Mapping'!U$4,$AJ66*$AD$29,0),IF('CO-PO Mapping'!U$5,$AK66*$AE$29,0),IF('CO-PO Mapping'!U$6,$AL66*$AF$29,0),IF('CO-PO Mapping'!U$7,$AM66*$AG$29,0))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6" s="95" t="str">
        <f>IF('CO-PO Mapping'!V$2, IF(OR($AN66="-",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IF(OR($AP66="-", SUM( IF('CO-PO Mapping'!V$2,$AB$29,0), IF('CO-PO Mapping'!V$3,$AC$29,0), IF('CO-PO Mapping'!V$4,$AD$29,0), IF('CO-PO Mapping'!V$5,$AE$29,0), IF('CO-PO Mapping'!V$6,$AF$29,0), IF('CO-PO Mapping'!V$7,$AG$29,0) )=0), "-", IF( SUM( IF('CO-PO Mapping'!V$2,$AH66*$AB$29,0), IF('CO-PO Mapping'!V$3,$AI66*$AC$29,0), IF('CO-PO Mapping'!V$4,$AJ66*$AD$29,0), IF('CO-PO Mapping'!V$5,$AK66*$AE$29,0), IF('CO-PO Mapping'!V$6,$AL66*$AF$29,0), IF('CO-PO Mapping'!V$7,$AM66*$AG$29,0)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IF('CO-PO Mapping'!V$6, IF(OR($AR66="-",SUM(IF('CO-PO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IF('CO-PO Mapping'!V$7, IF(OR($AS66="-",SUM(IF('CO-PO Mapping'!V$2,$AB$29,0),IF('CO-PO Mapping'!V$3,$AC$29,0),IF('CO-PO Mapping'!V$4,$AD$29,0),IF('CO-PO Mapping'!V$5,$AE$29,0),IF('CO-PO Mapping'!V$6,$AF$29,0),IF('CO-PO Mapping'!V$7,$AG$29,0))=0), "-", IF(SUM(IF('CO-PO Mapping'!V$2,$AH66*$AB$29,0),IF('CO-PO Mapping'!V$3,$AI66*$AC$29,0),IF('CO-PO Mapping'!V$4,$AJ66*$AD$29,0),IF('CO-PO Mapping'!V$5,$AK66*$AE$29,0),IF('CO-PO Mapping'!V$6,$AL66*$AF$29,0),IF('CO-PO Mapping'!V$7,$AM66*$AG$29,0))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6" s="95" t="str">
        <f>IF('CO-PO Mapping'!W$2, IF(OR($AN66="-",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IF(OR($AP66="-", SUM( IF('CO-PO Mapping'!W$2,$AB$29,0), IF('CO-PO Mapping'!W$3,$AC$29,0), IF('CO-PO Mapping'!W$4,$AD$29,0), IF('CO-PO Mapping'!W$5,$AE$29,0), IF('CO-PO Mapping'!W$6,$AF$29,0), IF('CO-PO Mapping'!W$7,$AG$29,0) )=0), "-", IF( SUM( IF('CO-PO Mapping'!W$2,$AH66*$AB$29,0), IF('CO-PO Mapping'!W$3,$AI66*$AC$29,0), IF('CO-PO Mapping'!W$4,$AJ66*$AD$29,0), IF('CO-PO Mapping'!W$5,$AK66*$AE$29,0), IF('CO-PO Mapping'!W$6,$AL66*$AF$29,0), IF('CO-PO Mapping'!W$7,$AM66*$AG$29,0)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IF('CO-PO Mapping'!W$6, IF(OR($AR66="-",SUM(IF('CO-PO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IF('CO-PO Mapping'!W$7, IF(OR($AS66="-",SUM(IF('CO-PO Mapping'!W$2,$AB$29,0),IF('CO-PO Mapping'!W$3,$AC$29,0),IF('CO-PO Mapping'!W$4,$AD$29,0),IF('CO-PO Mapping'!W$5,$AE$29,0),IF('CO-PO Mapping'!W$6,$AF$29,0),IF('CO-PO Mapping'!W$7,$AG$29,0))=0), "-", IF(SUM(IF('CO-PO Mapping'!W$2,$AH66*$AB$29,0),IF('CO-PO Mapping'!W$3,$AI66*$AC$29,0),IF('CO-PO Mapping'!W$4,$AJ66*$AD$29,0),IF('CO-PO Mapping'!W$5,$AK66*$AE$29,0),IF('CO-PO Mapping'!W$6,$AL66*$AF$29,0),IF('CO-PO Mapping'!W$7,$AM66*$AG$29,0))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6" s="95" t="str">
        <f>IF('CO-PO Mapping'!X$2, IF(OR($AN66="-",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IF(OR($AP66="-", SUM( IF('CO-PO Mapping'!X$2,$AB$29,0), IF('CO-PO Mapping'!X$3,$AC$29,0), IF('CO-PO Mapping'!X$4,$AD$29,0), IF('CO-PO Mapping'!X$5,$AE$29,0), IF('CO-PO Mapping'!X$6,$AF$29,0), IF('CO-PO Mapping'!X$7,$AG$29,0) )=0), "-", IF( SUM( IF('CO-PO Mapping'!X$2,$AH66*$AB$29,0), IF('CO-PO Mapping'!X$3,$AI66*$AC$29,0), IF('CO-PO Mapping'!X$4,$AJ66*$AD$29,0), IF('CO-PO Mapping'!X$5,$AK66*$AE$29,0), IF('CO-PO Mapping'!X$6,$AL66*$AF$29,0), IF('CO-PO Mapping'!X$7,$AM66*$AG$29,0)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IF('CO-PO Mapping'!X$6, IF(OR($AR66="-",SUM(IF('CO-PO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IF('CO-PO Mapping'!X$7, IF(OR($AS66="-",SUM(IF('CO-PO Mapping'!X$2,$AB$29,0),IF('CO-PO Mapping'!X$3,$AC$29,0),IF('CO-PO Mapping'!X$4,$AD$29,0),IF('CO-PO Mapping'!X$5,$AE$29,0),IF('CO-PO Mapping'!X$6,$AF$29,0),IF('CO-PO Mapping'!X$7,$AG$29,0))=0), "-", IF(SUM(IF('CO-PO Mapping'!X$2,$AH66*$AB$29,0),IF('CO-PO Mapping'!X$3,$AI66*$AC$29,0),IF('CO-PO Mapping'!X$4,$AJ66*$AD$29,0),IF('CO-PO Mapping'!X$5,$AK66*$AE$29,0),IF('CO-PO Mapping'!X$6,$AL66*$AF$29,0),IF('CO-PO Mapping'!X$7,$AM66*$AG$29,0))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6" s="95" t="str">
        <f>IF('CO-PO Mapping'!Y$2, IF(OR($AN66="-",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IF(OR($AP66="-", SUM( IF('CO-PO Mapping'!Y$2,$AB$29,0), IF('CO-PO Mapping'!Y$3,$AC$29,0), IF('CO-PO Mapping'!Y$4,$AD$29,0), IF('CO-PO Mapping'!Y$5,$AE$29,0), IF('CO-PO Mapping'!Y$6,$AF$29,0), IF('CO-PO Mapping'!Y$7,$AG$29,0) )=0), "-", IF( SUM( IF('CO-PO Mapping'!Y$2,$AH66*$AB$29,0), IF('CO-PO Mapping'!Y$3,$AI66*$AC$29,0), IF('CO-PO Mapping'!Y$4,$AJ66*$AD$29,0), IF('CO-PO Mapping'!Y$5,$AK66*$AE$29,0), IF('CO-PO Mapping'!Y$6,$AL66*$AF$29,0), IF('CO-PO Mapping'!Y$7,$AM66*$AG$29,0)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IF('CO-PO Mapping'!Y$6, IF(OR($AR66="-",SUM(IF('CO-PO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IF('CO-PO Mapping'!Y$7, IF(OR($AS66="-",SUM(IF('CO-PO Mapping'!Y$2,$AB$29,0),IF('CO-PO Mapping'!Y$3,$AC$29,0),IF('CO-PO Mapping'!Y$4,$AD$29,0),IF('CO-PO Mapping'!Y$5,$AE$29,0),IF('CO-PO Mapping'!Y$6,$AF$29,0),IF('CO-PO Mapping'!Y$7,$AG$29,0))=0), "-", IF(SUM(IF('CO-PO Mapping'!Y$2,$AH66*$AB$29,0),IF('CO-PO Mapping'!Y$3,$AI66*$AC$29,0),IF('CO-PO Mapping'!Y$4,$AJ66*$AD$29,0),IF('CO-PO Mapping'!Y$5,$AK66*$AE$29,0),IF('CO-PO Mapping'!Y$6,$AL66*$AF$29,0),IF('CO-PO Mapping'!Y$7,$AM66*$AG$29,0))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6" s="95" t="str">
        <f>IF('CO-PO Mapping'!Z$2, IF(OR($AN66="-",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IF(OR($AP66="-", SUM( IF('CO-PO Mapping'!Z$2,$AB$29,0), IF('CO-PO Mapping'!Z$3,$AC$29,0), IF('CO-PO Mapping'!Z$4,$AD$29,0), IF('CO-PO Mapping'!Z$5,$AE$29,0), IF('CO-PO Mapping'!Z$6,$AF$29,0), IF('CO-PO Mapping'!Z$7,$AG$29,0) )=0), "-", IF( SUM( IF('CO-PO Mapping'!Z$2,$AH66*$AB$29,0), IF('CO-PO Mapping'!Z$3,$AI66*$AC$29,0), IF('CO-PO Mapping'!Z$4,$AJ66*$AD$29,0), IF('CO-PO Mapping'!Z$5,$AK66*$AE$29,0), IF('CO-PO Mapping'!Z$6,$AL66*$AF$29,0), IF('CO-PO Mapping'!Z$7,$AM66*$AG$29,0)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IF('CO-PO Mapping'!Z$6, IF(OR($AR66="-",SUM(IF('CO-PO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IF('CO-PO Mapping'!Z$7, IF(OR($AS66="-",SUM(IF('CO-PO Mapping'!Z$2,$AB$29,0),IF('CO-PO Mapping'!Z$3,$AC$29,0),IF('CO-PO Mapping'!Z$4,$AD$29,0),IF('CO-PO Mapping'!Z$5,$AE$29,0),IF('CO-PO Mapping'!Z$6,$AF$29,0),IF('CO-PO Mapping'!Z$7,$AG$29,0))=0), "-", IF(SUM(IF('CO-PO Mapping'!Z$2,$AH66*$AB$29,0),IF('CO-PO Mapping'!Z$3,$AI66*$AC$29,0),IF('CO-PO Mapping'!Z$4,$AJ66*$AD$29,0),IF('CO-PO Mapping'!Z$5,$AK66*$AE$29,0),IF('CO-PO Mapping'!Z$6,$AL66*$AF$29,0),IF('CO-PO Mapping'!Z$7,$AM66*$AG$29,0))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7" spans="1:57" ht="15" customHeight="1" thickBot="1">
      <c r="A67" s="110">
        <v>22235103617</v>
      </c>
      <c r="B67" s="111" t="s">
        <v>184</v>
      </c>
      <c r="C67" s="70">
        <v>4</v>
      </c>
      <c r="D67" s="71"/>
      <c r="E67" s="71">
        <v>20</v>
      </c>
      <c r="F67" s="71"/>
      <c r="G67" s="71"/>
      <c r="H67" s="103">
        <f t="shared" si="2"/>
        <v>24</v>
      </c>
      <c r="I67" s="75">
        <v>9</v>
      </c>
      <c r="J67" s="75">
        <v>7</v>
      </c>
      <c r="K67" s="75">
        <v>8</v>
      </c>
      <c r="L67" s="75"/>
      <c r="M67" s="75"/>
      <c r="N67" s="75"/>
      <c r="O67" s="105">
        <f t="shared" si="3"/>
        <v>24</v>
      </c>
      <c r="P67" s="75">
        <v>18</v>
      </c>
      <c r="Q67" s="75">
        <v>17</v>
      </c>
      <c r="R67" s="75"/>
      <c r="S67" s="75"/>
      <c r="T67" s="75"/>
      <c r="U67" s="75"/>
      <c r="V67" s="104">
        <f t="shared" si="4"/>
        <v>35</v>
      </c>
      <c r="W67" s="83">
        <f t="shared" si="5"/>
        <v>83</v>
      </c>
      <c r="X67" s="98" t="str">
        <f t="shared" si="10"/>
        <v>A (Plus)</v>
      </c>
      <c r="Y67" s="47"/>
      <c r="Z67" s="42">
        <f t="shared" si="26"/>
        <v>22235103617</v>
      </c>
      <c r="AA67" s="43" t="str">
        <f t="shared" si="27"/>
        <v>Md. Tanvir Hossain</v>
      </c>
      <c r="AB67" s="90">
        <f t="shared" si="11"/>
        <v>33</v>
      </c>
      <c r="AC67" s="90">
        <f t="shared" si="11"/>
        <v>25</v>
      </c>
      <c r="AD67" s="90">
        <f t="shared" si="11"/>
        <v>25</v>
      </c>
      <c r="AE67" s="90">
        <f t="shared" si="11"/>
        <v>0</v>
      </c>
      <c r="AF67" s="90">
        <f t="shared" si="11"/>
        <v>0</v>
      </c>
      <c r="AG67" s="90">
        <f t="shared" si="25"/>
        <v>0</v>
      </c>
      <c r="AH67" s="92">
        <f t="shared" si="12"/>
        <v>82.5</v>
      </c>
      <c r="AI67" s="92">
        <f t="shared" si="13"/>
        <v>83.333333333333329</v>
      </c>
      <c r="AJ67" s="92">
        <f t="shared" si="14"/>
        <v>83.333333333333329</v>
      </c>
      <c r="AK67" s="92">
        <f t="shared" si="22"/>
        <v>0</v>
      </c>
      <c r="AL67" s="92">
        <f t="shared" si="15"/>
        <v>0</v>
      </c>
      <c r="AM67" s="92">
        <f t="shared" si="16"/>
        <v>0</v>
      </c>
      <c r="AN67" s="93" t="str">
        <f t="shared" si="23"/>
        <v>Y</v>
      </c>
      <c r="AO67" s="93" t="str">
        <f t="shared" si="17"/>
        <v>Y</v>
      </c>
      <c r="AP67" s="93" t="str">
        <f t="shared" si="18"/>
        <v>Y</v>
      </c>
      <c r="AQ67" s="93" t="str">
        <f t="shared" si="19"/>
        <v>N</v>
      </c>
      <c r="AR67" s="93" t="str">
        <f t="shared" si="20"/>
        <v>N</v>
      </c>
      <c r="AS67" s="93" t="str">
        <f t="shared" si="21"/>
        <v>N</v>
      </c>
      <c r="AT67" s="95" t="str">
        <f>IF('CO-PO Mapping'!O$2, IF(OR($AN67="-",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IF(OR($AP67="-", SUM( IF('CO-PO Mapping'!O$2,$AB$29,0), IF('CO-PO Mapping'!O$3,$AC$29,0), IF('CO-PO Mapping'!O$4,$AD$29,0), IF('CO-PO Mapping'!O$5,$AE$29,0), IF('CO-PO Mapping'!O$6,$AF$29,0), IF('CO-PO Mapping'!O$7,$AG$29,0) )=0), "-", IF( SUM( IF('CO-PO Mapping'!O$2,$AH67*$AB$29,0), IF('CO-PO Mapping'!O$3,$AI67*$AC$29,0), IF('CO-PO Mapping'!O$4,$AJ67*$AD$29,0), IF('CO-PO Mapping'!O$5,$AK67*$AE$29,0), IF('CO-PO Mapping'!O$6,$AL67*$AF$29,0), IF('CO-PO Mapping'!O$7,$AM67*$AG$29,0)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IF('CO-PO Mapping'!O$6, IF(OR($AR67="-",SUM(IF('CO-PO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IF('CO-PO Mapping'!O$7, IF(OR($AS67="-",SUM(IF('CO-PO Mapping'!O$2,$AB$29,0),IF('CO-PO Mapping'!O$3,$AC$29,0),IF('CO-PO Mapping'!O$4,$AD$29,0),IF('CO-PO Mapping'!O$5,$AE$29,0),IF('CO-PO Mapping'!O$6,$AF$29,0),IF('CO-PO Mapping'!O$7,$AG$29,0))=0), "-", IF(SUM(IF('CO-PO Mapping'!O$2,$AH67*$AB$29,0),IF('CO-PO Mapping'!O$3,$AI67*$AC$29,0),IF('CO-PO Mapping'!O$4,$AJ67*$AD$29,0),IF('CO-PO Mapping'!O$5,$AK67*$AE$29,0),IF('CO-PO Mapping'!O$6,$AL67*$AF$29,0),IF('CO-PO Mapping'!O$7,$AM67*$AG$29,0))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7" s="95" t="str">
        <f>IF('CO-PO Mapping'!P$2, IF(OR($AN67="-",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IF(OR($AP67="-", SUM( IF('CO-PO Mapping'!P$2,$AB$29,0), IF('CO-PO Mapping'!P$3,$AC$29,0), IF('CO-PO Mapping'!P$4,$AD$29,0), IF('CO-PO Mapping'!P$5,$AE$29,0), IF('CO-PO Mapping'!P$6,$AF$29,0), IF('CO-PO Mapping'!P$7,$AG$29,0) )=0), "-", IF( SUM( IF('CO-PO Mapping'!P$2,$AH67*$AB$29,0), IF('CO-PO Mapping'!P$3,$AI67*$AC$29,0), IF('CO-PO Mapping'!P$4,$AJ67*$AD$29,0), IF('CO-PO Mapping'!P$5,$AK67*$AE$29,0), IF('CO-PO Mapping'!P$6,$AL67*$AF$29,0), IF('CO-PO Mapping'!P$7,$AM67*$AG$29,0)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IF('CO-PO Mapping'!P$6, IF(OR($AR67="-",SUM(IF('CO-PO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IF('CO-PO Mapping'!P$7, IF(OR($AS67="-",SUM(IF('CO-PO Mapping'!P$2,$AB$29,0),IF('CO-PO Mapping'!P$3,$AC$29,0),IF('CO-PO Mapping'!P$4,$AD$29,0),IF('CO-PO Mapping'!P$5,$AE$29,0),IF('CO-PO Mapping'!P$6,$AF$29,0),IF('CO-PO Mapping'!P$7,$AG$29,0))=0), "-", IF(SUM(IF('CO-PO Mapping'!P$2,$AH67*$AB$29,0),IF('CO-PO Mapping'!P$3,$AI67*$AC$29,0),IF('CO-PO Mapping'!P$4,$AJ67*$AD$29,0),IF('CO-PO Mapping'!P$5,$AK67*$AE$29,0),IF('CO-PO Mapping'!P$6,$AL67*$AF$29,0),IF('CO-PO Mapping'!P$7,$AM67*$AG$29,0))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7" s="95" t="str">
        <f>IF('CO-PO Mapping'!Q$2, IF(OR($AN67="-",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IF(OR($AP67="-", SUM( IF('CO-PO Mapping'!Q$2,$AB$29,0), IF('CO-PO Mapping'!Q$3,$AC$29,0), IF('CO-PO Mapping'!Q$4,$AD$29,0), IF('CO-PO Mapping'!Q$5,$AE$29,0), IF('CO-PO Mapping'!Q$6,$AF$29,0), IF('CO-PO Mapping'!Q$7,$AG$29,0) )=0), "-", IF( SUM( IF('CO-PO Mapping'!Q$2,$AH67*$AB$29,0), IF('CO-PO Mapping'!Q$3,$AI67*$AC$29,0), IF('CO-PO Mapping'!Q$4,$AJ67*$AD$29,0), IF('CO-PO Mapping'!Q$5,$AK67*$AE$29,0), IF('CO-PO Mapping'!Q$6,$AL67*$AF$29,0), IF('CO-PO Mapping'!Q$7,$AM67*$AG$29,0)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IF('CO-PO Mapping'!Q$6, IF(OR($AR67="-",SUM(IF('CO-PO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IF('CO-PO Mapping'!Q$7, IF(OR($AS67="-",SUM(IF('CO-PO Mapping'!Q$2,$AB$29,0),IF('CO-PO Mapping'!Q$3,$AC$29,0),IF('CO-PO Mapping'!Q$4,$AD$29,0),IF('CO-PO Mapping'!Q$5,$AE$29,0),IF('CO-PO Mapping'!Q$6,$AF$29,0),IF('CO-PO Mapping'!Q$7,$AG$29,0))=0), "-", IF(SUM(IF('CO-PO Mapping'!Q$2,$AH67*$AB$29,0),IF('CO-PO Mapping'!Q$3,$AI67*$AC$29,0),IF('CO-PO Mapping'!Q$4,$AJ67*$AD$29,0),IF('CO-PO Mapping'!Q$5,$AK67*$AE$29,0),IF('CO-PO Mapping'!Q$6,$AL67*$AF$29,0),IF('CO-PO Mapping'!Q$7,$AM67*$AG$29,0))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7" s="95" t="str">
        <f>IF('CO-PO Mapping'!R$2, IF(OR($AN67="-",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IF(OR($AP67="-", SUM( IF('CO-PO Mapping'!R$2,$AB$29,0), IF('CO-PO Mapping'!R$3,$AC$29,0), IF('CO-PO Mapping'!R$4,$AD$29,0), IF('CO-PO Mapping'!R$5,$AE$29,0), IF('CO-PO Mapping'!R$6,$AF$29,0), IF('CO-PO Mapping'!R$7,$AG$29,0) )=0), "-", IF( SUM( IF('CO-PO Mapping'!R$2,$AH67*$AB$29,0), IF('CO-PO Mapping'!R$3,$AI67*$AC$29,0), IF('CO-PO Mapping'!R$4,$AJ67*$AD$29,0), IF('CO-PO Mapping'!R$5,$AK67*$AE$29,0), IF('CO-PO Mapping'!R$6,$AL67*$AF$29,0), IF('CO-PO Mapping'!R$7,$AM67*$AG$29,0)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IF('CO-PO Mapping'!R$6, IF(OR($AR67="-",SUM(IF('CO-PO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IF('CO-PO Mapping'!R$7, IF(OR($AS67="-",SUM(IF('CO-PO Mapping'!R$2,$AB$29,0),IF('CO-PO Mapping'!R$3,$AC$29,0),IF('CO-PO Mapping'!R$4,$AD$29,0),IF('CO-PO Mapping'!R$5,$AE$29,0),IF('CO-PO Mapping'!R$6,$AF$29,0),IF('CO-PO Mapping'!R$7,$AG$29,0))=0), "-", IF(SUM(IF('CO-PO Mapping'!R$2,$AH67*$AB$29,0),IF('CO-PO Mapping'!R$3,$AI67*$AC$29,0),IF('CO-PO Mapping'!R$4,$AJ67*$AD$29,0),IF('CO-PO Mapping'!R$5,$AK67*$AE$29,0),IF('CO-PO Mapping'!R$6,$AL67*$AF$29,0),IF('CO-PO Mapping'!R$7,$AM67*$AG$29,0))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7" s="95" t="str">
        <f>IF('CO-PO Mapping'!S$2, IF(OR($AN67="-",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IF(OR($AP67="-", SUM( IF('CO-PO Mapping'!S$2,$AB$29,0), IF('CO-PO Mapping'!S$3,$AC$29,0), IF('CO-PO Mapping'!S$4,$AD$29,0), IF('CO-PO Mapping'!S$5,$AE$29,0), IF('CO-PO Mapping'!S$6,$AF$29,0), IF('CO-PO Mapping'!S$7,$AG$29,0) )=0), "-", IF( SUM( IF('CO-PO Mapping'!S$2,$AH67*$AB$29,0), IF('CO-PO Mapping'!S$3,$AI67*$AC$29,0), IF('CO-PO Mapping'!S$4,$AJ67*$AD$29,0), IF('CO-PO Mapping'!S$5,$AK67*$AE$29,0), IF('CO-PO Mapping'!S$6,$AL67*$AF$29,0), IF('CO-PO Mapping'!S$7,$AM67*$AG$29,0)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IF('CO-PO Mapping'!S$6, IF(OR($AR67="-",SUM(IF('CO-PO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IF('CO-PO Mapping'!S$7, IF(OR($AS67="-",SUM(IF('CO-PO Mapping'!S$2,$AB$29,0),IF('CO-PO Mapping'!S$3,$AC$29,0),IF('CO-PO Mapping'!S$4,$AD$29,0),IF('CO-PO Mapping'!S$5,$AE$29,0),IF('CO-PO Mapping'!S$6,$AF$29,0),IF('CO-PO Mapping'!S$7,$AG$29,0))=0), "-", IF(SUM(IF('CO-PO Mapping'!S$2,$AH67*$AB$29,0),IF('CO-PO Mapping'!S$3,$AI67*$AC$29,0),IF('CO-PO Mapping'!S$4,$AJ67*$AD$29,0),IF('CO-PO Mapping'!S$5,$AK67*$AE$29,0),IF('CO-PO Mapping'!S$6,$AL67*$AF$29,0),IF('CO-PO Mapping'!S$7,$AM67*$AG$29,0))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7" s="95" t="str">
        <f>IF('CO-PO Mapping'!T$2, IF(OR($AN67="-",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IF(OR($AP67="-", SUM( IF('CO-PO Mapping'!T$2,$AB$29,0), IF('CO-PO Mapping'!T$3,$AC$29,0), IF('CO-PO Mapping'!T$4,$AD$29,0), IF('CO-PO Mapping'!T$5,$AE$29,0), IF('CO-PO Mapping'!T$6,$AF$29,0), IF('CO-PO Mapping'!T$7,$AG$29,0) )=0), "-", IF( SUM( IF('CO-PO Mapping'!T$2,$AH67*$AB$29,0), IF('CO-PO Mapping'!T$3,$AI67*$AC$29,0), IF('CO-PO Mapping'!T$4,$AJ67*$AD$29,0), IF('CO-PO Mapping'!T$5,$AK67*$AE$29,0), IF('CO-PO Mapping'!T$6,$AL67*$AF$29,0), IF('CO-PO Mapping'!T$7,$AM67*$AG$29,0)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IF('CO-PO Mapping'!T$6, IF(OR($AR67="-",SUM(IF('CO-PO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IF('CO-PO Mapping'!T$7, IF(OR($AS67="-",SUM(IF('CO-PO Mapping'!T$2,$AB$29,0),IF('CO-PO Mapping'!T$3,$AC$29,0),IF('CO-PO Mapping'!T$4,$AD$29,0),IF('CO-PO Mapping'!T$5,$AE$29,0),IF('CO-PO Mapping'!T$6,$AF$29,0),IF('CO-PO Mapping'!T$7,$AG$29,0))=0), "-", IF(SUM(IF('CO-PO Mapping'!T$2,$AH67*$AB$29,0),IF('CO-PO Mapping'!T$3,$AI67*$AC$29,0),IF('CO-PO Mapping'!T$4,$AJ67*$AD$29,0),IF('CO-PO Mapping'!T$5,$AK67*$AE$29,0),IF('CO-PO Mapping'!T$6,$AL67*$AF$29,0),IF('CO-PO Mapping'!T$7,$AM67*$AG$29,0))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7" s="95" t="str">
        <f>IF('CO-PO Mapping'!U$2, IF(OR($AN67="-",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IF(OR($AP67="-", SUM( IF('CO-PO Mapping'!U$2,$AB$29,0), IF('CO-PO Mapping'!U$3,$AC$29,0), IF('CO-PO Mapping'!U$4,$AD$29,0), IF('CO-PO Mapping'!U$5,$AE$29,0), IF('CO-PO Mapping'!U$6,$AF$29,0), IF('CO-PO Mapping'!U$7,$AG$29,0) )=0), "-", IF( SUM( IF('CO-PO Mapping'!U$2,$AH67*$AB$29,0), IF('CO-PO Mapping'!U$3,$AI67*$AC$29,0), IF('CO-PO Mapping'!U$4,$AJ67*$AD$29,0), IF('CO-PO Mapping'!U$5,$AK67*$AE$29,0), IF('CO-PO Mapping'!U$6,$AL67*$AF$29,0), IF('CO-PO Mapping'!U$7,$AM67*$AG$29,0)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IF('CO-PO Mapping'!U$6, IF(OR($AR67="-",SUM(IF('CO-PO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IF('CO-PO Mapping'!U$7, IF(OR($AS67="-",SUM(IF('CO-PO Mapping'!U$2,$AB$29,0),IF('CO-PO Mapping'!U$3,$AC$29,0),IF('CO-PO Mapping'!U$4,$AD$29,0),IF('CO-PO Mapping'!U$5,$AE$29,0),IF('CO-PO Mapping'!U$6,$AF$29,0),IF('CO-PO Mapping'!U$7,$AG$29,0))=0), "-", IF(SUM(IF('CO-PO Mapping'!U$2,$AH67*$AB$29,0),IF('CO-PO Mapping'!U$3,$AI67*$AC$29,0),IF('CO-PO Mapping'!U$4,$AJ67*$AD$29,0),IF('CO-PO Mapping'!U$5,$AK67*$AE$29,0),IF('CO-PO Mapping'!U$6,$AL67*$AF$29,0),IF('CO-PO Mapping'!U$7,$AM67*$AG$29,0))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7" s="95" t="str">
        <f>IF('CO-PO Mapping'!V$2, IF(OR($AN67="-",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IF(OR($AP67="-", SUM( IF('CO-PO Mapping'!V$2,$AB$29,0), IF('CO-PO Mapping'!V$3,$AC$29,0), IF('CO-PO Mapping'!V$4,$AD$29,0), IF('CO-PO Mapping'!V$5,$AE$29,0), IF('CO-PO Mapping'!V$6,$AF$29,0), IF('CO-PO Mapping'!V$7,$AG$29,0) )=0), "-", IF( SUM( IF('CO-PO Mapping'!V$2,$AH67*$AB$29,0), IF('CO-PO Mapping'!V$3,$AI67*$AC$29,0), IF('CO-PO Mapping'!V$4,$AJ67*$AD$29,0), IF('CO-PO Mapping'!V$5,$AK67*$AE$29,0), IF('CO-PO Mapping'!V$6,$AL67*$AF$29,0), IF('CO-PO Mapping'!V$7,$AM67*$AG$29,0)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IF('CO-PO Mapping'!V$6, IF(OR($AR67="-",SUM(IF('CO-PO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IF('CO-PO Mapping'!V$7, IF(OR($AS67="-",SUM(IF('CO-PO Mapping'!V$2,$AB$29,0),IF('CO-PO Mapping'!V$3,$AC$29,0),IF('CO-PO Mapping'!V$4,$AD$29,0),IF('CO-PO Mapping'!V$5,$AE$29,0),IF('CO-PO Mapping'!V$6,$AF$29,0),IF('CO-PO Mapping'!V$7,$AG$29,0))=0), "-", IF(SUM(IF('CO-PO Mapping'!V$2,$AH67*$AB$29,0),IF('CO-PO Mapping'!V$3,$AI67*$AC$29,0),IF('CO-PO Mapping'!V$4,$AJ67*$AD$29,0),IF('CO-PO Mapping'!V$5,$AK67*$AE$29,0),IF('CO-PO Mapping'!V$6,$AL67*$AF$29,0),IF('CO-PO Mapping'!V$7,$AM67*$AG$29,0))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7" s="95" t="str">
        <f>IF('CO-PO Mapping'!W$2, IF(OR($AN67="-",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IF(OR($AP67="-", SUM( IF('CO-PO Mapping'!W$2,$AB$29,0), IF('CO-PO Mapping'!W$3,$AC$29,0), IF('CO-PO Mapping'!W$4,$AD$29,0), IF('CO-PO Mapping'!W$5,$AE$29,0), IF('CO-PO Mapping'!W$6,$AF$29,0), IF('CO-PO Mapping'!W$7,$AG$29,0) )=0), "-", IF( SUM( IF('CO-PO Mapping'!W$2,$AH67*$AB$29,0), IF('CO-PO Mapping'!W$3,$AI67*$AC$29,0), IF('CO-PO Mapping'!W$4,$AJ67*$AD$29,0), IF('CO-PO Mapping'!W$5,$AK67*$AE$29,0), IF('CO-PO Mapping'!W$6,$AL67*$AF$29,0), IF('CO-PO Mapping'!W$7,$AM67*$AG$29,0)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IF('CO-PO Mapping'!W$6, IF(OR($AR67="-",SUM(IF('CO-PO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IF('CO-PO Mapping'!W$7, IF(OR($AS67="-",SUM(IF('CO-PO Mapping'!W$2,$AB$29,0),IF('CO-PO Mapping'!W$3,$AC$29,0),IF('CO-PO Mapping'!W$4,$AD$29,0),IF('CO-PO Mapping'!W$5,$AE$29,0),IF('CO-PO Mapping'!W$6,$AF$29,0),IF('CO-PO Mapping'!W$7,$AG$29,0))=0), "-", IF(SUM(IF('CO-PO Mapping'!W$2,$AH67*$AB$29,0),IF('CO-PO Mapping'!W$3,$AI67*$AC$29,0),IF('CO-PO Mapping'!W$4,$AJ67*$AD$29,0),IF('CO-PO Mapping'!W$5,$AK67*$AE$29,0),IF('CO-PO Mapping'!W$6,$AL67*$AF$29,0),IF('CO-PO Mapping'!W$7,$AM67*$AG$29,0))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7" s="95" t="str">
        <f>IF('CO-PO Mapping'!X$2, IF(OR($AN67="-",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IF(OR($AP67="-", SUM( IF('CO-PO Mapping'!X$2,$AB$29,0), IF('CO-PO Mapping'!X$3,$AC$29,0), IF('CO-PO Mapping'!X$4,$AD$29,0), IF('CO-PO Mapping'!X$5,$AE$29,0), IF('CO-PO Mapping'!X$6,$AF$29,0), IF('CO-PO Mapping'!X$7,$AG$29,0) )=0), "-", IF( SUM( IF('CO-PO Mapping'!X$2,$AH67*$AB$29,0), IF('CO-PO Mapping'!X$3,$AI67*$AC$29,0), IF('CO-PO Mapping'!X$4,$AJ67*$AD$29,0), IF('CO-PO Mapping'!X$5,$AK67*$AE$29,0), IF('CO-PO Mapping'!X$6,$AL67*$AF$29,0), IF('CO-PO Mapping'!X$7,$AM67*$AG$29,0)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IF('CO-PO Mapping'!X$6, IF(OR($AR67="-",SUM(IF('CO-PO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IF('CO-PO Mapping'!X$7, IF(OR($AS67="-",SUM(IF('CO-PO Mapping'!X$2,$AB$29,0),IF('CO-PO Mapping'!X$3,$AC$29,0),IF('CO-PO Mapping'!X$4,$AD$29,0),IF('CO-PO Mapping'!X$5,$AE$29,0),IF('CO-PO Mapping'!X$6,$AF$29,0),IF('CO-PO Mapping'!X$7,$AG$29,0))=0), "-", IF(SUM(IF('CO-PO Mapping'!X$2,$AH67*$AB$29,0),IF('CO-PO Mapping'!X$3,$AI67*$AC$29,0),IF('CO-PO Mapping'!X$4,$AJ67*$AD$29,0),IF('CO-PO Mapping'!X$5,$AK67*$AE$29,0),IF('CO-PO Mapping'!X$6,$AL67*$AF$29,0),IF('CO-PO Mapping'!X$7,$AM67*$AG$29,0))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7" s="95" t="str">
        <f>IF('CO-PO Mapping'!Y$2, IF(OR($AN67="-",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IF(OR($AP67="-", SUM( IF('CO-PO Mapping'!Y$2,$AB$29,0), IF('CO-PO Mapping'!Y$3,$AC$29,0), IF('CO-PO Mapping'!Y$4,$AD$29,0), IF('CO-PO Mapping'!Y$5,$AE$29,0), IF('CO-PO Mapping'!Y$6,$AF$29,0), IF('CO-PO Mapping'!Y$7,$AG$29,0) )=0), "-", IF( SUM( IF('CO-PO Mapping'!Y$2,$AH67*$AB$29,0), IF('CO-PO Mapping'!Y$3,$AI67*$AC$29,0), IF('CO-PO Mapping'!Y$4,$AJ67*$AD$29,0), IF('CO-PO Mapping'!Y$5,$AK67*$AE$29,0), IF('CO-PO Mapping'!Y$6,$AL67*$AF$29,0), IF('CO-PO Mapping'!Y$7,$AM67*$AG$29,0)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IF('CO-PO Mapping'!Y$6, IF(OR($AR67="-",SUM(IF('CO-PO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IF('CO-PO Mapping'!Y$7, IF(OR($AS67="-",SUM(IF('CO-PO Mapping'!Y$2,$AB$29,0),IF('CO-PO Mapping'!Y$3,$AC$29,0),IF('CO-PO Mapping'!Y$4,$AD$29,0),IF('CO-PO Mapping'!Y$5,$AE$29,0),IF('CO-PO Mapping'!Y$6,$AF$29,0),IF('CO-PO Mapping'!Y$7,$AG$29,0))=0), "-", IF(SUM(IF('CO-PO Mapping'!Y$2,$AH67*$AB$29,0),IF('CO-PO Mapping'!Y$3,$AI67*$AC$29,0),IF('CO-PO Mapping'!Y$4,$AJ67*$AD$29,0),IF('CO-PO Mapping'!Y$5,$AK67*$AE$29,0),IF('CO-PO Mapping'!Y$6,$AL67*$AF$29,0),IF('CO-PO Mapping'!Y$7,$AM67*$AG$29,0))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7" s="95" t="str">
        <f>IF('CO-PO Mapping'!Z$2, IF(OR($AN67="-",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IF(OR($AP67="-", SUM( IF('CO-PO Mapping'!Z$2,$AB$29,0), IF('CO-PO Mapping'!Z$3,$AC$29,0), IF('CO-PO Mapping'!Z$4,$AD$29,0), IF('CO-PO Mapping'!Z$5,$AE$29,0), IF('CO-PO Mapping'!Z$6,$AF$29,0), IF('CO-PO Mapping'!Z$7,$AG$29,0) )=0), "-", IF( SUM( IF('CO-PO Mapping'!Z$2,$AH67*$AB$29,0), IF('CO-PO Mapping'!Z$3,$AI67*$AC$29,0), IF('CO-PO Mapping'!Z$4,$AJ67*$AD$29,0), IF('CO-PO Mapping'!Z$5,$AK67*$AE$29,0), IF('CO-PO Mapping'!Z$6,$AL67*$AF$29,0), IF('CO-PO Mapping'!Z$7,$AM67*$AG$29,0)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IF('CO-PO Mapping'!Z$6, IF(OR($AR67="-",SUM(IF('CO-PO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IF('CO-PO Mapping'!Z$7, IF(OR($AS67="-",SUM(IF('CO-PO Mapping'!Z$2,$AB$29,0),IF('CO-PO Mapping'!Z$3,$AC$29,0),IF('CO-PO Mapping'!Z$4,$AD$29,0),IF('CO-PO Mapping'!Z$5,$AE$29,0),IF('CO-PO Mapping'!Z$6,$AF$29,0),IF('CO-PO Mapping'!Z$7,$AG$29,0))=0), "-", IF(SUM(IF('CO-PO Mapping'!Z$2,$AH67*$AB$29,0),IF('CO-PO Mapping'!Z$3,$AI67*$AC$29,0),IF('CO-PO Mapping'!Z$4,$AJ67*$AD$29,0),IF('CO-PO Mapping'!Z$5,$AK67*$AE$29,0),IF('CO-PO Mapping'!Z$6,$AL67*$AF$29,0),IF('CO-PO Mapping'!Z$7,$AM67*$AG$29,0))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8" spans="1:57" ht="15" customHeight="1" thickBot="1">
      <c r="A68" s="110">
        <v>22235103619</v>
      </c>
      <c r="B68" s="111" t="s">
        <v>185</v>
      </c>
      <c r="C68" s="72">
        <v>4</v>
      </c>
      <c r="D68" s="72"/>
      <c r="E68" s="76">
        <v>20</v>
      </c>
      <c r="F68" s="72"/>
      <c r="G68" s="76"/>
      <c r="H68" s="103">
        <f t="shared" si="2"/>
        <v>24</v>
      </c>
      <c r="I68" s="75">
        <v>5</v>
      </c>
      <c r="J68" s="75">
        <v>5</v>
      </c>
      <c r="K68" s="75">
        <v>6</v>
      </c>
      <c r="L68" s="75"/>
      <c r="M68" s="75"/>
      <c r="N68" s="75"/>
      <c r="O68" s="105">
        <f t="shared" si="3"/>
        <v>16</v>
      </c>
      <c r="P68" s="75">
        <v>12</v>
      </c>
      <c r="Q68" s="75">
        <v>11</v>
      </c>
      <c r="R68" s="75"/>
      <c r="S68" s="75"/>
      <c r="T68" s="75"/>
      <c r="U68" s="75"/>
      <c r="V68" s="104">
        <f t="shared" si="4"/>
        <v>23</v>
      </c>
      <c r="W68" s="83">
        <f t="shared" si="5"/>
        <v>63</v>
      </c>
      <c r="X68" s="98" t="str">
        <f t="shared" si="10"/>
        <v>B</v>
      </c>
      <c r="Y68" s="47"/>
      <c r="Z68" s="42">
        <f t="shared" si="26"/>
        <v>22235103619</v>
      </c>
      <c r="AA68" s="43" t="str">
        <f t="shared" si="27"/>
        <v>Md. Riajul Islam</v>
      </c>
      <c r="AB68" s="90">
        <f t="shared" si="11"/>
        <v>29</v>
      </c>
      <c r="AC68" s="90">
        <f t="shared" si="11"/>
        <v>17</v>
      </c>
      <c r="AD68" s="90">
        <f t="shared" si="11"/>
        <v>17</v>
      </c>
      <c r="AE68" s="90">
        <f t="shared" si="11"/>
        <v>0</v>
      </c>
      <c r="AF68" s="90">
        <f t="shared" si="11"/>
        <v>0</v>
      </c>
      <c r="AG68" s="90">
        <f t="shared" si="25"/>
        <v>0</v>
      </c>
      <c r="AH68" s="92">
        <f t="shared" si="12"/>
        <v>72.5</v>
      </c>
      <c r="AI68" s="92">
        <f t="shared" si="13"/>
        <v>56.666666666666664</v>
      </c>
      <c r="AJ68" s="92">
        <f t="shared" si="14"/>
        <v>56.666666666666664</v>
      </c>
      <c r="AK68" s="92">
        <f t="shared" si="22"/>
        <v>0</v>
      </c>
      <c r="AL68" s="92">
        <f t="shared" si="15"/>
        <v>0</v>
      </c>
      <c r="AM68" s="92">
        <f t="shared" si="16"/>
        <v>0</v>
      </c>
      <c r="AN68" s="93" t="str">
        <f t="shared" si="23"/>
        <v>Y</v>
      </c>
      <c r="AO68" s="93" t="str">
        <f t="shared" si="17"/>
        <v>Y</v>
      </c>
      <c r="AP68" s="93" t="str">
        <f t="shared" si="18"/>
        <v>Y</v>
      </c>
      <c r="AQ68" s="93" t="str">
        <f t="shared" si="19"/>
        <v>N</v>
      </c>
      <c r="AR68" s="93" t="str">
        <f t="shared" si="20"/>
        <v>N</v>
      </c>
      <c r="AS68" s="93" t="str">
        <f t="shared" si="21"/>
        <v>N</v>
      </c>
      <c r="AT68" s="95" t="str">
        <f>IF('CO-PO Mapping'!O$2, IF(OR($AN68="-",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IF(OR($AP68="-", SUM( IF('CO-PO Mapping'!O$2,$AB$29,0), IF('CO-PO Mapping'!O$3,$AC$29,0), IF('CO-PO Mapping'!O$4,$AD$29,0), IF('CO-PO Mapping'!O$5,$AE$29,0), IF('CO-PO Mapping'!O$6,$AF$29,0), IF('CO-PO Mapping'!O$7,$AG$29,0) )=0), "-", IF( SUM( IF('CO-PO Mapping'!O$2,$AH68*$AB$29,0), IF('CO-PO Mapping'!O$3,$AI68*$AC$29,0), IF('CO-PO Mapping'!O$4,$AJ68*$AD$29,0), IF('CO-PO Mapping'!O$5,$AK68*$AE$29,0), IF('CO-PO Mapping'!O$6,$AL68*$AF$29,0), IF('CO-PO Mapping'!O$7,$AM68*$AG$29,0)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IF('CO-PO Mapping'!O$6, IF(OR($AR68="-",SUM(IF('CO-PO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IF('CO-PO Mapping'!O$7, IF(OR($AS68="-",SUM(IF('CO-PO Mapping'!O$2,$AB$29,0),IF('CO-PO Mapping'!O$3,$AC$29,0),IF('CO-PO Mapping'!O$4,$AD$29,0),IF('CO-PO Mapping'!O$5,$AE$29,0),IF('CO-PO Mapping'!O$6,$AF$29,0),IF('CO-PO Mapping'!O$7,$AG$29,0))=0), "-", IF(SUM(IF('CO-PO Mapping'!O$2,$AH68*$AB$29,0),IF('CO-PO Mapping'!O$3,$AI68*$AC$29,0),IF('CO-PO Mapping'!O$4,$AJ68*$AD$29,0),IF('CO-PO Mapping'!O$5,$AK68*$AE$29,0),IF('CO-PO Mapping'!O$6,$AL68*$AF$29,0),IF('CO-PO Mapping'!O$7,$AM68*$AG$29,0))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8" s="95" t="str">
        <f>IF('CO-PO Mapping'!P$2, IF(OR($AN68="-",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IF(OR($AP68="-", SUM( IF('CO-PO Mapping'!P$2,$AB$29,0), IF('CO-PO Mapping'!P$3,$AC$29,0), IF('CO-PO Mapping'!P$4,$AD$29,0), IF('CO-PO Mapping'!P$5,$AE$29,0), IF('CO-PO Mapping'!P$6,$AF$29,0), IF('CO-PO Mapping'!P$7,$AG$29,0) )=0), "-", IF( SUM( IF('CO-PO Mapping'!P$2,$AH68*$AB$29,0), IF('CO-PO Mapping'!P$3,$AI68*$AC$29,0), IF('CO-PO Mapping'!P$4,$AJ68*$AD$29,0), IF('CO-PO Mapping'!P$5,$AK68*$AE$29,0), IF('CO-PO Mapping'!P$6,$AL68*$AF$29,0), IF('CO-PO Mapping'!P$7,$AM68*$AG$29,0)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IF('CO-PO Mapping'!P$6, IF(OR($AR68="-",SUM(IF('CO-PO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IF('CO-PO Mapping'!P$7, IF(OR($AS68="-",SUM(IF('CO-PO Mapping'!P$2,$AB$29,0),IF('CO-PO Mapping'!P$3,$AC$29,0),IF('CO-PO Mapping'!P$4,$AD$29,0),IF('CO-PO Mapping'!P$5,$AE$29,0),IF('CO-PO Mapping'!P$6,$AF$29,0),IF('CO-PO Mapping'!P$7,$AG$29,0))=0), "-", IF(SUM(IF('CO-PO Mapping'!P$2,$AH68*$AB$29,0),IF('CO-PO Mapping'!P$3,$AI68*$AC$29,0),IF('CO-PO Mapping'!P$4,$AJ68*$AD$29,0),IF('CO-PO Mapping'!P$5,$AK68*$AE$29,0),IF('CO-PO Mapping'!P$6,$AL68*$AF$29,0),IF('CO-PO Mapping'!P$7,$AM68*$AG$29,0))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8" s="95" t="str">
        <f>IF('CO-PO Mapping'!Q$2, IF(OR($AN68="-",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IF(OR($AP68="-", SUM( IF('CO-PO Mapping'!Q$2,$AB$29,0), IF('CO-PO Mapping'!Q$3,$AC$29,0), IF('CO-PO Mapping'!Q$4,$AD$29,0), IF('CO-PO Mapping'!Q$5,$AE$29,0), IF('CO-PO Mapping'!Q$6,$AF$29,0), IF('CO-PO Mapping'!Q$7,$AG$29,0) )=0), "-", IF( SUM( IF('CO-PO Mapping'!Q$2,$AH68*$AB$29,0), IF('CO-PO Mapping'!Q$3,$AI68*$AC$29,0), IF('CO-PO Mapping'!Q$4,$AJ68*$AD$29,0), IF('CO-PO Mapping'!Q$5,$AK68*$AE$29,0), IF('CO-PO Mapping'!Q$6,$AL68*$AF$29,0), IF('CO-PO Mapping'!Q$7,$AM68*$AG$29,0)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IF('CO-PO Mapping'!Q$6, IF(OR($AR68="-",SUM(IF('CO-PO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IF('CO-PO Mapping'!Q$7, IF(OR($AS68="-",SUM(IF('CO-PO Mapping'!Q$2,$AB$29,0),IF('CO-PO Mapping'!Q$3,$AC$29,0),IF('CO-PO Mapping'!Q$4,$AD$29,0),IF('CO-PO Mapping'!Q$5,$AE$29,0),IF('CO-PO Mapping'!Q$6,$AF$29,0),IF('CO-PO Mapping'!Q$7,$AG$29,0))=0), "-", IF(SUM(IF('CO-PO Mapping'!Q$2,$AH68*$AB$29,0),IF('CO-PO Mapping'!Q$3,$AI68*$AC$29,0),IF('CO-PO Mapping'!Q$4,$AJ68*$AD$29,0),IF('CO-PO Mapping'!Q$5,$AK68*$AE$29,0),IF('CO-PO Mapping'!Q$6,$AL68*$AF$29,0),IF('CO-PO Mapping'!Q$7,$AM68*$AG$29,0))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8" s="95" t="str">
        <f>IF('CO-PO Mapping'!R$2, IF(OR($AN68="-",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IF(OR($AP68="-", SUM( IF('CO-PO Mapping'!R$2,$AB$29,0), IF('CO-PO Mapping'!R$3,$AC$29,0), IF('CO-PO Mapping'!R$4,$AD$29,0), IF('CO-PO Mapping'!R$5,$AE$29,0), IF('CO-PO Mapping'!R$6,$AF$29,0), IF('CO-PO Mapping'!R$7,$AG$29,0) )=0), "-", IF( SUM( IF('CO-PO Mapping'!R$2,$AH68*$AB$29,0), IF('CO-PO Mapping'!R$3,$AI68*$AC$29,0), IF('CO-PO Mapping'!R$4,$AJ68*$AD$29,0), IF('CO-PO Mapping'!R$5,$AK68*$AE$29,0), IF('CO-PO Mapping'!R$6,$AL68*$AF$29,0), IF('CO-PO Mapping'!R$7,$AM68*$AG$29,0)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IF('CO-PO Mapping'!R$6, IF(OR($AR68="-",SUM(IF('CO-PO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IF('CO-PO Mapping'!R$7, IF(OR($AS68="-",SUM(IF('CO-PO Mapping'!R$2,$AB$29,0),IF('CO-PO Mapping'!R$3,$AC$29,0),IF('CO-PO Mapping'!R$4,$AD$29,0),IF('CO-PO Mapping'!R$5,$AE$29,0),IF('CO-PO Mapping'!R$6,$AF$29,0),IF('CO-PO Mapping'!R$7,$AG$29,0))=0), "-", IF(SUM(IF('CO-PO Mapping'!R$2,$AH68*$AB$29,0),IF('CO-PO Mapping'!R$3,$AI68*$AC$29,0),IF('CO-PO Mapping'!R$4,$AJ68*$AD$29,0),IF('CO-PO Mapping'!R$5,$AK68*$AE$29,0),IF('CO-PO Mapping'!R$6,$AL68*$AF$29,0),IF('CO-PO Mapping'!R$7,$AM68*$AG$29,0))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8" s="95" t="str">
        <f>IF('CO-PO Mapping'!S$2, IF(OR($AN68="-",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IF(OR($AP68="-", SUM( IF('CO-PO Mapping'!S$2,$AB$29,0), IF('CO-PO Mapping'!S$3,$AC$29,0), IF('CO-PO Mapping'!S$4,$AD$29,0), IF('CO-PO Mapping'!S$5,$AE$29,0), IF('CO-PO Mapping'!S$6,$AF$29,0), IF('CO-PO Mapping'!S$7,$AG$29,0) )=0), "-", IF( SUM( IF('CO-PO Mapping'!S$2,$AH68*$AB$29,0), IF('CO-PO Mapping'!S$3,$AI68*$AC$29,0), IF('CO-PO Mapping'!S$4,$AJ68*$AD$29,0), IF('CO-PO Mapping'!S$5,$AK68*$AE$29,0), IF('CO-PO Mapping'!S$6,$AL68*$AF$29,0), IF('CO-PO Mapping'!S$7,$AM68*$AG$29,0)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IF('CO-PO Mapping'!S$6, IF(OR($AR68="-",SUM(IF('CO-PO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IF('CO-PO Mapping'!S$7, IF(OR($AS68="-",SUM(IF('CO-PO Mapping'!S$2,$AB$29,0),IF('CO-PO Mapping'!S$3,$AC$29,0),IF('CO-PO Mapping'!S$4,$AD$29,0),IF('CO-PO Mapping'!S$5,$AE$29,0),IF('CO-PO Mapping'!S$6,$AF$29,0),IF('CO-PO Mapping'!S$7,$AG$29,0))=0), "-", IF(SUM(IF('CO-PO Mapping'!S$2,$AH68*$AB$29,0),IF('CO-PO Mapping'!S$3,$AI68*$AC$29,0),IF('CO-PO Mapping'!S$4,$AJ68*$AD$29,0),IF('CO-PO Mapping'!S$5,$AK68*$AE$29,0),IF('CO-PO Mapping'!S$6,$AL68*$AF$29,0),IF('CO-PO Mapping'!S$7,$AM68*$AG$29,0))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8" s="95" t="str">
        <f>IF('CO-PO Mapping'!T$2, IF(OR($AN68="-",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IF(OR($AP68="-", SUM( IF('CO-PO Mapping'!T$2,$AB$29,0), IF('CO-PO Mapping'!T$3,$AC$29,0), IF('CO-PO Mapping'!T$4,$AD$29,0), IF('CO-PO Mapping'!T$5,$AE$29,0), IF('CO-PO Mapping'!T$6,$AF$29,0), IF('CO-PO Mapping'!T$7,$AG$29,0) )=0), "-", IF( SUM( IF('CO-PO Mapping'!T$2,$AH68*$AB$29,0), IF('CO-PO Mapping'!T$3,$AI68*$AC$29,0), IF('CO-PO Mapping'!T$4,$AJ68*$AD$29,0), IF('CO-PO Mapping'!T$5,$AK68*$AE$29,0), IF('CO-PO Mapping'!T$6,$AL68*$AF$29,0), IF('CO-PO Mapping'!T$7,$AM68*$AG$29,0)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IF('CO-PO Mapping'!T$6, IF(OR($AR68="-",SUM(IF('CO-PO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IF('CO-PO Mapping'!T$7, IF(OR($AS68="-",SUM(IF('CO-PO Mapping'!T$2,$AB$29,0),IF('CO-PO Mapping'!T$3,$AC$29,0),IF('CO-PO Mapping'!T$4,$AD$29,0),IF('CO-PO Mapping'!T$5,$AE$29,0),IF('CO-PO Mapping'!T$6,$AF$29,0),IF('CO-PO Mapping'!T$7,$AG$29,0))=0), "-", IF(SUM(IF('CO-PO Mapping'!T$2,$AH68*$AB$29,0),IF('CO-PO Mapping'!T$3,$AI68*$AC$29,0),IF('CO-PO Mapping'!T$4,$AJ68*$AD$29,0),IF('CO-PO Mapping'!T$5,$AK68*$AE$29,0),IF('CO-PO Mapping'!T$6,$AL68*$AF$29,0),IF('CO-PO Mapping'!T$7,$AM68*$AG$29,0))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8" s="95" t="str">
        <f>IF('CO-PO Mapping'!U$2, IF(OR($AN68="-",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IF(OR($AP68="-", SUM( IF('CO-PO Mapping'!U$2,$AB$29,0), IF('CO-PO Mapping'!U$3,$AC$29,0), IF('CO-PO Mapping'!U$4,$AD$29,0), IF('CO-PO Mapping'!U$5,$AE$29,0), IF('CO-PO Mapping'!U$6,$AF$29,0), IF('CO-PO Mapping'!U$7,$AG$29,0) )=0), "-", IF( SUM( IF('CO-PO Mapping'!U$2,$AH68*$AB$29,0), IF('CO-PO Mapping'!U$3,$AI68*$AC$29,0), IF('CO-PO Mapping'!U$4,$AJ68*$AD$29,0), IF('CO-PO Mapping'!U$5,$AK68*$AE$29,0), IF('CO-PO Mapping'!U$6,$AL68*$AF$29,0), IF('CO-PO Mapping'!U$7,$AM68*$AG$29,0)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IF('CO-PO Mapping'!U$6, IF(OR($AR68="-",SUM(IF('CO-PO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IF('CO-PO Mapping'!U$7, IF(OR($AS68="-",SUM(IF('CO-PO Mapping'!U$2,$AB$29,0),IF('CO-PO Mapping'!U$3,$AC$29,0),IF('CO-PO Mapping'!U$4,$AD$29,0),IF('CO-PO Mapping'!U$5,$AE$29,0),IF('CO-PO Mapping'!U$6,$AF$29,0),IF('CO-PO Mapping'!U$7,$AG$29,0))=0), "-", IF(SUM(IF('CO-PO Mapping'!U$2,$AH68*$AB$29,0),IF('CO-PO Mapping'!U$3,$AI68*$AC$29,0),IF('CO-PO Mapping'!U$4,$AJ68*$AD$29,0),IF('CO-PO Mapping'!U$5,$AK68*$AE$29,0),IF('CO-PO Mapping'!U$6,$AL68*$AF$29,0),IF('CO-PO Mapping'!U$7,$AM68*$AG$29,0))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8" s="95" t="str">
        <f>IF('CO-PO Mapping'!V$2, IF(OR($AN68="-",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IF(OR($AP68="-", SUM( IF('CO-PO Mapping'!V$2,$AB$29,0), IF('CO-PO Mapping'!V$3,$AC$29,0), IF('CO-PO Mapping'!V$4,$AD$29,0), IF('CO-PO Mapping'!V$5,$AE$29,0), IF('CO-PO Mapping'!V$6,$AF$29,0), IF('CO-PO Mapping'!V$7,$AG$29,0) )=0), "-", IF( SUM( IF('CO-PO Mapping'!V$2,$AH68*$AB$29,0), IF('CO-PO Mapping'!V$3,$AI68*$AC$29,0), IF('CO-PO Mapping'!V$4,$AJ68*$AD$29,0), IF('CO-PO Mapping'!V$5,$AK68*$AE$29,0), IF('CO-PO Mapping'!V$6,$AL68*$AF$29,0), IF('CO-PO Mapping'!V$7,$AM68*$AG$29,0)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IF('CO-PO Mapping'!V$6, IF(OR($AR68="-",SUM(IF('CO-PO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IF('CO-PO Mapping'!V$7, IF(OR($AS68="-",SUM(IF('CO-PO Mapping'!V$2,$AB$29,0),IF('CO-PO Mapping'!V$3,$AC$29,0),IF('CO-PO Mapping'!V$4,$AD$29,0),IF('CO-PO Mapping'!V$5,$AE$29,0),IF('CO-PO Mapping'!V$6,$AF$29,0),IF('CO-PO Mapping'!V$7,$AG$29,0))=0), "-", IF(SUM(IF('CO-PO Mapping'!V$2,$AH68*$AB$29,0),IF('CO-PO Mapping'!V$3,$AI68*$AC$29,0),IF('CO-PO Mapping'!V$4,$AJ68*$AD$29,0),IF('CO-PO Mapping'!V$5,$AK68*$AE$29,0),IF('CO-PO Mapping'!V$6,$AL68*$AF$29,0),IF('CO-PO Mapping'!V$7,$AM68*$AG$29,0))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8" s="95" t="str">
        <f>IF('CO-PO Mapping'!W$2, IF(OR($AN68="-",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IF(OR($AP68="-", SUM( IF('CO-PO Mapping'!W$2,$AB$29,0), IF('CO-PO Mapping'!W$3,$AC$29,0), IF('CO-PO Mapping'!W$4,$AD$29,0), IF('CO-PO Mapping'!W$5,$AE$29,0), IF('CO-PO Mapping'!W$6,$AF$29,0), IF('CO-PO Mapping'!W$7,$AG$29,0) )=0), "-", IF( SUM( IF('CO-PO Mapping'!W$2,$AH68*$AB$29,0), IF('CO-PO Mapping'!W$3,$AI68*$AC$29,0), IF('CO-PO Mapping'!W$4,$AJ68*$AD$29,0), IF('CO-PO Mapping'!W$5,$AK68*$AE$29,0), IF('CO-PO Mapping'!W$6,$AL68*$AF$29,0), IF('CO-PO Mapping'!W$7,$AM68*$AG$29,0)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IF('CO-PO Mapping'!W$6, IF(OR($AR68="-",SUM(IF('CO-PO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IF('CO-PO Mapping'!W$7, IF(OR($AS68="-",SUM(IF('CO-PO Mapping'!W$2,$AB$29,0),IF('CO-PO Mapping'!W$3,$AC$29,0),IF('CO-PO Mapping'!W$4,$AD$29,0),IF('CO-PO Mapping'!W$5,$AE$29,0),IF('CO-PO Mapping'!W$6,$AF$29,0),IF('CO-PO Mapping'!W$7,$AG$29,0))=0), "-", IF(SUM(IF('CO-PO Mapping'!W$2,$AH68*$AB$29,0),IF('CO-PO Mapping'!W$3,$AI68*$AC$29,0),IF('CO-PO Mapping'!W$4,$AJ68*$AD$29,0),IF('CO-PO Mapping'!W$5,$AK68*$AE$29,0),IF('CO-PO Mapping'!W$6,$AL68*$AF$29,0),IF('CO-PO Mapping'!W$7,$AM68*$AG$29,0))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8" s="95" t="str">
        <f>IF('CO-PO Mapping'!X$2, IF(OR($AN68="-",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IF(OR($AP68="-", SUM( IF('CO-PO Mapping'!X$2,$AB$29,0), IF('CO-PO Mapping'!X$3,$AC$29,0), IF('CO-PO Mapping'!X$4,$AD$29,0), IF('CO-PO Mapping'!X$5,$AE$29,0), IF('CO-PO Mapping'!X$6,$AF$29,0), IF('CO-PO Mapping'!X$7,$AG$29,0) )=0), "-", IF( SUM( IF('CO-PO Mapping'!X$2,$AH68*$AB$29,0), IF('CO-PO Mapping'!X$3,$AI68*$AC$29,0), IF('CO-PO Mapping'!X$4,$AJ68*$AD$29,0), IF('CO-PO Mapping'!X$5,$AK68*$AE$29,0), IF('CO-PO Mapping'!X$6,$AL68*$AF$29,0), IF('CO-PO Mapping'!X$7,$AM68*$AG$29,0)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IF('CO-PO Mapping'!X$6, IF(OR($AR68="-",SUM(IF('CO-PO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IF('CO-PO Mapping'!X$7, IF(OR($AS68="-",SUM(IF('CO-PO Mapping'!X$2,$AB$29,0),IF('CO-PO Mapping'!X$3,$AC$29,0),IF('CO-PO Mapping'!X$4,$AD$29,0),IF('CO-PO Mapping'!X$5,$AE$29,0),IF('CO-PO Mapping'!X$6,$AF$29,0),IF('CO-PO Mapping'!X$7,$AG$29,0))=0), "-", IF(SUM(IF('CO-PO Mapping'!X$2,$AH68*$AB$29,0),IF('CO-PO Mapping'!X$3,$AI68*$AC$29,0),IF('CO-PO Mapping'!X$4,$AJ68*$AD$29,0),IF('CO-PO Mapping'!X$5,$AK68*$AE$29,0),IF('CO-PO Mapping'!X$6,$AL68*$AF$29,0),IF('CO-PO Mapping'!X$7,$AM68*$AG$29,0))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8" s="95" t="str">
        <f>IF('CO-PO Mapping'!Y$2, IF(OR($AN68="-",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IF(OR($AP68="-", SUM( IF('CO-PO Mapping'!Y$2,$AB$29,0), IF('CO-PO Mapping'!Y$3,$AC$29,0), IF('CO-PO Mapping'!Y$4,$AD$29,0), IF('CO-PO Mapping'!Y$5,$AE$29,0), IF('CO-PO Mapping'!Y$6,$AF$29,0), IF('CO-PO Mapping'!Y$7,$AG$29,0) )=0), "-", IF( SUM( IF('CO-PO Mapping'!Y$2,$AH68*$AB$29,0), IF('CO-PO Mapping'!Y$3,$AI68*$AC$29,0), IF('CO-PO Mapping'!Y$4,$AJ68*$AD$29,0), IF('CO-PO Mapping'!Y$5,$AK68*$AE$29,0), IF('CO-PO Mapping'!Y$6,$AL68*$AF$29,0), IF('CO-PO Mapping'!Y$7,$AM68*$AG$29,0)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IF('CO-PO Mapping'!Y$6, IF(OR($AR68="-",SUM(IF('CO-PO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IF('CO-PO Mapping'!Y$7, IF(OR($AS68="-",SUM(IF('CO-PO Mapping'!Y$2,$AB$29,0),IF('CO-PO Mapping'!Y$3,$AC$29,0),IF('CO-PO Mapping'!Y$4,$AD$29,0),IF('CO-PO Mapping'!Y$5,$AE$29,0),IF('CO-PO Mapping'!Y$6,$AF$29,0),IF('CO-PO Mapping'!Y$7,$AG$29,0))=0), "-", IF(SUM(IF('CO-PO Mapping'!Y$2,$AH68*$AB$29,0),IF('CO-PO Mapping'!Y$3,$AI68*$AC$29,0),IF('CO-PO Mapping'!Y$4,$AJ68*$AD$29,0),IF('CO-PO Mapping'!Y$5,$AK68*$AE$29,0),IF('CO-PO Mapping'!Y$6,$AL68*$AF$29,0),IF('CO-PO Mapping'!Y$7,$AM68*$AG$29,0))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8" s="95" t="str">
        <f>IF('CO-PO Mapping'!Z$2, IF(OR($AN68="-",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IF(OR($AP68="-", SUM( IF('CO-PO Mapping'!Z$2,$AB$29,0), IF('CO-PO Mapping'!Z$3,$AC$29,0), IF('CO-PO Mapping'!Z$4,$AD$29,0), IF('CO-PO Mapping'!Z$5,$AE$29,0), IF('CO-PO Mapping'!Z$6,$AF$29,0), IF('CO-PO Mapping'!Z$7,$AG$29,0) )=0), "-", IF( SUM( IF('CO-PO Mapping'!Z$2,$AH68*$AB$29,0), IF('CO-PO Mapping'!Z$3,$AI68*$AC$29,0), IF('CO-PO Mapping'!Z$4,$AJ68*$AD$29,0), IF('CO-PO Mapping'!Z$5,$AK68*$AE$29,0), IF('CO-PO Mapping'!Z$6,$AL68*$AF$29,0), IF('CO-PO Mapping'!Z$7,$AM68*$AG$29,0)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IF('CO-PO Mapping'!Z$6, IF(OR($AR68="-",SUM(IF('CO-PO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IF('CO-PO Mapping'!Z$7, IF(OR($AS68="-",SUM(IF('CO-PO Mapping'!Z$2,$AB$29,0),IF('CO-PO Mapping'!Z$3,$AC$29,0),IF('CO-PO Mapping'!Z$4,$AD$29,0),IF('CO-PO Mapping'!Z$5,$AE$29,0),IF('CO-PO Mapping'!Z$6,$AF$29,0),IF('CO-PO Mapping'!Z$7,$AG$29,0))=0), "-", IF(SUM(IF('CO-PO Mapping'!Z$2,$AH68*$AB$29,0),IF('CO-PO Mapping'!Z$3,$AI68*$AC$29,0),IF('CO-PO Mapping'!Z$4,$AJ68*$AD$29,0),IF('CO-PO Mapping'!Z$5,$AK68*$AE$29,0),IF('CO-PO Mapping'!Z$6,$AL68*$AF$29,0),IF('CO-PO Mapping'!Z$7,$AM68*$AG$29,0))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69" spans="1:57" ht="15" customHeight="1" thickBot="1">
      <c r="A69" s="110">
        <v>22235103630</v>
      </c>
      <c r="B69" s="111" t="s">
        <v>186</v>
      </c>
      <c r="C69" s="74">
        <v>4</v>
      </c>
      <c r="D69" s="75"/>
      <c r="E69" s="75">
        <v>20</v>
      </c>
      <c r="F69" s="75"/>
      <c r="G69" s="75"/>
      <c r="H69" s="103">
        <f t="shared" si="2"/>
        <v>24</v>
      </c>
      <c r="I69" s="75">
        <v>8</v>
      </c>
      <c r="J69" s="75">
        <v>9</v>
      </c>
      <c r="K69" s="75">
        <v>8</v>
      </c>
      <c r="L69" s="75"/>
      <c r="M69" s="75"/>
      <c r="N69" s="75"/>
      <c r="O69" s="105">
        <f t="shared" si="3"/>
        <v>25</v>
      </c>
      <c r="P69" s="75">
        <v>15</v>
      </c>
      <c r="Q69" s="75">
        <v>17</v>
      </c>
      <c r="R69" s="75"/>
      <c r="S69" s="75"/>
      <c r="T69" s="75"/>
      <c r="U69" s="75"/>
      <c r="V69" s="104">
        <f t="shared" si="4"/>
        <v>32</v>
      </c>
      <c r="W69" s="83">
        <f t="shared" si="5"/>
        <v>81</v>
      </c>
      <c r="X69" s="98" t="str">
        <f t="shared" si="10"/>
        <v>A (Plus)</v>
      </c>
      <c r="Y69" s="48"/>
      <c r="Z69" s="42">
        <f t="shared" si="26"/>
        <v>22235103630</v>
      </c>
      <c r="AA69" s="43" t="str">
        <f t="shared" si="27"/>
        <v>Naimur Sakib</v>
      </c>
      <c r="AB69" s="90">
        <f t="shared" si="11"/>
        <v>32</v>
      </c>
      <c r="AC69" s="90">
        <f t="shared" si="11"/>
        <v>24</v>
      </c>
      <c r="AD69" s="90">
        <f t="shared" si="11"/>
        <v>25</v>
      </c>
      <c r="AE69" s="90">
        <f t="shared" si="11"/>
        <v>0</v>
      </c>
      <c r="AF69" s="90">
        <f t="shared" si="11"/>
        <v>0</v>
      </c>
      <c r="AG69" s="90">
        <f t="shared" si="25"/>
        <v>0</v>
      </c>
      <c r="AH69" s="92">
        <f t="shared" si="12"/>
        <v>80</v>
      </c>
      <c r="AI69" s="92">
        <f t="shared" si="13"/>
        <v>80</v>
      </c>
      <c r="AJ69" s="92">
        <f t="shared" si="14"/>
        <v>83.333333333333329</v>
      </c>
      <c r="AK69" s="92">
        <f t="shared" si="22"/>
        <v>0</v>
      </c>
      <c r="AL69" s="92">
        <f t="shared" si="15"/>
        <v>0</v>
      </c>
      <c r="AM69" s="92">
        <f t="shared" si="16"/>
        <v>0</v>
      </c>
      <c r="AN69" s="93" t="str">
        <f t="shared" si="23"/>
        <v>Y</v>
      </c>
      <c r="AO69" s="93" t="str">
        <f t="shared" si="17"/>
        <v>Y</v>
      </c>
      <c r="AP69" s="93" t="str">
        <f t="shared" si="18"/>
        <v>Y</v>
      </c>
      <c r="AQ69" s="93" t="str">
        <f t="shared" si="19"/>
        <v>N</v>
      </c>
      <c r="AR69" s="93" t="str">
        <f t="shared" si="20"/>
        <v>N</v>
      </c>
      <c r="AS69" s="93" t="str">
        <f>IF(OR($Z69="",AND(AM69=0,$Z69="")),"-",IF(AM69&gt;=$AQ$27,"Y","N"))</f>
        <v>N</v>
      </c>
      <c r="AT69" s="95" t="str">
        <f>IF('CO-PO Mapping'!O$2, IF(OR($AN69="-",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IF(OR($AP69="-", SUM( IF('CO-PO Mapping'!O$2,$AB$29,0), IF('CO-PO Mapping'!O$3,$AC$29,0), IF('CO-PO Mapping'!O$4,$AD$29,0), IF('CO-PO Mapping'!O$5,$AE$29,0), IF('CO-PO Mapping'!O$6,$AF$29,0), IF('CO-PO Mapping'!O$7,$AG$29,0) )=0), "-", IF( SUM( IF('CO-PO Mapping'!O$2,$AH69*$AB$29,0), IF('CO-PO Mapping'!O$3,$AI69*$AC$29,0), IF('CO-PO Mapping'!O$4,$AJ69*$AD$29,0), IF('CO-PO Mapping'!O$5,$AK69*$AE$29,0), IF('CO-PO Mapping'!O$6,$AL69*$AF$29,0), IF('CO-PO Mapping'!O$7,$AM69*$AG$29,0)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IF('CO-PO Mapping'!O$6, IF(OR($AR69="-",SUM(IF('CO-PO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IF('CO-PO Mapping'!O$7, IF(OR($AS69="-",SUM(IF('CO-PO Mapping'!O$2,$AB$29,0),IF('CO-PO Mapping'!O$3,$AC$29,0),IF('CO-PO Mapping'!O$4,$AD$29,0),IF('CO-PO Mapping'!O$5,$AE$29,0),IF('CO-PO Mapping'!O$6,$AF$29,0),IF('CO-PO Mapping'!O$7,$AG$29,0))=0), "-", IF(SUM(IF('CO-PO Mapping'!O$2,$AH69*$AB$29,0),IF('CO-PO Mapping'!O$3,$AI69*$AC$29,0),IF('CO-PO Mapping'!O$4,$AJ69*$AD$29,0),IF('CO-PO Mapping'!O$5,$AK69*$AE$29,0),IF('CO-PO Mapping'!O$6,$AL69*$AF$29,0),IF('CO-PO Mapping'!O$7,$AM69*$AG$29,0))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69" s="95" t="str">
        <f>IF('CO-PO Mapping'!P$2, IF(OR($AN69="-",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IF(OR($AP69="-", SUM( IF('CO-PO Mapping'!P$2,$AB$29,0), IF('CO-PO Mapping'!P$3,$AC$29,0), IF('CO-PO Mapping'!P$4,$AD$29,0), IF('CO-PO Mapping'!P$5,$AE$29,0), IF('CO-PO Mapping'!P$6,$AF$29,0), IF('CO-PO Mapping'!P$7,$AG$29,0) )=0), "-", IF( SUM( IF('CO-PO Mapping'!P$2,$AH69*$AB$29,0), IF('CO-PO Mapping'!P$3,$AI69*$AC$29,0), IF('CO-PO Mapping'!P$4,$AJ69*$AD$29,0), IF('CO-PO Mapping'!P$5,$AK69*$AE$29,0), IF('CO-PO Mapping'!P$6,$AL69*$AF$29,0), IF('CO-PO Mapping'!P$7,$AM69*$AG$29,0)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IF('CO-PO Mapping'!P$6, IF(OR($AR69="-",SUM(IF('CO-PO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IF('CO-PO Mapping'!P$7, IF(OR($AS69="-",SUM(IF('CO-PO Mapping'!P$2,$AB$29,0),IF('CO-PO Mapping'!P$3,$AC$29,0),IF('CO-PO Mapping'!P$4,$AD$29,0),IF('CO-PO Mapping'!P$5,$AE$29,0),IF('CO-PO Mapping'!P$6,$AF$29,0),IF('CO-PO Mapping'!P$7,$AG$29,0))=0), "-", IF(SUM(IF('CO-PO Mapping'!P$2,$AH69*$AB$29,0),IF('CO-PO Mapping'!P$3,$AI69*$AC$29,0),IF('CO-PO Mapping'!P$4,$AJ69*$AD$29,0),IF('CO-PO Mapping'!P$5,$AK69*$AE$29,0),IF('CO-PO Mapping'!P$6,$AL69*$AF$29,0),IF('CO-PO Mapping'!P$7,$AM69*$AG$29,0))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69" s="95" t="str">
        <f>IF('CO-PO Mapping'!Q$2, IF(OR($AN69="-",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IF(OR($AP69="-", SUM( IF('CO-PO Mapping'!Q$2,$AB$29,0), IF('CO-PO Mapping'!Q$3,$AC$29,0), IF('CO-PO Mapping'!Q$4,$AD$29,0), IF('CO-PO Mapping'!Q$5,$AE$29,0), IF('CO-PO Mapping'!Q$6,$AF$29,0), IF('CO-PO Mapping'!Q$7,$AG$29,0) )=0), "-", IF( SUM( IF('CO-PO Mapping'!Q$2,$AH69*$AB$29,0), IF('CO-PO Mapping'!Q$3,$AI69*$AC$29,0), IF('CO-PO Mapping'!Q$4,$AJ69*$AD$29,0), IF('CO-PO Mapping'!Q$5,$AK69*$AE$29,0), IF('CO-PO Mapping'!Q$6,$AL69*$AF$29,0), IF('CO-PO Mapping'!Q$7,$AM69*$AG$29,0)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IF('CO-PO Mapping'!Q$6, IF(OR($AR69="-",SUM(IF('CO-PO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IF('CO-PO Mapping'!Q$7, IF(OR($AS69="-",SUM(IF('CO-PO Mapping'!Q$2,$AB$29,0),IF('CO-PO Mapping'!Q$3,$AC$29,0),IF('CO-PO Mapping'!Q$4,$AD$29,0),IF('CO-PO Mapping'!Q$5,$AE$29,0),IF('CO-PO Mapping'!Q$6,$AF$29,0),IF('CO-PO Mapping'!Q$7,$AG$29,0))=0), "-", IF(SUM(IF('CO-PO Mapping'!Q$2,$AH69*$AB$29,0),IF('CO-PO Mapping'!Q$3,$AI69*$AC$29,0),IF('CO-PO Mapping'!Q$4,$AJ69*$AD$29,0),IF('CO-PO Mapping'!Q$5,$AK69*$AE$29,0),IF('CO-PO Mapping'!Q$6,$AL69*$AF$29,0),IF('CO-PO Mapping'!Q$7,$AM69*$AG$29,0))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69" s="95" t="str">
        <f>IF('CO-PO Mapping'!R$2, IF(OR($AN69="-",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IF(OR($AP69="-", SUM( IF('CO-PO Mapping'!R$2,$AB$29,0), IF('CO-PO Mapping'!R$3,$AC$29,0), IF('CO-PO Mapping'!R$4,$AD$29,0), IF('CO-PO Mapping'!R$5,$AE$29,0), IF('CO-PO Mapping'!R$6,$AF$29,0), IF('CO-PO Mapping'!R$7,$AG$29,0) )=0), "-", IF( SUM( IF('CO-PO Mapping'!R$2,$AH69*$AB$29,0), IF('CO-PO Mapping'!R$3,$AI69*$AC$29,0), IF('CO-PO Mapping'!R$4,$AJ69*$AD$29,0), IF('CO-PO Mapping'!R$5,$AK69*$AE$29,0), IF('CO-PO Mapping'!R$6,$AL69*$AF$29,0), IF('CO-PO Mapping'!R$7,$AM69*$AG$29,0)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IF('CO-PO Mapping'!R$6, IF(OR($AR69="-",SUM(IF('CO-PO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IF('CO-PO Mapping'!R$7, IF(OR($AS69="-",SUM(IF('CO-PO Mapping'!R$2,$AB$29,0),IF('CO-PO Mapping'!R$3,$AC$29,0),IF('CO-PO Mapping'!R$4,$AD$29,0),IF('CO-PO Mapping'!R$5,$AE$29,0),IF('CO-PO Mapping'!R$6,$AF$29,0),IF('CO-PO Mapping'!R$7,$AG$29,0))=0), "-", IF(SUM(IF('CO-PO Mapping'!R$2,$AH69*$AB$29,0),IF('CO-PO Mapping'!R$3,$AI69*$AC$29,0),IF('CO-PO Mapping'!R$4,$AJ69*$AD$29,0),IF('CO-PO Mapping'!R$5,$AK69*$AE$29,0),IF('CO-PO Mapping'!R$6,$AL69*$AF$29,0),IF('CO-PO Mapping'!R$7,$AM69*$AG$29,0))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69" s="95" t="str">
        <f>IF('CO-PO Mapping'!S$2, IF(OR($AN69="-",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IF(OR($AP69="-", SUM( IF('CO-PO Mapping'!S$2,$AB$29,0), IF('CO-PO Mapping'!S$3,$AC$29,0), IF('CO-PO Mapping'!S$4,$AD$29,0), IF('CO-PO Mapping'!S$5,$AE$29,0), IF('CO-PO Mapping'!S$6,$AF$29,0), IF('CO-PO Mapping'!S$7,$AG$29,0) )=0), "-", IF( SUM( IF('CO-PO Mapping'!S$2,$AH69*$AB$29,0), IF('CO-PO Mapping'!S$3,$AI69*$AC$29,0), IF('CO-PO Mapping'!S$4,$AJ69*$AD$29,0), IF('CO-PO Mapping'!S$5,$AK69*$AE$29,0), IF('CO-PO Mapping'!S$6,$AL69*$AF$29,0), IF('CO-PO Mapping'!S$7,$AM69*$AG$29,0)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IF('CO-PO Mapping'!S$6, IF(OR($AR69="-",SUM(IF('CO-PO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IF('CO-PO Mapping'!S$7, IF(OR($AS69="-",SUM(IF('CO-PO Mapping'!S$2,$AB$29,0),IF('CO-PO Mapping'!S$3,$AC$29,0),IF('CO-PO Mapping'!S$4,$AD$29,0),IF('CO-PO Mapping'!S$5,$AE$29,0),IF('CO-PO Mapping'!S$6,$AF$29,0),IF('CO-PO Mapping'!S$7,$AG$29,0))=0), "-", IF(SUM(IF('CO-PO Mapping'!S$2,$AH69*$AB$29,0),IF('CO-PO Mapping'!S$3,$AI69*$AC$29,0),IF('CO-PO Mapping'!S$4,$AJ69*$AD$29,0),IF('CO-PO Mapping'!S$5,$AK69*$AE$29,0),IF('CO-PO Mapping'!S$6,$AL69*$AF$29,0),IF('CO-PO Mapping'!S$7,$AM69*$AG$29,0))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69" s="95" t="str">
        <f>IF('CO-PO Mapping'!T$2, IF(OR($AN69="-",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IF(OR($AP69="-", SUM( IF('CO-PO Mapping'!T$2,$AB$29,0), IF('CO-PO Mapping'!T$3,$AC$29,0), IF('CO-PO Mapping'!T$4,$AD$29,0), IF('CO-PO Mapping'!T$5,$AE$29,0), IF('CO-PO Mapping'!T$6,$AF$29,0), IF('CO-PO Mapping'!T$7,$AG$29,0) )=0), "-", IF( SUM( IF('CO-PO Mapping'!T$2,$AH69*$AB$29,0), IF('CO-PO Mapping'!T$3,$AI69*$AC$29,0), IF('CO-PO Mapping'!T$4,$AJ69*$AD$29,0), IF('CO-PO Mapping'!T$5,$AK69*$AE$29,0), IF('CO-PO Mapping'!T$6,$AL69*$AF$29,0), IF('CO-PO Mapping'!T$7,$AM69*$AG$29,0)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IF('CO-PO Mapping'!T$6, IF(OR($AR69="-",SUM(IF('CO-PO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IF('CO-PO Mapping'!T$7, IF(OR($AS69="-",SUM(IF('CO-PO Mapping'!T$2,$AB$29,0),IF('CO-PO Mapping'!T$3,$AC$29,0),IF('CO-PO Mapping'!T$4,$AD$29,0),IF('CO-PO Mapping'!T$5,$AE$29,0),IF('CO-PO Mapping'!T$6,$AF$29,0),IF('CO-PO Mapping'!T$7,$AG$29,0))=0), "-", IF(SUM(IF('CO-PO Mapping'!T$2,$AH69*$AB$29,0),IF('CO-PO Mapping'!T$3,$AI69*$AC$29,0),IF('CO-PO Mapping'!T$4,$AJ69*$AD$29,0),IF('CO-PO Mapping'!T$5,$AK69*$AE$29,0),IF('CO-PO Mapping'!T$6,$AL69*$AF$29,0),IF('CO-PO Mapping'!T$7,$AM69*$AG$29,0))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69" s="95" t="str">
        <f>IF('CO-PO Mapping'!U$2, IF(OR($AN69="-",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IF(OR($AP69="-", SUM( IF('CO-PO Mapping'!U$2,$AB$29,0), IF('CO-PO Mapping'!U$3,$AC$29,0), IF('CO-PO Mapping'!U$4,$AD$29,0), IF('CO-PO Mapping'!U$5,$AE$29,0), IF('CO-PO Mapping'!U$6,$AF$29,0), IF('CO-PO Mapping'!U$7,$AG$29,0) )=0), "-", IF( SUM( IF('CO-PO Mapping'!U$2,$AH69*$AB$29,0), IF('CO-PO Mapping'!U$3,$AI69*$AC$29,0), IF('CO-PO Mapping'!U$4,$AJ69*$AD$29,0), IF('CO-PO Mapping'!U$5,$AK69*$AE$29,0), IF('CO-PO Mapping'!U$6,$AL69*$AF$29,0), IF('CO-PO Mapping'!U$7,$AM69*$AG$29,0)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IF('CO-PO Mapping'!U$6, IF(OR($AR69="-",SUM(IF('CO-PO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IF('CO-PO Mapping'!U$7, IF(OR($AS69="-",SUM(IF('CO-PO Mapping'!U$2,$AB$29,0),IF('CO-PO Mapping'!U$3,$AC$29,0),IF('CO-PO Mapping'!U$4,$AD$29,0),IF('CO-PO Mapping'!U$5,$AE$29,0),IF('CO-PO Mapping'!U$6,$AF$29,0),IF('CO-PO Mapping'!U$7,$AG$29,0))=0), "-", IF(SUM(IF('CO-PO Mapping'!U$2,$AH69*$AB$29,0),IF('CO-PO Mapping'!U$3,$AI69*$AC$29,0),IF('CO-PO Mapping'!U$4,$AJ69*$AD$29,0),IF('CO-PO Mapping'!U$5,$AK69*$AE$29,0),IF('CO-PO Mapping'!U$6,$AL69*$AF$29,0),IF('CO-PO Mapping'!U$7,$AM69*$AG$29,0))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69" s="95" t="str">
        <f>IF('CO-PO Mapping'!V$2, IF(OR($AN69="-",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IF(OR($AP69="-", SUM( IF('CO-PO Mapping'!V$2,$AB$29,0), IF('CO-PO Mapping'!V$3,$AC$29,0), IF('CO-PO Mapping'!V$4,$AD$29,0), IF('CO-PO Mapping'!V$5,$AE$29,0), IF('CO-PO Mapping'!V$6,$AF$29,0), IF('CO-PO Mapping'!V$7,$AG$29,0) )=0), "-", IF( SUM( IF('CO-PO Mapping'!V$2,$AH69*$AB$29,0), IF('CO-PO Mapping'!V$3,$AI69*$AC$29,0), IF('CO-PO Mapping'!V$4,$AJ69*$AD$29,0), IF('CO-PO Mapping'!V$5,$AK69*$AE$29,0), IF('CO-PO Mapping'!V$6,$AL69*$AF$29,0), IF('CO-PO Mapping'!V$7,$AM69*$AG$29,0)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IF('CO-PO Mapping'!V$6, IF(OR($AR69="-",SUM(IF('CO-PO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IF('CO-PO Mapping'!V$7, IF(OR($AS69="-",SUM(IF('CO-PO Mapping'!V$2,$AB$29,0),IF('CO-PO Mapping'!V$3,$AC$29,0),IF('CO-PO Mapping'!V$4,$AD$29,0),IF('CO-PO Mapping'!V$5,$AE$29,0),IF('CO-PO Mapping'!V$6,$AF$29,0),IF('CO-PO Mapping'!V$7,$AG$29,0))=0), "-", IF(SUM(IF('CO-PO Mapping'!V$2,$AH69*$AB$29,0),IF('CO-PO Mapping'!V$3,$AI69*$AC$29,0),IF('CO-PO Mapping'!V$4,$AJ69*$AD$29,0),IF('CO-PO Mapping'!V$5,$AK69*$AE$29,0),IF('CO-PO Mapping'!V$6,$AL69*$AF$29,0),IF('CO-PO Mapping'!V$7,$AM69*$AG$29,0))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69" s="95" t="str">
        <f>IF('CO-PO Mapping'!W$2, IF(OR($AN69="-",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IF(OR($AP69="-", SUM( IF('CO-PO Mapping'!W$2,$AB$29,0), IF('CO-PO Mapping'!W$3,$AC$29,0), IF('CO-PO Mapping'!W$4,$AD$29,0), IF('CO-PO Mapping'!W$5,$AE$29,0), IF('CO-PO Mapping'!W$6,$AF$29,0), IF('CO-PO Mapping'!W$7,$AG$29,0) )=0), "-", IF( SUM( IF('CO-PO Mapping'!W$2,$AH69*$AB$29,0), IF('CO-PO Mapping'!W$3,$AI69*$AC$29,0), IF('CO-PO Mapping'!W$4,$AJ69*$AD$29,0), IF('CO-PO Mapping'!W$5,$AK69*$AE$29,0), IF('CO-PO Mapping'!W$6,$AL69*$AF$29,0), IF('CO-PO Mapping'!W$7,$AM69*$AG$29,0)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IF('CO-PO Mapping'!W$6, IF(OR($AR69="-",SUM(IF('CO-PO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IF('CO-PO Mapping'!W$7, IF(OR($AS69="-",SUM(IF('CO-PO Mapping'!W$2,$AB$29,0),IF('CO-PO Mapping'!W$3,$AC$29,0),IF('CO-PO Mapping'!W$4,$AD$29,0),IF('CO-PO Mapping'!W$5,$AE$29,0),IF('CO-PO Mapping'!W$6,$AF$29,0),IF('CO-PO Mapping'!W$7,$AG$29,0))=0), "-", IF(SUM(IF('CO-PO Mapping'!W$2,$AH69*$AB$29,0),IF('CO-PO Mapping'!W$3,$AI69*$AC$29,0),IF('CO-PO Mapping'!W$4,$AJ69*$AD$29,0),IF('CO-PO Mapping'!W$5,$AK69*$AE$29,0),IF('CO-PO Mapping'!W$6,$AL69*$AF$29,0),IF('CO-PO Mapping'!W$7,$AM69*$AG$29,0))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69" s="95" t="str">
        <f>IF('CO-PO Mapping'!X$2, IF(OR($AN69="-",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IF(OR($AP69="-", SUM( IF('CO-PO Mapping'!X$2,$AB$29,0), IF('CO-PO Mapping'!X$3,$AC$29,0), IF('CO-PO Mapping'!X$4,$AD$29,0), IF('CO-PO Mapping'!X$5,$AE$29,0), IF('CO-PO Mapping'!X$6,$AF$29,0), IF('CO-PO Mapping'!X$7,$AG$29,0) )=0), "-", IF( SUM( IF('CO-PO Mapping'!X$2,$AH69*$AB$29,0), IF('CO-PO Mapping'!X$3,$AI69*$AC$29,0), IF('CO-PO Mapping'!X$4,$AJ69*$AD$29,0), IF('CO-PO Mapping'!X$5,$AK69*$AE$29,0), IF('CO-PO Mapping'!X$6,$AL69*$AF$29,0), IF('CO-PO Mapping'!X$7,$AM69*$AG$29,0)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IF('CO-PO Mapping'!X$6, IF(OR($AR69="-",SUM(IF('CO-PO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IF('CO-PO Mapping'!X$7, IF(OR($AS69="-",SUM(IF('CO-PO Mapping'!X$2,$AB$29,0),IF('CO-PO Mapping'!X$3,$AC$29,0),IF('CO-PO Mapping'!X$4,$AD$29,0),IF('CO-PO Mapping'!X$5,$AE$29,0),IF('CO-PO Mapping'!X$6,$AF$29,0),IF('CO-PO Mapping'!X$7,$AG$29,0))=0), "-", IF(SUM(IF('CO-PO Mapping'!X$2,$AH69*$AB$29,0),IF('CO-PO Mapping'!X$3,$AI69*$AC$29,0),IF('CO-PO Mapping'!X$4,$AJ69*$AD$29,0),IF('CO-PO Mapping'!X$5,$AK69*$AE$29,0),IF('CO-PO Mapping'!X$6,$AL69*$AF$29,0),IF('CO-PO Mapping'!X$7,$AM69*$AG$29,0))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69" s="95" t="str">
        <f>IF('CO-PO Mapping'!Y$2, IF(OR($AN69="-",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IF(OR($AP69="-", SUM( IF('CO-PO Mapping'!Y$2,$AB$29,0), IF('CO-PO Mapping'!Y$3,$AC$29,0), IF('CO-PO Mapping'!Y$4,$AD$29,0), IF('CO-PO Mapping'!Y$5,$AE$29,0), IF('CO-PO Mapping'!Y$6,$AF$29,0), IF('CO-PO Mapping'!Y$7,$AG$29,0) )=0), "-", IF( SUM( IF('CO-PO Mapping'!Y$2,$AH69*$AB$29,0), IF('CO-PO Mapping'!Y$3,$AI69*$AC$29,0), IF('CO-PO Mapping'!Y$4,$AJ69*$AD$29,0), IF('CO-PO Mapping'!Y$5,$AK69*$AE$29,0), IF('CO-PO Mapping'!Y$6,$AL69*$AF$29,0), IF('CO-PO Mapping'!Y$7,$AM69*$AG$29,0)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IF('CO-PO Mapping'!Y$6, IF(OR($AR69="-",SUM(IF('CO-PO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IF('CO-PO Mapping'!Y$7, IF(OR($AS69="-",SUM(IF('CO-PO Mapping'!Y$2,$AB$29,0),IF('CO-PO Mapping'!Y$3,$AC$29,0),IF('CO-PO Mapping'!Y$4,$AD$29,0),IF('CO-PO Mapping'!Y$5,$AE$29,0),IF('CO-PO Mapping'!Y$6,$AF$29,0),IF('CO-PO Mapping'!Y$7,$AG$29,0))=0), "-", IF(SUM(IF('CO-PO Mapping'!Y$2,$AH69*$AB$29,0),IF('CO-PO Mapping'!Y$3,$AI69*$AC$29,0),IF('CO-PO Mapping'!Y$4,$AJ69*$AD$29,0),IF('CO-PO Mapping'!Y$5,$AK69*$AE$29,0),IF('CO-PO Mapping'!Y$6,$AL69*$AF$29,0),IF('CO-PO Mapping'!Y$7,$AM69*$AG$29,0))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69" s="95" t="str">
        <f>IF('CO-PO Mapping'!Z$2, IF(OR($AN69="-",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IF(OR($AP69="-", SUM( IF('CO-PO Mapping'!Z$2,$AB$29,0), IF('CO-PO Mapping'!Z$3,$AC$29,0), IF('CO-PO Mapping'!Z$4,$AD$29,0), IF('CO-PO Mapping'!Z$5,$AE$29,0), IF('CO-PO Mapping'!Z$6,$AF$29,0), IF('CO-PO Mapping'!Z$7,$AG$29,0) )=0), "-", IF( SUM( IF('CO-PO Mapping'!Z$2,$AH69*$AB$29,0), IF('CO-PO Mapping'!Z$3,$AI69*$AC$29,0), IF('CO-PO Mapping'!Z$4,$AJ69*$AD$29,0), IF('CO-PO Mapping'!Z$5,$AK69*$AE$29,0), IF('CO-PO Mapping'!Z$6,$AL69*$AF$29,0), IF('CO-PO Mapping'!Z$7,$AM69*$AG$29,0)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IF('CO-PO Mapping'!Z$6, IF(OR($AR69="-",SUM(IF('CO-PO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IF('CO-PO Mapping'!Z$7, IF(OR($AS69="-",SUM(IF('CO-PO Mapping'!Z$2,$AB$29,0),IF('CO-PO Mapping'!Z$3,$AC$29,0),IF('CO-PO Mapping'!Z$4,$AD$29,0),IF('CO-PO Mapping'!Z$5,$AE$29,0),IF('CO-PO Mapping'!Z$6,$AF$29,0),IF('CO-PO Mapping'!Z$7,$AG$29,0))=0), "-", IF(SUM(IF('CO-PO Mapping'!Z$2,$AH69*$AB$29,0),IF('CO-PO Mapping'!Z$3,$AI69*$AC$29,0),IF('CO-PO Mapping'!Z$4,$AJ69*$AD$29,0),IF('CO-PO Mapping'!Z$5,$AK69*$AE$29,0),IF('CO-PO Mapping'!Z$6,$AL69*$AF$29,0),IF('CO-PO Mapping'!Z$7,$AM69*$AG$29,0))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0" spans="1:57" ht="15" customHeight="1">
      <c r="A70" s="112">
        <v>22235103634</v>
      </c>
      <c r="B70" s="113" t="s">
        <v>187</v>
      </c>
      <c r="C70" s="74">
        <v>4</v>
      </c>
      <c r="D70" s="74"/>
      <c r="E70" s="75">
        <v>20</v>
      </c>
      <c r="F70" s="75"/>
      <c r="G70" s="75"/>
      <c r="H70" s="103">
        <f>IF(LEN(A70)=11,IF(OR(C70&gt;C$29,D70&gt;D$29,E70&gt;E$29,F70&gt;F$29,G70&gt;G$29,C70&lt;0,D70&lt;0,E70&lt;0,F70&lt;0,G70&lt;0),"Error",SUM(C70:G70)),"-")</f>
        <v>24</v>
      </c>
      <c r="I70" s="75">
        <v>8</v>
      </c>
      <c r="J70" s="75">
        <v>8</v>
      </c>
      <c r="K70" s="75">
        <v>6</v>
      </c>
      <c r="L70" s="75"/>
      <c r="M70" s="75"/>
      <c r="N70" s="75"/>
      <c r="O70" s="105">
        <f t="shared" si="3"/>
        <v>22</v>
      </c>
      <c r="P70" s="75">
        <v>18</v>
      </c>
      <c r="Q70" s="75">
        <v>16</v>
      </c>
      <c r="R70" s="75"/>
      <c r="S70" s="75"/>
      <c r="T70" s="75"/>
      <c r="U70" s="75"/>
      <c r="V70" s="104">
        <f>IF(LEN(A70)=11,IF(OR(P70=UPPER("a"),Q70=UPPER("a"),R70=UPPER("a"),S70=UPPER("a"),T70=UPPER("a"),U70=UPPER("a")),"A",IF(OR(P70&gt;P$29,Q70&gt;Q$29,R70&gt;R$29,S70&gt;S$29,T70&gt;T$29,U70&gt;U$29,P70&lt;0,Q70&lt;0,R70&lt;0,S70&lt;0,T70&lt;0,U70&lt;0),"Error",SUM(P70:U70))),"-")</f>
        <v>34</v>
      </c>
      <c r="W70" s="83">
        <f t="shared" ref="W70:W100" si="28">IF(LEN(A70)=11,IF(AND(ISNUMBER(H70),ISNUMBER(O70),ISNUMBER(V70)),SUM(H70+O70+V70),"Absent"),"-")</f>
        <v>80</v>
      </c>
      <c r="X70" s="98" t="str">
        <f>IF(LEN(A70)=11,IF(ISNUMBER(W70),IF(A70&lt;&gt;"",IF(W70&gt;=80,"A (Plus)",IF(W70&gt;=75,"A",IF(W70&gt;=70,"A (Minus)",IF(W70&gt;=65,"B (Plus)",IF(W70&gt;=60,"B",IF(W70&gt;=55,"B (Minus)",IF(W70&gt;=50,"C (Plus)",IF(W70&gt;=45,"C",IF(W70&gt;=40,"D","F (Fail)"))))))))),"-"),IF(O70="A","F (Fail)",IF(V70="A","Incomplete","Error"))),"-")</f>
        <v>A (Plus)</v>
      </c>
      <c r="Z70" s="42">
        <f t="shared" si="26"/>
        <v>22235103634</v>
      </c>
      <c r="AA70" s="43" t="str">
        <f t="shared" si="27"/>
        <v>Asmaul Husna</v>
      </c>
      <c r="AB70" s="90">
        <f t="shared" si="11"/>
        <v>32</v>
      </c>
      <c r="AC70" s="90">
        <f t="shared" si="11"/>
        <v>26</v>
      </c>
      <c r="AD70" s="90">
        <f t="shared" si="11"/>
        <v>22</v>
      </c>
      <c r="AE70" s="90">
        <f t="shared" si="11"/>
        <v>0</v>
      </c>
      <c r="AF70" s="90">
        <f t="shared" si="11"/>
        <v>0</v>
      </c>
      <c r="AG70" s="90">
        <f t="shared" si="25"/>
        <v>0</v>
      </c>
      <c r="AH70" s="92">
        <f t="shared" si="12"/>
        <v>80</v>
      </c>
      <c r="AI70" s="92">
        <f t="shared" si="13"/>
        <v>86.666666666666671</v>
      </c>
      <c r="AJ70" s="92">
        <f t="shared" si="14"/>
        <v>73.333333333333329</v>
      </c>
      <c r="AK70" s="92">
        <f t="shared" si="22"/>
        <v>0</v>
      </c>
      <c r="AL70" s="92">
        <f t="shared" si="15"/>
        <v>0</v>
      </c>
      <c r="AM70" s="92">
        <f t="shared" si="16"/>
        <v>0</v>
      </c>
      <c r="AN70" s="93" t="str">
        <f t="shared" si="23"/>
        <v>Y</v>
      </c>
      <c r="AO70" s="93" t="str">
        <f t="shared" si="17"/>
        <v>Y</v>
      </c>
      <c r="AP70" s="93" t="str">
        <f t="shared" si="18"/>
        <v>Y</v>
      </c>
      <c r="AQ70" s="93" t="str">
        <f t="shared" si="19"/>
        <v>N</v>
      </c>
      <c r="AR70" s="93" t="str">
        <f t="shared" si="20"/>
        <v>N</v>
      </c>
      <c r="AS70" s="93" t="str">
        <f t="shared" si="21"/>
        <v>N</v>
      </c>
      <c r="AT70" s="95" t="str">
        <f>IF('CO-PO Mapping'!O$2, IF(OR($AN70="-",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IF(OR($AP70="-", SUM( IF('CO-PO Mapping'!O$2,$AB$29,0), IF('CO-PO Mapping'!O$3,$AC$29,0), IF('CO-PO Mapping'!O$4,$AD$29,0), IF('CO-PO Mapping'!O$5,$AE$29,0), IF('CO-PO Mapping'!O$6,$AF$29,0), IF('CO-PO Mapping'!O$7,$AG$29,0) )=0), "-", IF( SUM( IF('CO-PO Mapping'!O$2,$AH70*$AB$29,0), IF('CO-PO Mapping'!O$3,$AI70*$AC$29,0), IF('CO-PO Mapping'!O$4,$AJ70*$AD$29,0), IF('CO-PO Mapping'!O$5,$AK70*$AE$29,0), IF('CO-PO Mapping'!O$6,$AL70*$AF$29,0), IF('CO-PO Mapping'!O$7,$AM70*$AG$29,0)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IF('CO-PO Mapping'!O$6, IF(OR($AR70="-",SUM(IF('CO-PO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IF('CO-PO Mapping'!O$7, IF(OR($AS70="-",SUM(IF('CO-PO Mapping'!O$2,$AB$29,0),IF('CO-PO Mapping'!O$3,$AC$29,0),IF('CO-PO Mapping'!O$4,$AD$29,0),IF('CO-PO Mapping'!O$5,$AE$29,0),IF('CO-PO Mapping'!O$6,$AF$29,0),IF('CO-PO Mapping'!O$7,$AG$29,0))=0), "-", IF(SUM(IF('CO-PO Mapping'!O$2,$AH70*$AB$29,0),IF('CO-PO Mapping'!O$3,$AI70*$AC$29,0),IF('CO-PO Mapping'!O$4,$AJ70*$AD$29,0),IF('CO-PO Mapping'!O$5,$AK70*$AE$29,0),IF('CO-PO Mapping'!O$6,$AL70*$AF$29,0),IF('CO-PO Mapping'!O$7,$AM70*$AG$29,0)) / SUM(IF('CO-PO Mapping'!O$2,$AB$29,0),IF('CO-PO Mapping'!O$3,$AC$29,0),IF('CO-PO Mapping'!O$4,$AD$29,0),IF('CO-PO Mapping'!O$5,$AE$29,0),IF('CO-PO Mapping'!O$6,$AF$29,0),IF('CO-PO Mapping'!O$7,$AG$29,0)) &gt;=$AW$27,"Y","N" ) ), "-"))))))</f>
        <v>Y</v>
      </c>
      <c r="AU70" s="95" t="str">
        <f>IF('CO-PO Mapping'!P$2, IF(OR($AN70="-",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IF(OR($AP70="-", SUM( IF('CO-PO Mapping'!P$2,$AB$29,0), IF('CO-PO Mapping'!P$3,$AC$29,0), IF('CO-PO Mapping'!P$4,$AD$29,0), IF('CO-PO Mapping'!P$5,$AE$29,0), IF('CO-PO Mapping'!P$6,$AF$29,0), IF('CO-PO Mapping'!P$7,$AG$29,0) )=0), "-", IF( SUM( IF('CO-PO Mapping'!P$2,$AH70*$AB$29,0), IF('CO-PO Mapping'!P$3,$AI70*$AC$29,0), IF('CO-PO Mapping'!P$4,$AJ70*$AD$29,0), IF('CO-PO Mapping'!P$5,$AK70*$AE$29,0), IF('CO-PO Mapping'!P$6,$AL70*$AF$29,0), IF('CO-PO Mapping'!P$7,$AM70*$AG$29,0)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IF('CO-PO Mapping'!P$6, IF(OR($AR70="-",SUM(IF('CO-PO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IF('CO-PO Mapping'!P$7, IF(OR($AS70="-",SUM(IF('CO-PO Mapping'!P$2,$AB$29,0),IF('CO-PO Mapping'!P$3,$AC$29,0),IF('CO-PO Mapping'!P$4,$AD$29,0),IF('CO-PO Mapping'!P$5,$AE$29,0),IF('CO-PO Mapping'!P$6,$AF$29,0),IF('CO-PO Mapping'!P$7,$AG$29,0))=0), "-", IF(SUM(IF('CO-PO Mapping'!P$2,$AH70*$AB$29,0),IF('CO-PO Mapping'!P$3,$AI70*$AC$29,0),IF('CO-PO Mapping'!P$4,$AJ70*$AD$29,0),IF('CO-PO Mapping'!P$5,$AK70*$AE$29,0),IF('CO-PO Mapping'!P$6,$AL70*$AF$29,0),IF('CO-PO Mapping'!P$7,$AM70*$AG$29,0)) / SUM(IF('CO-PO Mapping'!P$2,$AB$29,0),IF('CO-PO Mapping'!P$3,$AC$29,0),IF('CO-PO Mapping'!P$4,$AD$29,0),IF('CO-PO Mapping'!P$5,$AE$29,0),IF('CO-PO Mapping'!P$6,$AF$29,0),IF('CO-PO Mapping'!P$7,$AG$29,0)) &gt;=$AW$27,"Y","N" ) ), "-"))))))</f>
        <v>Y</v>
      </c>
      <c r="AV70" s="95" t="str">
        <f>IF('CO-PO Mapping'!Q$2, IF(OR($AN70="-",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IF(OR($AP70="-", SUM( IF('CO-PO Mapping'!Q$2,$AB$29,0), IF('CO-PO Mapping'!Q$3,$AC$29,0), IF('CO-PO Mapping'!Q$4,$AD$29,0), IF('CO-PO Mapping'!Q$5,$AE$29,0), IF('CO-PO Mapping'!Q$6,$AF$29,0), IF('CO-PO Mapping'!Q$7,$AG$29,0) )=0), "-", IF( SUM( IF('CO-PO Mapping'!Q$2,$AH70*$AB$29,0), IF('CO-PO Mapping'!Q$3,$AI70*$AC$29,0), IF('CO-PO Mapping'!Q$4,$AJ70*$AD$29,0), IF('CO-PO Mapping'!Q$5,$AK70*$AE$29,0), IF('CO-PO Mapping'!Q$6,$AL70*$AF$29,0), IF('CO-PO Mapping'!Q$7,$AM70*$AG$29,0)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IF('CO-PO Mapping'!Q$6, IF(OR($AR70="-",SUM(IF('CO-PO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IF('CO-PO Mapping'!Q$7, IF(OR($AS70="-",SUM(IF('CO-PO Mapping'!Q$2,$AB$29,0),IF('CO-PO Mapping'!Q$3,$AC$29,0),IF('CO-PO Mapping'!Q$4,$AD$29,0),IF('CO-PO Mapping'!Q$5,$AE$29,0),IF('CO-PO Mapping'!Q$6,$AF$29,0),IF('CO-PO Mapping'!Q$7,$AG$29,0))=0), "-", IF(SUM(IF('CO-PO Mapping'!Q$2,$AH70*$AB$29,0),IF('CO-PO Mapping'!Q$3,$AI70*$AC$29,0),IF('CO-PO Mapping'!Q$4,$AJ70*$AD$29,0),IF('CO-PO Mapping'!Q$5,$AK70*$AE$29,0),IF('CO-PO Mapping'!Q$6,$AL70*$AF$29,0),IF('CO-PO Mapping'!Q$7,$AM70*$AG$29,0)) / SUM(IF('CO-PO Mapping'!Q$2,$AB$29,0),IF('CO-PO Mapping'!Q$3,$AC$29,0),IF('CO-PO Mapping'!Q$4,$AD$29,0),IF('CO-PO Mapping'!Q$5,$AE$29,0),IF('CO-PO Mapping'!Q$6,$AF$29,0),IF('CO-PO Mapping'!Q$7,$AG$29,0)) &gt;=$AW$27,"Y","N" ) ), "-"))))))</f>
        <v>Y</v>
      </c>
      <c r="AW70" s="95" t="str">
        <f>IF('CO-PO Mapping'!R$2, IF(OR($AN70="-",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IF(OR($AP70="-", SUM( IF('CO-PO Mapping'!R$2,$AB$29,0), IF('CO-PO Mapping'!R$3,$AC$29,0), IF('CO-PO Mapping'!R$4,$AD$29,0), IF('CO-PO Mapping'!R$5,$AE$29,0), IF('CO-PO Mapping'!R$6,$AF$29,0), IF('CO-PO Mapping'!R$7,$AG$29,0) )=0), "-", IF( SUM( IF('CO-PO Mapping'!R$2,$AH70*$AB$29,0), IF('CO-PO Mapping'!R$3,$AI70*$AC$29,0), IF('CO-PO Mapping'!R$4,$AJ70*$AD$29,0), IF('CO-PO Mapping'!R$5,$AK70*$AE$29,0), IF('CO-PO Mapping'!R$6,$AL70*$AF$29,0), IF('CO-PO Mapping'!R$7,$AM70*$AG$29,0)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IF('CO-PO Mapping'!R$6, IF(OR($AR70="-",SUM(IF('CO-PO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IF('CO-PO Mapping'!R$7, IF(OR($AS70="-",SUM(IF('CO-PO Mapping'!R$2,$AB$29,0),IF('CO-PO Mapping'!R$3,$AC$29,0),IF('CO-PO Mapping'!R$4,$AD$29,0),IF('CO-PO Mapping'!R$5,$AE$29,0),IF('CO-PO Mapping'!R$6,$AF$29,0),IF('CO-PO Mapping'!R$7,$AG$29,0))=0), "-", IF(SUM(IF('CO-PO Mapping'!R$2,$AH70*$AB$29,0),IF('CO-PO Mapping'!R$3,$AI70*$AC$29,0),IF('CO-PO Mapping'!R$4,$AJ70*$AD$29,0),IF('CO-PO Mapping'!R$5,$AK70*$AE$29,0),IF('CO-PO Mapping'!R$6,$AL70*$AF$29,0),IF('CO-PO Mapping'!R$7,$AM70*$AG$29,0))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0" s="95" t="str">
        <f>IF('CO-PO Mapping'!S$2, IF(OR($AN70="-",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IF(OR($AP70="-", SUM( IF('CO-PO Mapping'!S$2,$AB$29,0), IF('CO-PO Mapping'!S$3,$AC$29,0), IF('CO-PO Mapping'!S$4,$AD$29,0), IF('CO-PO Mapping'!S$5,$AE$29,0), IF('CO-PO Mapping'!S$6,$AF$29,0), IF('CO-PO Mapping'!S$7,$AG$29,0) )=0), "-", IF( SUM( IF('CO-PO Mapping'!S$2,$AH70*$AB$29,0), IF('CO-PO Mapping'!S$3,$AI70*$AC$29,0), IF('CO-PO Mapping'!S$4,$AJ70*$AD$29,0), IF('CO-PO Mapping'!S$5,$AK70*$AE$29,0), IF('CO-PO Mapping'!S$6,$AL70*$AF$29,0), IF('CO-PO Mapping'!S$7,$AM70*$AG$29,0)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IF('CO-PO Mapping'!S$6, IF(OR($AR70="-",SUM(IF('CO-PO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IF('CO-PO Mapping'!S$7, IF(OR($AS70="-",SUM(IF('CO-PO Mapping'!S$2,$AB$29,0),IF('CO-PO Mapping'!S$3,$AC$29,0),IF('CO-PO Mapping'!S$4,$AD$29,0),IF('CO-PO Mapping'!S$5,$AE$29,0),IF('CO-PO Mapping'!S$6,$AF$29,0),IF('CO-PO Mapping'!S$7,$AG$29,0))=0), "-", IF(SUM(IF('CO-PO Mapping'!S$2,$AH70*$AB$29,0),IF('CO-PO Mapping'!S$3,$AI70*$AC$29,0),IF('CO-PO Mapping'!S$4,$AJ70*$AD$29,0),IF('CO-PO Mapping'!S$5,$AK70*$AE$29,0),IF('CO-PO Mapping'!S$6,$AL70*$AF$29,0),IF('CO-PO Mapping'!S$7,$AM70*$AG$29,0))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0" s="95" t="str">
        <f>IF('CO-PO Mapping'!T$2, IF(OR($AN70="-",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IF(OR($AP70="-", SUM( IF('CO-PO Mapping'!T$2,$AB$29,0), IF('CO-PO Mapping'!T$3,$AC$29,0), IF('CO-PO Mapping'!T$4,$AD$29,0), IF('CO-PO Mapping'!T$5,$AE$29,0), IF('CO-PO Mapping'!T$6,$AF$29,0), IF('CO-PO Mapping'!T$7,$AG$29,0) )=0), "-", IF( SUM( IF('CO-PO Mapping'!T$2,$AH70*$AB$29,0), IF('CO-PO Mapping'!T$3,$AI70*$AC$29,0), IF('CO-PO Mapping'!T$4,$AJ70*$AD$29,0), IF('CO-PO Mapping'!T$5,$AK70*$AE$29,0), IF('CO-PO Mapping'!T$6,$AL70*$AF$29,0), IF('CO-PO Mapping'!T$7,$AM70*$AG$29,0)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IF('CO-PO Mapping'!T$6, IF(OR($AR70="-",SUM(IF('CO-PO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IF('CO-PO Mapping'!T$7, IF(OR($AS70="-",SUM(IF('CO-PO Mapping'!T$2,$AB$29,0),IF('CO-PO Mapping'!T$3,$AC$29,0),IF('CO-PO Mapping'!T$4,$AD$29,0),IF('CO-PO Mapping'!T$5,$AE$29,0),IF('CO-PO Mapping'!T$6,$AF$29,0),IF('CO-PO Mapping'!T$7,$AG$29,0))=0), "-", IF(SUM(IF('CO-PO Mapping'!T$2,$AH70*$AB$29,0),IF('CO-PO Mapping'!T$3,$AI70*$AC$29,0),IF('CO-PO Mapping'!T$4,$AJ70*$AD$29,0),IF('CO-PO Mapping'!T$5,$AK70*$AE$29,0),IF('CO-PO Mapping'!T$6,$AL70*$AF$29,0),IF('CO-PO Mapping'!T$7,$AM70*$AG$29,0))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0" s="95" t="str">
        <f>IF('CO-PO Mapping'!U$2, IF(OR($AN70="-",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IF(OR($AP70="-", SUM( IF('CO-PO Mapping'!U$2,$AB$29,0), IF('CO-PO Mapping'!U$3,$AC$29,0), IF('CO-PO Mapping'!U$4,$AD$29,0), IF('CO-PO Mapping'!U$5,$AE$29,0), IF('CO-PO Mapping'!U$6,$AF$29,0), IF('CO-PO Mapping'!U$7,$AG$29,0) )=0), "-", IF( SUM( IF('CO-PO Mapping'!U$2,$AH70*$AB$29,0), IF('CO-PO Mapping'!U$3,$AI70*$AC$29,0), IF('CO-PO Mapping'!U$4,$AJ70*$AD$29,0), IF('CO-PO Mapping'!U$5,$AK70*$AE$29,0), IF('CO-PO Mapping'!U$6,$AL70*$AF$29,0), IF('CO-PO Mapping'!U$7,$AM70*$AG$29,0)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IF('CO-PO Mapping'!U$6, IF(OR($AR70="-",SUM(IF('CO-PO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IF('CO-PO Mapping'!U$7, IF(OR($AS70="-",SUM(IF('CO-PO Mapping'!U$2,$AB$29,0),IF('CO-PO Mapping'!U$3,$AC$29,0),IF('CO-PO Mapping'!U$4,$AD$29,0),IF('CO-PO Mapping'!U$5,$AE$29,0),IF('CO-PO Mapping'!U$6,$AF$29,0),IF('CO-PO Mapping'!U$7,$AG$29,0))=0), "-", IF(SUM(IF('CO-PO Mapping'!U$2,$AH70*$AB$29,0),IF('CO-PO Mapping'!U$3,$AI70*$AC$29,0),IF('CO-PO Mapping'!U$4,$AJ70*$AD$29,0),IF('CO-PO Mapping'!U$5,$AK70*$AE$29,0),IF('CO-PO Mapping'!U$6,$AL70*$AF$29,0),IF('CO-PO Mapping'!U$7,$AM70*$AG$29,0))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0" s="95" t="str">
        <f>IF('CO-PO Mapping'!V$2, IF(OR($AN70="-",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IF(OR($AP70="-", SUM( IF('CO-PO Mapping'!V$2,$AB$29,0), IF('CO-PO Mapping'!V$3,$AC$29,0), IF('CO-PO Mapping'!V$4,$AD$29,0), IF('CO-PO Mapping'!V$5,$AE$29,0), IF('CO-PO Mapping'!V$6,$AF$29,0), IF('CO-PO Mapping'!V$7,$AG$29,0) )=0), "-", IF( SUM( IF('CO-PO Mapping'!V$2,$AH70*$AB$29,0), IF('CO-PO Mapping'!V$3,$AI70*$AC$29,0), IF('CO-PO Mapping'!V$4,$AJ70*$AD$29,0), IF('CO-PO Mapping'!V$5,$AK70*$AE$29,0), IF('CO-PO Mapping'!V$6,$AL70*$AF$29,0), IF('CO-PO Mapping'!V$7,$AM70*$AG$29,0)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IF('CO-PO Mapping'!V$6, IF(OR($AR70="-",SUM(IF('CO-PO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IF('CO-PO Mapping'!V$7, IF(OR($AS70="-",SUM(IF('CO-PO Mapping'!V$2,$AB$29,0),IF('CO-PO Mapping'!V$3,$AC$29,0),IF('CO-PO Mapping'!V$4,$AD$29,0),IF('CO-PO Mapping'!V$5,$AE$29,0),IF('CO-PO Mapping'!V$6,$AF$29,0),IF('CO-PO Mapping'!V$7,$AG$29,0))=0), "-", IF(SUM(IF('CO-PO Mapping'!V$2,$AH70*$AB$29,0),IF('CO-PO Mapping'!V$3,$AI70*$AC$29,0),IF('CO-PO Mapping'!V$4,$AJ70*$AD$29,0),IF('CO-PO Mapping'!V$5,$AK70*$AE$29,0),IF('CO-PO Mapping'!V$6,$AL70*$AF$29,0),IF('CO-PO Mapping'!V$7,$AM70*$AG$29,0))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0" s="95" t="str">
        <f>IF('CO-PO Mapping'!W$2, IF(OR($AN70="-",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IF(OR($AP70="-", SUM( IF('CO-PO Mapping'!W$2,$AB$29,0), IF('CO-PO Mapping'!W$3,$AC$29,0), IF('CO-PO Mapping'!W$4,$AD$29,0), IF('CO-PO Mapping'!W$5,$AE$29,0), IF('CO-PO Mapping'!W$6,$AF$29,0), IF('CO-PO Mapping'!W$7,$AG$29,0) )=0), "-", IF( SUM( IF('CO-PO Mapping'!W$2,$AH70*$AB$29,0), IF('CO-PO Mapping'!W$3,$AI70*$AC$29,0), IF('CO-PO Mapping'!W$4,$AJ70*$AD$29,0), IF('CO-PO Mapping'!W$5,$AK70*$AE$29,0), IF('CO-PO Mapping'!W$6,$AL70*$AF$29,0), IF('CO-PO Mapping'!W$7,$AM70*$AG$29,0)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IF('CO-PO Mapping'!W$6, IF(OR($AR70="-",SUM(IF('CO-PO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IF('CO-PO Mapping'!W$7, IF(OR($AS70="-",SUM(IF('CO-PO Mapping'!W$2,$AB$29,0),IF('CO-PO Mapping'!W$3,$AC$29,0),IF('CO-PO Mapping'!W$4,$AD$29,0),IF('CO-PO Mapping'!W$5,$AE$29,0),IF('CO-PO Mapping'!W$6,$AF$29,0),IF('CO-PO Mapping'!W$7,$AG$29,0))=0), "-", IF(SUM(IF('CO-PO Mapping'!W$2,$AH70*$AB$29,0),IF('CO-PO Mapping'!W$3,$AI70*$AC$29,0),IF('CO-PO Mapping'!W$4,$AJ70*$AD$29,0),IF('CO-PO Mapping'!W$5,$AK70*$AE$29,0),IF('CO-PO Mapping'!W$6,$AL70*$AF$29,0),IF('CO-PO Mapping'!W$7,$AM70*$AG$29,0))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0" s="95" t="str">
        <f>IF('CO-PO Mapping'!X$2, IF(OR($AN70="-",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IF(OR($AP70="-", SUM( IF('CO-PO Mapping'!X$2,$AB$29,0), IF('CO-PO Mapping'!X$3,$AC$29,0), IF('CO-PO Mapping'!X$4,$AD$29,0), IF('CO-PO Mapping'!X$5,$AE$29,0), IF('CO-PO Mapping'!X$6,$AF$29,0), IF('CO-PO Mapping'!X$7,$AG$29,0) )=0), "-", IF( SUM( IF('CO-PO Mapping'!X$2,$AH70*$AB$29,0), IF('CO-PO Mapping'!X$3,$AI70*$AC$29,0), IF('CO-PO Mapping'!X$4,$AJ70*$AD$29,0), IF('CO-PO Mapping'!X$5,$AK70*$AE$29,0), IF('CO-PO Mapping'!X$6,$AL70*$AF$29,0), IF('CO-PO Mapping'!X$7,$AM70*$AG$29,0)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IF('CO-PO Mapping'!X$6, IF(OR($AR70="-",SUM(IF('CO-PO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IF('CO-PO Mapping'!X$7, IF(OR($AS70="-",SUM(IF('CO-PO Mapping'!X$2,$AB$29,0),IF('CO-PO Mapping'!X$3,$AC$29,0),IF('CO-PO Mapping'!X$4,$AD$29,0),IF('CO-PO Mapping'!X$5,$AE$29,0),IF('CO-PO Mapping'!X$6,$AF$29,0),IF('CO-PO Mapping'!X$7,$AG$29,0))=0), "-", IF(SUM(IF('CO-PO Mapping'!X$2,$AH70*$AB$29,0),IF('CO-PO Mapping'!X$3,$AI70*$AC$29,0),IF('CO-PO Mapping'!X$4,$AJ70*$AD$29,0),IF('CO-PO Mapping'!X$5,$AK70*$AE$29,0),IF('CO-PO Mapping'!X$6,$AL70*$AF$29,0),IF('CO-PO Mapping'!X$7,$AM70*$AG$29,0))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0" s="95" t="str">
        <f>IF('CO-PO Mapping'!Y$2, IF(OR($AN70="-",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IF(OR($AP70="-", SUM( IF('CO-PO Mapping'!Y$2,$AB$29,0), IF('CO-PO Mapping'!Y$3,$AC$29,0), IF('CO-PO Mapping'!Y$4,$AD$29,0), IF('CO-PO Mapping'!Y$5,$AE$29,0), IF('CO-PO Mapping'!Y$6,$AF$29,0), IF('CO-PO Mapping'!Y$7,$AG$29,0) )=0), "-", IF( SUM( IF('CO-PO Mapping'!Y$2,$AH70*$AB$29,0), IF('CO-PO Mapping'!Y$3,$AI70*$AC$29,0), IF('CO-PO Mapping'!Y$4,$AJ70*$AD$29,0), IF('CO-PO Mapping'!Y$5,$AK70*$AE$29,0), IF('CO-PO Mapping'!Y$6,$AL70*$AF$29,0), IF('CO-PO Mapping'!Y$7,$AM70*$AG$29,0)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IF('CO-PO Mapping'!Y$6, IF(OR($AR70="-",SUM(IF('CO-PO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IF('CO-PO Mapping'!Y$7, IF(OR($AS70="-",SUM(IF('CO-PO Mapping'!Y$2,$AB$29,0),IF('CO-PO Mapping'!Y$3,$AC$29,0),IF('CO-PO Mapping'!Y$4,$AD$29,0),IF('CO-PO Mapping'!Y$5,$AE$29,0),IF('CO-PO Mapping'!Y$6,$AF$29,0),IF('CO-PO Mapping'!Y$7,$AG$29,0))=0), "-", IF(SUM(IF('CO-PO Mapping'!Y$2,$AH70*$AB$29,0),IF('CO-PO Mapping'!Y$3,$AI70*$AC$29,0),IF('CO-PO Mapping'!Y$4,$AJ70*$AD$29,0),IF('CO-PO Mapping'!Y$5,$AK70*$AE$29,0),IF('CO-PO Mapping'!Y$6,$AL70*$AF$29,0),IF('CO-PO Mapping'!Y$7,$AM70*$AG$29,0))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0" s="95" t="str">
        <f>IF('CO-PO Mapping'!Z$2, IF(OR($AN70="-",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IF(OR($AP70="-", SUM( IF('CO-PO Mapping'!Z$2,$AB$29,0), IF('CO-PO Mapping'!Z$3,$AC$29,0), IF('CO-PO Mapping'!Z$4,$AD$29,0), IF('CO-PO Mapping'!Z$5,$AE$29,0), IF('CO-PO Mapping'!Z$6,$AF$29,0), IF('CO-PO Mapping'!Z$7,$AG$29,0) )=0), "-", IF( SUM( IF('CO-PO Mapping'!Z$2,$AH70*$AB$29,0), IF('CO-PO Mapping'!Z$3,$AI70*$AC$29,0), IF('CO-PO Mapping'!Z$4,$AJ70*$AD$29,0), IF('CO-PO Mapping'!Z$5,$AK70*$AE$29,0), IF('CO-PO Mapping'!Z$6,$AL70*$AF$29,0), IF('CO-PO Mapping'!Z$7,$AM70*$AG$29,0)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IF('CO-PO Mapping'!Z$6, IF(OR($AR70="-",SUM(IF('CO-PO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IF('CO-PO Mapping'!Z$7, IF(OR($AS70="-",SUM(IF('CO-PO Mapping'!Z$2,$AB$29,0),IF('CO-PO Mapping'!Z$3,$AC$29,0),IF('CO-PO Mapping'!Z$4,$AD$29,0),IF('CO-PO Mapping'!Z$5,$AE$29,0),IF('CO-PO Mapping'!Z$6,$AF$29,0),IF('CO-PO Mapping'!Z$7,$AG$29,0))=0), "-", IF(SUM(IF('CO-PO Mapping'!Z$2,$AH70*$AB$29,0),IF('CO-PO Mapping'!Z$3,$AI70*$AC$29,0),IF('CO-PO Mapping'!Z$4,$AJ70*$AD$29,0),IF('CO-PO Mapping'!Z$5,$AK70*$AE$29,0),IF('CO-PO Mapping'!Z$6,$AL70*$AF$29,0),IF('CO-PO Mapping'!Z$7,$AM70*$AG$29,0))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1" spans="1:57" ht="15" customHeight="1">
      <c r="A71" s="87"/>
      <c r="B71" s="84"/>
      <c r="C71" s="74"/>
      <c r="D71" s="74"/>
      <c r="E71" s="75"/>
      <c r="F71" s="75"/>
      <c r="G71" s="75"/>
      <c r="H71" s="103" t="str">
        <f t="shared" ref="H71:H100" si="29">IF(LEN(A71)=11,IF(OR(C71&gt;C$29,D71&gt;D$29,E71&gt;E$29,F71&gt;F$29,G71&gt;G$29,C71&lt;0,D71&lt;0,E71&lt;0,F71&lt;0,G71&lt;0),"Error",SUM(C71:G71)),"-")</f>
        <v>-</v>
      </c>
      <c r="I71" s="75"/>
      <c r="J71" s="75"/>
      <c r="K71" s="75"/>
      <c r="L71" s="75"/>
      <c r="M71" s="75"/>
      <c r="N71" s="75"/>
      <c r="O71" s="105" t="str">
        <f t="shared" ref="O71:O100" si="30">IF(LEN(A71)=11,IF(OR(I71=UPPER("a"),J71=UPPER("a"),K71=UPPER("a"),L71=UPPER("a"),M71=UPPER("a"),N71=UPPER("a")),"A",IF(OR(I71&gt;I$29,J71&gt;J$29,K71&gt;K$29,L71&gt;L$29,M71&gt;M$29,N71&gt;N$29,I71&lt;0,J71&lt;0,K71&lt;0,L71&lt;0,M71&lt;0,N71&lt;0),"Error",SUM(I71:N71))),"-")</f>
        <v>-</v>
      </c>
      <c r="P71" s="75"/>
      <c r="Q71" s="75"/>
      <c r="R71" s="75"/>
      <c r="S71" s="75"/>
      <c r="T71" s="75"/>
      <c r="U71" s="75"/>
      <c r="V71" s="104" t="str">
        <f t="shared" ref="V71:V100" si="31">IF(LEN(A71)=11,IF(OR(P71=UPPER("a"),Q71=UPPER("a"),R71=UPPER("a"),S71=UPPER("a"),T71=UPPER("a"),U71=UPPER("a")),"A",IF(OR(P71&gt;P$29,Q71&gt;Q$29,R71&gt;R$29,S71&gt;S$29,T71&gt;T$29,U71&gt;U$29,P71&lt;0,Q71&lt;0,R71&lt;0,S71&lt;0,T71&lt;0,U71&lt;0),"Error",SUM(P71:U71))),"-")</f>
        <v>-</v>
      </c>
      <c r="W71" s="83" t="str">
        <f t="shared" si="28"/>
        <v>-</v>
      </c>
      <c r="X71" s="98" t="str">
        <f t="shared" ref="X71:X100" si="32">IF(LEN(A71)=11,IF(ISNUMBER(W71),IF(A71&lt;&gt;"",IF(W71&gt;=80,"A (Plus)",IF(W71&gt;=75,"A",IF(W71&gt;=70,"A (Minus)",IF(W71&gt;=65,"B (Plus)",IF(W71&gt;=60,"B",IF(W71&gt;=55,"B (Minus)",IF(W71&gt;=50,"C (Plus)",IF(W71&gt;=45,"C",IF(W71&gt;=40,"D","F (Fail)"))))))))),"-"),IF(O71="A","F (Fail)",IF(V71="A","Incomplete","Error"))),"-")</f>
        <v>-</v>
      </c>
      <c r="Z71" s="42" t="str">
        <f t="shared" si="26"/>
        <v/>
      </c>
      <c r="AA71" s="43" t="str">
        <f t="shared" si="27"/>
        <v/>
      </c>
      <c r="AB71" s="90">
        <f t="shared" si="11"/>
        <v>0</v>
      </c>
      <c r="AC71" s="90">
        <f t="shared" si="11"/>
        <v>0</v>
      </c>
      <c r="AD71" s="90">
        <f t="shared" si="11"/>
        <v>0</v>
      </c>
      <c r="AE71" s="90">
        <f t="shared" si="11"/>
        <v>0</v>
      </c>
      <c r="AF71" s="90">
        <f t="shared" si="11"/>
        <v>0</v>
      </c>
      <c r="AG71" s="90">
        <f t="shared" si="25"/>
        <v>0</v>
      </c>
      <c r="AH71" s="92">
        <f t="shared" si="12"/>
        <v>0</v>
      </c>
      <c r="AI71" s="92">
        <f t="shared" si="13"/>
        <v>0</v>
      </c>
      <c r="AJ71" s="92">
        <f t="shared" si="14"/>
        <v>0</v>
      </c>
      <c r="AK71" s="92">
        <f t="shared" si="22"/>
        <v>0</v>
      </c>
      <c r="AL71" s="92">
        <f t="shared" si="15"/>
        <v>0</v>
      </c>
      <c r="AM71" s="92">
        <f t="shared" si="16"/>
        <v>0</v>
      </c>
      <c r="AN71" s="93" t="str">
        <f t="shared" si="23"/>
        <v>-</v>
      </c>
      <c r="AO71" s="93" t="str">
        <f t="shared" si="17"/>
        <v>-</v>
      </c>
      <c r="AP71" s="93" t="str">
        <f t="shared" si="18"/>
        <v>-</v>
      </c>
      <c r="AQ71" s="93" t="str">
        <f t="shared" si="19"/>
        <v>-</v>
      </c>
      <c r="AR71" s="93" t="str">
        <f t="shared" si="20"/>
        <v>-</v>
      </c>
      <c r="AS71" s="93" t="str">
        <f t="shared" si="21"/>
        <v>-</v>
      </c>
      <c r="AT71" s="95" t="str">
        <f>IF('CO-PO Mapping'!O$2, IF(OR($AN71="-",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IF(OR($AP71="-", SUM( IF('CO-PO Mapping'!O$2,$AB$29,0), IF('CO-PO Mapping'!O$3,$AC$29,0), IF('CO-PO Mapping'!O$4,$AD$29,0), IF('CO-PO Mapping'!O$5,$AE$29,0), IF('CO-PO Mapping'!O$6,$AF$29,0), IF('CO-PO Mapping'!O$7,$AG$29,0) )=0), "-", IF( SUM( IF('CO-PO Mapping'!O$2,$AH71*$AB$29,0), IF('CO-PO Mapping'!O$3,$AI71*$AC$29,0), IF('CO-PO Mapping'!O$4,$AJ71*$AD$29,0), IF('CO-PO Mapping'!O$5,$AK71*$AE$29,0), IF('CO-PO Mapping'!O$6,$AL71*$AF$29,0), IF('CO-PO Mapping'!O$7,$AM71*$AG$29,0)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IF('CO-PO Mapping'!O$6, IF(OR($AR71="-",SUM(IF('CO-PO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IF('CO-PO Mapping'!O$7, IF(OR($AS71="-",SUM(IF('CO-PO Mapping'!O$2,$AB$29,0),IF('CO-PO Mapping'!O$3,$AC$29,0),IF('CO-PO Mapping'!O$4,$AD$29,0),IF('CO-PO Mapping'!O$5,$AE$29,0),IF('CO-PO Mapping'!O$6,$AF$29,0),IF('CO-PO Mapping'!O$7,$AG$29,0))=0), "-", IF(SUM(IF('CO-PO Mapping'!O$2,$AH71*$AB$29,0),IF('CO-PO Mapping'!O$3,$AI71*$AC$29,0),IF('CO-PO Mapping'!O$4,$AJ71*$AD$29,0),IF('CO-PO Mapping'!O$5,$AK71*$AE$29,0),IF('CO-PO Mapping'!O$6,$AL71*$AF$29,0),IF('CO-PO Mapping'!O$7,$AM71*$AG$29,0))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1" s="95" t="str">
        <f>IF('CO-PO Mapping'!P$2, IF(OR($AN71="-",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IF(OR($AP71="-", SUM( IF('CO-PO Mapping'!P$2,$AB$29,0), IF('CO-PO Mapping'!P$3,$AC$29,0), IF('CO-PO Mapping'!P$4,$AD$29,0), IF('CO-PO Mapping'!P$5,$AE$29,0), IF('CO-PO Mapping'!P$6,$AF$29,0), IF('CO-PO Mapping'!P$7,$AG$29,0) )=0), "-", IF( SUM( IF('CO-PO Mapping'!P$2,$AH71*$AB$29,0), IF('CO-PO Mapping'!P$3,$AI71*$AC$29,0), IF('CO-PO Mapping'!P$4,$AJ71*$AD$29,0), IF('CO-PO Mapping'!P$5,$AK71*$AE$29,0), IF('CO-PO Mapping'!P$6,$AL71*$AF$29,0), IF('CO-PO Mapping'!P$7,$AM71*$AG$29,0)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IF('CO-PO Mapping'!P$6, IF(OR($AR71="-",SUM(IF('CO-PO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IF('CO-PO Mapping'!P$7, IF(OR($AS71="-",SUM(IF('CO-PO Mapping'!P$2,$AB$29,0),IF('CO-PO Mapping'!P$3,$AC$29,0),IF('CO-PO Mapping'!P$4,$AD$29,0),IF('CO-PO Mapping'!P$5,$AE$29,0),IF('CO-PO Mapping'!P$6,$AF$29,0),IF('CO-PO Mapping'!P$7,$AG$29,0))=0), "-", IF(SUM(IF('CO-PO Mapping'!P$2,$AH71*$AB$29,0),IF('CO-PO Mapping'!P$3,$AI71*$AC$29,0),IF('CO-PO Mapping'!P$4,$AJ71*$AD$29,0),IF('CO-PO Mapping'!P$5,$AK71*$AE$29,0),IF('CO-PO Mapping'!P$6,$AL71*$AF$29,0),IF('CO-PO Mapping'!P$7,$AM71*$AG$29,0))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1" s="95" t="str">
        <f>IF('CO-PO Mapping'!Q$2, IF(OR($AN71="-",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IF(OR($AP71="-", SUM( IF('CO-PO Mapping'!Q$2,$AB$29,0), IF('CO-PO Mapping'!Q$3,$AC$29,0), IF('CO-PO Mapping'!Q$4,$AD$29,0), IF('CO-PO Mapping'!Q$5,$AE$29,0), IF('CO-PO Mapping'!Q$6,$AF$29,0), IF('CO-PO Mapping'!Q$7,$AG$29,0) )=0), "-", IF( SUM( IF('CO-PO Mapping'!Q$2,$AH71*$AB$29,0), IF('CO-PO Mapping'!Q$3,$AI71*$AC$29,0), IF('CO-PO Mapping'!Q$4,$AJ71*$AD$29,0), IF('CO-PO Mapping'!Q$5,$AK71*$AE$29,0), IF('CO-PO Mapping'!Q$6,$AL71*$AF$29,0), IF('CO-PO Mapping'!Q$7,$AM71*$AG$29,0)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IF('CO-PO Mapping'!Q$6, IF(OR($AR71="-",SUM(IF('CO-PO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IF('CO-PO Mapping'!Q$7, IF(OR($AS71="-",SUM(IF('CO-PO Mapping'!Q$2,$AB$29,0),IF('CO-PO Mapping'!Q$3,$AC$29,0),IF('CO-PO Mapping'!Q$4,$AD$29,0),IF('CO-PO Mapping'!Q$5,$AE$29,0),IF('CO-PO Mapping'!Q$6,$AF$29,0),IF('CO-PO Mapping'!Q$7,$AG$29,0))=0), "-", IF(SUM(IF('CO-PO Mapping'!Q$2,$AH71*$AB$29,0),IF('CO-PO Mapping'!Q$3,$AI71*$AC$29,0),IF('CO-PO Mapping'!Q$4,$AJ71*$AD$29,0),IF('CO-PO Mapping'!Q$5,$AK71*$AE$29,0),IF('CO-PO Mapping'!Q$6,$AL71*$AF$29,0),IF('CO-PO Mapping'!Q$7,$AM71*$AG$29,0))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1" s="95" t="str">
        <f>IF('CO-PO Mapping'!R$2, IF(OR($AN71="-",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IF(OR($AP71="-", SUM( IF('CO-PO Mapping'!R$2,$AB$29,0), IF('CO-PO Mapping'!R$3,$AC$29,0), IF('CO-PO Mapping'!R$4,$AD$29,0), IF('CO-PO Mapping'!R$5,$AE$29,0), IF('CO-PO Mapping'!R$6,$AF$29,0), IF('CO-PO Mapping'!R$7,$AG$29,0) )=0), "-", IF( SUM( IF('CO-PO Mapping'!R$2,$AH71*$AB$29,0), IF('CO-PO Mapping'!R$3,$AI71*$AC$29,0), IF('CO-PO Mapping'!R$4,$AJ71*$AD$29,0), IF('CO-PO Mapping'!R$5,$AK71*$AE$29,0), IF('CO-PO Mapping'!R$6,$AL71*$AF$29,0), IF('CO-PO Mapping'!R$7,$AM71*$AG$29,0)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IF('CO-PO Mapping'!R$6, IF(OR($AR71="-",SUM(IF('CO-PO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IF('CO-PO Mapping'!R$7, IF(OR($AS71="-",SUM(IF('CO-PO Mapping'!R$2,$AB$29,0),IF('CO-PO Mapping'!R$3,$AC$29,0),IF('CO-PO Mapping'!R$4,$AD$29,0),IF('CO-PO Mapping'!R$5,$AE$29,0),IF('CO-PO Mapping'!R$6,$AF$29,0),IF('CO-PO Mapping'!R$7,$AG$29,0))=0), "-", IF(SUM(IF('CO-PO Mapping'!R$2,$AH71*$AB$29,0),IF('CO-PO Mapping'!R$3,$AI71*$AC$29,0),IF('CO-PO Mapping'!R$4,$AJ71*$AD$29,0),IF('CO-PO Mapping'!R$5,$AK71*$AE$29,0),IF('CO-PO Mapping'!R$6,$AL71*$AF$29,0),IF('CO-PO Mapping'!R$7,$AM71*$AG$29,0))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1" s="95" t="str">
        <f>IF('CO-PO Mapping'!S$2, IF(OR($AN71="-",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IF(OR($AP71="-", SUM( IF('CO-PO Mapping'!S$2,$AB$29,0), IF('CO-PO Mapping'!S$3,$AC$29,0), IF('CO-PO Mapping'!S$4,$AD$29,0), IF('CO-PO Mapping'!S$5,$AE$29,0), IF('CO-PO Mapping'!S$6,$AF$29,0), IF('CO-PO Mapping'!S$7,$AG$29,0) )=0), "-", IF( SUM( IF('CO-PO Mapping'!S$2,$AH71*$AB$29,0), IF('CO-PO Mapping'!S$3,$AI71*$AC$29,0), IF('CO-PO Mapping'!S$4,$AJ71*$AD$29,0), IF('CO-PO Mapping'!S$5,$AK71*$AE$29,0), IF('CO-PO Mapping'!S$6,$AL71*$AF$29,0), IF('CO-PO Mapping'!S$7,$AM71*$AG$29,0)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IF('CO-PO Mapping'!S$6, IF(OR($AR71="-",SUM(IF('CO-PO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IF('CO-PO Mapping'!S$7, IF(OR($AS71="-",SUM(IF('CO-PO Mapping'!S$2,$AB$29,0),IF('CO-PO Mapping'!S$3,$AC$29,0),IF('CO-PO Mapping'!S$4,$AD$29,0),IF('CO-PO Mapping'!S$5,$AE$29,0),IF('CO-PO Mapping'!S$6,$AF$29,0),IF('CO-PO Mapping'!S$7,$AG$29,0))=0), "-", IF(SUM(IF('CO-PO Mapping'!S$2,$AH71*$AB$29,0),IF('CO-PO Mapping'!S$3,$AI71*$AC$29,0),IF('CO-PO Mapping'!S$4,$AJ71*$AD$29,0),IF('CO-PO Mapping'!S$5,$AK71*$AE$29,0),IF('CO-PO Mapping'!S$6,$AL71*$AF$29,0),IF('CO-PO Mapping'!S$7,$AM71*$AG$29,0))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1" s="95" t="str">
        <f>IF('CO-PO Mapping'!T$2, IF(OR($AN71="-",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IF(OR($AP71="-", SUM( IF('CO-PO Mapping'!T$2,$AB$29,0), IF('CO-PO Mapping'!T$3,$AC$29,0), IF('CO-PO Mapping'!T$4,$AD$29,0), IF('CO-PO Mapping'!T$5,$AE$29,0), IF('CO-PO Mapping'!T$6,$AF$29,0), IF('CO-PO Mapping'!T$7,$AG$29,0) )=0), "-", IF( SUM( IF('CO-PO Mapping'!T$2,$AH71*$AB$29,0), IF('CO-PO Mapping'!T$3,$AI71*$AC$29,0), IF('CO-PO Mapping'!T$4,$AJ71*$AD$29,0), IF('CO-PO Mapping'!T$5,$AK71*$AE$29,0), IF('CO-PO Mapping'!T$6,$AL71*$AF$29,0), IF('CO-PO Mapping'!T$7,$AM71*$AG$29,0)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IF('CO-PO Mapping'!T$6, IF(OR($AR71="-",SUM(IF('CO-PO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IF('CO-PO Mapping'!T$7, IF(OR($AS71="-",SUM(IF('CO-PO Mapping'!T$2,$AB$29,0),IF('CO-PO Mapping'!T$3,$AC$29,0),IF('CO-PO Mapping'!T$4,$AD$29,0),IF('CO-PO Mapping'!T$5,$AE$29,0),IF('CO-PO Mapping'!T$6,$AF$29,0),IF('CO-PO Mapping'!T$7,$AG$29,0))=0), "-", IF(SUM(IF('CO-PO Mapping'!T$2,$AH71*$AB$29,0),IF('CO-PO Mapping'!T$3,$AI71*$AC$29,0),IF('CO-PO Mapping'!T$4,$AJ71*$AD$29,0),IF('CO-PO Mapping'!T$5,$AK71*$AE$29,0),IF('CO-PO Mapping'!T$6,$AL71*$AF$29,0),IF('CO-PO Mapping'!T$7,$AM71*$AG$29,0))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1" s="95" t="str">
        <f>IF('CO-PO Mapping'!U$2, IF(OR($AN71="-",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IF(OR($AP71="-", SUM( IF('CO-PO Mapping'!U$2,$AB$29,0), IF('CO-PO Mapping'!U$3,$AC$29,0), IF('CO-PO Mapping'!U$4,$AD$29,0), IF('CO-PO Mapping'!U$5,$AE$29,0), IF('CO-PO Mapping'!U$6,$AF$29,0), IF('CO-PO Mapping'!U$7,$AG$29,0) )=0), "-", IF( SUM( IF('CO-PO Mapping'!U$2,$AH71*$AB$29,0), IF('CO-PO Mapping'!U$3,$AI71*$AC$29,0), IF('CO-PO Mapping'!U$4,$AJ71*$AD$29,0), IF('CO-PO Mapping'!U$5,$AK71*$AE$29,0), IF('CO-PO Mapping'!U$6,$AL71*$AF$29,0), IF('CO-PO Mapping'!U$7,$AM71*$AG$29,0)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IF('CO-PO Mapping'!U$6, IF(OR($AR71="-",SUM(IF('CO-PO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IF('CO-PO Mapping'!U$7, IF(OR($AS71="-",SUM(IF('CO-PO Mapping'!U$2,$AB$29,0),IF('CO-PO Mapping'!U$3,$AC$29,0),IF('CO-PO Mapping'!U$4,$AD$29,0),IF('CO-PO Mapping'!U$5,$AE$29,0),IF('CO-PO Mapping'!U$6,$AF$29,0),IF('CO-PO Mapping'!U$7,$AG$29,0))=0), "-", IF(SUM(IF('CO-PO Mapping'!U$2,$AH71*$AB$29,0),IF('CO-PO Mapping'!U$3,$AI71*$AC$29,0),IF('CO-PO Mapping'!U$4,$AJ71*$AD$29,0),IF('CO-PO Mapping'!U$5,$AK71*$AE$29,0),IF('CO-PO Mapping'!U$6,$AL71*$AF$29,0),IF('CO-PO Mapping'!U$7,$AM71*$AG$29,0))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1" s="95" t="str">
        <f>IF('CO-PO Mapping'!V$2, IF(OR($AN71="-",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IF(OR($AP71="-", SUM( IF('CO-PO Mapping'!V$2,$AB$29,0), IF('CO-PO Mapping'!V$3,$AC$29,0), IF('CO-PO Mapping'!V$4,$AD$29,0), IF('CO-PO Mapping'!V$5,$AE$29,0), IF('CO-PO Mapping'!V$6,$AF$29,0), IF('CO-PO Mapping'!V$7,$AG$29,0) )=0), "-", IF( SUM( IF('CO-PO Mapping'!V$2,$AH71*$AB$29,0), IF('CO-PO Mapping'!V$3,$AI71*$AC$29,0), IF('CO-PO Mapping'!V$4,$AJ71*$AD$29,0), IF('CO-PO Mapping'!V$5,$AK71*$AE$29,0), IF('CO-PO Mapping'!V$6,$AL71*$AF$29,0), IF('CO-PO Mapping'!V$7,$AM71*$AG$29,0)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IF('CO-PO Mapping'!V$6, IF(OR($AR71="-",SUM(IF('CO-PO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IF('CO-PO Mapping'!V$7, IF(OR($AS71="-",SUM(IF('CO-PO Mapping'!V$2,$AB$29,0),IF('CO-PO Mapping'!V$3,$AC$29,0),IF('CO-PO Mapping'!V$4,$AD$29,0),IF('CO-PO Mapping'!V$5,$AE$29,0),IF('CO-PO Mapping'!V$6,$AF$29,0),IF('CO-PO Mapping'!V$7,$AG$29,0))=0), "-", IF(SUM(IF('CO-PO Mapping'!V$2,$AH71*$AB$29,0),IF('CO-PO Mapping'!V$3,$AI71*$AC$29,0),IF('CO-PO Mapping'!V$4,$AJ71*$AD$29,0),IF('CO-PO Mapping'!V$5,$AK71*$AE$29,0),IF('CO-PO Mapping'!V$6,$AL71*$AF$29,0),IF('CO-PO Mapping'!V$7,$AM71*$AG$29,0))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1" s="95" t="str">
        <f>IF('CO-PO Mapping'!W$2, IF(OR($AN71="-",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IF(OR($AP71="-", SUM( IF('CO-PO Mapping'!W$2,$AB$29,0), IF('CO-PO Mapping'!W$3,$AC$29,0), IF('CO-PO Mapping'!W$4,$AD$29,0), IF('CO-PO Mapping'!W$5,$AE$29,0), IF('CO-PO Mapping'!W$6,$AF$29,0), IF('CO-PO Mapping'!W$7,$AG$29,0) )=0), "-", IF( SUM( IF('CO-PO Mapping'!W$2,$AH71*$AB$29,0), IF('CO-PO Mapping'!W$3,$AI71*$AC$29,0), IF('CO-PO Mapping'!W$4,$AJ71*$AD$29,0), IF('CO-PO Mapping'!W$5,$AK71*$AE$29,0), IF('CO-PO Mapping'!W$6,$AL71*$AF$29,0), IF('CO-PO Mapping'!W$7,$AM71*$AG$29,0)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IF('CO-PO Mapping'!W$6, IF(OR($AR71="-",SUM(IF('CO-PO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IF('CO-PO Mapping'!W$7, IF(OR($AS71="-",SUM(IF('CO-PO Mapping'!W$2,$AB$29,0),IF('CO-PO Mapping'!W$3,$AC$29,0),IF('CO-PO Mapping'!W$4,$AD$29,0),IF('CO-PO Mapping'!W$5,$AE$29,0),IF('CO-PO Mapping'!W$6,$AF$29,0),IF('CO-PO Mapping'!W$7,$AG$29,0))=0), "-", IF(SUM(IF('CO-PO Mapping'!W$2,$AH71*$AB$29,0),IF('CO-PO Mapping'!W$3,$AI71*$AC$29,0),IF('CO-PO Mapping'!W$4,$AJ71*$AD$29,0),IF('CO-PO Mapping'!W$5,$AK71*$AE$29,0),IF('CO-PO Mapping'!W$6,$AL71*$AF$29,0),IF('CO-PO Mapping'!W$7,$AM71*$AG$29,0))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1" s="95" t="str">
        <f>IF('CO-PO Mapping'!X$2, IF(OR($AN71="-",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IF(OR($AP71="-", SUM( IF('CO-PO Mapping'!X$2,$AB$29,0), IF('CO-PO Mapping'!X$3,$AC$29,0), IF('CO-PO Mapping'!X$4,$AD$29,0), IF('CO-PO Mapping'!X$5,$AE$29,0), IF('CO-PO Mapping'!X$6,$AF$29,0), IF('CO-PO Mapping'!X$7,$AG$29,0) )=0), "-", IF( SUM( IF('CO-PO Mapping'!X$2,$AH71*$AB$29,0), IF('CO-PO Mapping'!X$3,$AI71*$AC$29,0), IF('CO-PO Mapping'!X$4,$AJ71*$AD$29,0), IF('CO-PO Mapping'!X$5,$AK71*$AE$29,0), IF('CO-PO Mapping'!X$6,$AL71*$AF$29,0), IF('CO-PO Mapping'!X$7,$AM71*$AG$29,0)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IF('CO-PO Mapping'!X$6, IF(OR($AR71="-",SUM(IF('CO-PO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IF('CO-PO Mapping'!X$7, IF(OR($AS71="-",SUM(IF('CO-PO Mapping'!X$2,$AB$29,0),IF('CO-PO Mapping'!X$3,$AC$29,0),IF('CO-PO Mapping'!X$4,$AD$29,0),IF('CO-PO Mapping'!X$5,$AE$29,0),IF('CO-PO Mapping'!X$6,$AF$29,0),IF('CO-PO Mapping'!X$7,$AG$29,0))=0), "-", IF(SUM(IF('CO-PO Mapping'!X$2,$AH71*$AB$29,0),IF('CO-PO Mapping'!X$3,$AI71*$AC$29,0),IF('CO-PO Mapping'!X$4,$AJ71*$AD$29,0),IF('CO-PO Mapping'!X$5,$AK71*$AE$29,0),IF('CO-PO Mapping'!X$6,$AL71*$AF$29,0),IF('CO-PO Mapping'!X$7,$AM71*$AG$29,0))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1" s="95" t="str">
        <f>IF('CO-PO Mapping'!Y$2, IF(OR($AN71="-",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IF(OR($AP71="-", SUM( IF('CO-PO Mapping'!Y$2,$AB$29,0), IF('CO-PO Mapping'!Y$3,$AC$29,0), IF('CO-PO Mapping'!Y$4,$AD$29,0), IF('CO-PO Mapping'!Y$5,$AE$29,0), IF('CO-PO Mapping'!Y$6,$AF$29,0), IF('CO-PO Mapping'!Y$7,$AG$29,0) )=0), "-", IF( SUM( IF('CO-PO Mapping'!Y$2,$AH71*$AB$29,0), IF('CO-PO Mapping'!Y$3,$AI71*$AC$29,0), IF('CO-PO Mapping'!Y$4,$AJ71*$AD$29,0), IF('CO-PO Mapping'!Y$5,$AK71*$AE$29,0), IF('CO-PO Mapping'!Y$6,$AL71*$AF$29,0), IF('CO-PO Mapping'!Y$7,$AM71*$AG$29,0)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IF('CO-PO Mapping'!Y$6, IF(OR($AR71="-",SUM(IF('CO-PO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IF('CO-PO Mapping'!Y$7, IF(OR($AS71="-",SUM(IF('CO-PO Mapping'!Y$2,$AB$29,0),IF('CO-PO Mapping'!Y$3,$AC$29,0),IF('CO-PO Mapping'!Y$4,$AD$29,0),IF('CO-PO Mapping'!Y$5,$AE$29,0),IF('CO-PO Mapping'!Y$6,$AF$29,0),IF('CO-PO Mapping'!Y$7,$AG$29,0))=0), "-", IF(SUM(IF('CO-PO Mapping'!Y$2,$AH71*$AB$29,0),IF('CO-PO Mapping'!Y$3,$AI71*$AC$29,0),IF('CO-PO Mapping'!Y$4,$AJ71*$AD$29,0),IF('CO-PO Mapping'!Y$5,$AK71*$AE$29,0),IF('CO-PO Mapping'!Y$6,$AL71*$AF$29,0),IF('CO-PO Mapping'!Y$7,$AM71*$AG$29,0))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1" s="95" t="str">
        <f>IF('CO-PO Mapping'!Z$2, IF(OR($AN71="-",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IF(OR($AP71="-", SUM( IF('CO-PO Mapping'!Z$2,$AB$29,0), IF('CO-PO Mapping'!Z$3,$AC$29,0), IF('CO-PO Mapping'!Z$4,$AD$29,0), IF('CO-PO Mapping'!Z$5,$AE$29,0), IF('CO-PO Mapping'!Z$6,$AF$29,0), IF('CO-PO Mapping'!Z$7,$AG$29,0) )=0), "-", IF( SUM( IF('CO-PO Mapping'!Z$2,$AH71*$AB$29,0), IF('CO-PO Mapping'!Z$3,$AI71*$AC$29,0), IF('CO-PO Mapping'!Z$4,$AJ71*$AD$29,0), IF('CO-PO Mapping'!Z$5,$AK71*$AE$29,0), IF('CO-PO Mapping'!Z$6,$AL71*$AF$29,0), IF('CO-PO Mapping'!Z$7,$AM71*$AG$29,0)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IF('CO-PO Mapping'!Z$6, IF(OR($AR71="-",SUM(IF('CO-PO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IF('CO-PO Mapping'!Z$7, IF(OR($AS71="-",SUM(IF('CO-PO Mapping'!Z$2,$AB$29,0),IF('CO-PO Mapping'!Z$3,$AC$29,0),IF('CO-PO Mapping'!Z$4,$AD$29,0),IF('CO-PO Mapping'!Z$5,$AE$29,0),IF('CO-PO Mapping'!Z$6,$AF$29,0),IF('CO-PO Mapping'!Z$7,$AG$29,0))=0), "-", IF(SUM(IF('CO-PO Mapping'!Z$2,$AH71*$AB$29,0),IF('CO-PO Mapping'!Z$3,$AI71*$AC$29,0),IF('CO-PO Mapping'!Z$4,$AJ71*$AD$29,0),IF('CO-PO Mapping'!Z$5,$AK71*$AE$29,0),IF('CO-PO Mapping'!Z$6,$AL71*$AF$29,0),IF('CO-PO Mapping'!Z$7,$AM71*$AG$29,0))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2" spans="1:57" ht="15" customHeight="1">
      <c r="A72" s="87"/>
      <c r="B72" s="84"/>
      <c r="C72" s="74"/>
      <c r="D72" s="74"/>
      <c r="E72" s="75"/>
      <c r="F72" s="75"/>
      <c r="G72" s="75"/>
      <c r="H72" s="103" t="str">
        <f t="shared" si="29"/>
        <v>-</v>
      </c>
      <c r="I72" s="75"/>
      <c r="J72" s="75"/>
      <c r="K72" s="75"/>
      <c r="L72" s="75"/>
      <c r="M72" s="75"/>
      <c r="N72" s="75"/>
      <c r="O72" s="105" t="str">
        <f t="shared" si="30"/>
        <v>-</v>
      </c>
      <c r="P72" s="75"/>
      <c r="Q72" s="75"/>
      <c r="R72" s="75"/>
      <c r="S72" s="75"/>
      <c r="T72" s="75"/>
      <c r="U72" s="75"/>
      <c r="V72" s="104" t="str">
        <f t="shared" si="31"/>
        <v>-</v>
      </c>
      <c r="W72" s="83" t="str">
        <f t="shared" si="28"/>
        <v>-</v>
      </c>
      <c r="X72" s="98" t="str">
        <f t="shared" si="32"/>
        <v>-</v>
      </c>
      <c r="Z72" s="42" t="str">
        <f t="shared" si="26"/>
        <v/>
      </c>
      <c r="AA72" s="43" t="str">
        <f t="shared" si="27"/>
        <v/>
      </c>
      <c r="AB72" s="90">
        <f t="shared" si="11"/>
        <v>0</v>
      </c>
      <c r="AC72" s="90">
        <f t="shared" si="11"/>
        <v>0</v>
      </c>
      <c r="AD72" s="90">
        <f t="shared" si="11"/>
        <v>0</v>
      </c>
      <c r="AE72" s="90">
        <f t="shared" si="11"/>
        <v>0</v>
      </c>
      <c r="AF72" s="90">
        <f t="shared" si="11"/>
        <v>0</v>
      </c>
      <c r="AG72" s="90">
        <f t="shared" si="25"/>
        <v>0</v>
      </c>
      <c r="AH72" s="92">
        <f t="shared" si="12"/>
        <v>0</v>
      </c>
      <c r="AI72" s="92">
        <f t="shared" si="13"/>
        <v>0</v>
      </c>
      <c r="AJ72" s="92">
        <f t="shared" si="14"/>
        <v>0</v>
      </c>
      <c r="AK72" s="92">
        <f t="shared" si="22"/>
        <v>0</v>
      </c>
      <c r="AL72" s="92">
        <f t="shared" si="15"/>
        <v>0</v>
      </c>
      <c r="AM72" s="92">
        <f t="shared" si="16"/>
        <v>0</v>
      </c>
      <c r="AN72" s="93" t="str">
        <f t="shared" si="23"/>
        <v>-</v>
      </c>
      <c r="AO72" s="93" t="str">
        <f t="shared" si="17"/>
        <v>-</v>
      </c>
      <c r="AP72" s="93" t="str">
        <f t="shared" si="18"/>
        <v>-</v>
      </c>
      <c r="AQ72" s="93" t="str">
        <f t="shared" si="19"/>
        <v>-</v>
      </c>
      <c r="AR72" s="93" t="str">
        <f t="shared" si="20"/>
        <v>-</v>
      </c>
      <c r="AS72" s="93" t="str">
        <f t="shared" si="21"/>
        <v>-</v>
      </c>
      <c r="AT72" s="95" t="str">
        <f>IF('CO-PO Mapping'!O$2, IF(OR($AN72="-",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IF(OR($AP72="-", SUM( IF('CO-PO Mapping'!O$2,$AB$29,0), IF('CO-PO Mapping'!O$3,$AC$29,0), IF('CO-PO Mapping'!O$4,$AD$29,0), IF('CO-PO Mapping'!O$5,$AE$29,0), IF('CO-PO Mapping'!O$6,$AF$29,0), IF('CO-PO Mapping'!O$7,$AG$29,0) )=0), "-", IF( SUM( IF('CO-PO Mapping'!O$2,$AH72*$AB$29,0), IF('CO-PO Mapping'!O$3,$AI72*$AC$29,0), IF('CO-PO Mapping'!O$4,$AJ72*$AD$29,0), IF('CO-PO Mapping'!O$5,$AK72*$AE$29,0), IF('CO-PO Mapping'!O$6,$AL72*$AF$29,0), IF('CO-PO Mapping'!O$7,$AM72*$AG$29,0)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IF('CO-PO Mapping'!O$6, IF(OR($AR72="-",SUM(IF('CO-PO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IF('CO-PO Mapping'!O$7, IF(OR($AS72="-",SUM(IF('CO-PO Mapping'!O$2,$AB$29,0),IF('CO-PO Mapping'!O$3,$AC$29,0),IF('CO-PO Mapping'!O$4,$AD$29,0),IF('CO-PO Mapping'!O$5,$AE$29,0),IF('CO-PO Mapping'!O$6,$AF$29,0),IF('CO-PO Mapping'!O$7,$AG$29,0))=0), "-", IF(SUM(IF('CO-PO Mapping'!O$2,$AH72*$AB$29,0),IF('CO-PO Mapping'!O$3,$AI72*$AC$29,0),IF('CO-PO Mapping'!O$4,$AJ72*$AD$29,0),IF('CO-PO Mapping'!O$5,$AK72*$AE$29,0),IF('CO-PO Mapping'!O$6,$AL72*$AF$29,0),IF('CO-PO Mapping'!O$7,$AM72*$AG$29,0))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2" s="95" t="str">
        <f>IF('CO-PO Mapping'!P$2, IF(OR($AN72="-",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IF(OR($AP72="-", SUM( IF('CO-PO Mapping'!P$2,$AB$29,0), IF('CO-PO Mapping'!P$3,$AC$29,0), IF('CO-PO Mapping'!P$4,$AD$29,0), IF('CO-PO Mapping'!P$5,$AE$29,0), IF('CO-PO Mapping'!P$6,$AF$29,0), IF('CO-PO Mapping'!P$7,$AG$29,0) )=0), "-", IF( SUM( IF('CO-PO Mapping'!P$2,$AH72*$AB$29,0), IF('CO-PO Mapping'!P$3,$AI72*$AC$29,0), IF('CO-PO Mapping'!P$4,$AJ72*$AD$29,0), IF('CO-PO Mapping'!P$5,$AK72*$AE$29,0), IF('CO-PO Mapping'!P$6,$AL72*$AF$29,0), IF('CO-PO Mapping'!P$7,$AM72*$AG$29,0)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IF('CO-PO Mapping'!P$6, IF(OR($AR72="-",SUM(IF('CO-PO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IF('CO-PO Mapping'!P$7, IF(OR($AS72="-",SUM(IF('CO-PO Mapping'!P$2,$AB$29,0),IF('CO-PO Mapping'!P$3,$AC$29,0),IF('CO-PO Mapping'!P$4,$AD$29,0),IF('CO-PO Mapping'!P$5,$AE$29,0),IF('CO-PO Mapping'!P$6,$AF$29,0),IF('CO-PO Mapping'!P$7,$AG$29,0))=0), "-", IF(SUM(IF('CO-PO Mapping'!P$2,$AH72*$AB$29,0),IF('CO-PO Mapping'!P$3,$AI72*$AC$29,0),IF('CO-PO Mapping'!P$4,$AJ72*$AD$29,0),IF('CO-PO Mapping'!P$5,$AK72*$AE$29,0),IF('CO-PO Mapping'!P$6,$AL72*$AF$29,0),IF('CO-PO Mapping'!P$7,$AM72*$AG$29,0))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2" s="95" t="str">
        <f>IF('CO-PO Mapping'!Q$2, IF(OR($AN72="-",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IF(OR($AP72="-", SUM( IF('CO-PO Mapping'!Q$2,$AB$29,0), IF('CO-PO Mapping'!Q$3,$AC$29,0), IF('CO-PO Mapping'!Q$4,$AD$29,0), IF('CO-PO Mapping'!Q$5,$AE$29,0), IF('CO-PO Mapping'!Q$6,$AF$29,0), IF('CO-PO Mapping'!Q$7,$AG$29,0) )=0), "-", IF( SUM( IF('CO-PO Mapping'!Q$2,$AH72*$AB$29,0), IF('CO-PO Mapping'!Q$3,$AI72*$AC$29,0), IF('CO-PO Mapping'!Q$4,$AJ72*$AD$29,0), IF('CO-PO Mapping'!Q$5,$AK72*$AE$29,0), IF('CO-PO Mapping'!Q$6,$AL72*$AF$29,0), IF('CO-PO Mapping'!Q$7,$AM72*$AG$29,0)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IF('CO-PO Mapping'!Q$6, IF(OR($AR72="-",SUM(IF('CO-PO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IF('CO-PO Mapping'!Q$7, IF(OR($AS72="-",SUM(IF('CO-PO Mapping'!Q$2,$AB$29,0),IF('CO-PO Mapping'!Q$3,$AC$29,0),IF('CO-PO Mapping'!Q$4,$AD$29,0),IF('CO-PO Mapping'!Q$5,$AE$29,0),IF('CO-PO Mapping'!Q$6,$AF$29,0),IF('CO-PO Mapping'!Q$7,$AG$29,0))=0), "-", IF(SUM(IF('CO-PO Mapping'!Q$2,$AH72*$AB$29,0),IF('CO-PO Mapping'!Q$3,$AI72*$AC$29,0),IF('CO-PO Mapping'!Q$4,$AJ72*$AD$29,0),IF('CO-PO Mapping'!Q$5,$AK72*$AE$29,0),IF('CO-PO Mapping'!Q$6,$AL72*$AF$29,0),IF('CO-PO Mapping'!Q$7,$AM72*$AG$29,0))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2" s="95" t="str">
        <f>IF('CO-PO Mapping'!R$2, IF(OR($AN72="-",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IF(OR($AP72="-", SUM( IF('CO-PO Mapping'!R$2,$AB$29,0), IF('CO-PO Mapping'!R$3,$AC$29,0), IF('CO-PO Mapping'!R$4,$AD$29,0), IF('CO-PO Mapping'!R$5,$AE$29,0), IF('CO-PO Mapping'!R$6,$AF$29,0), IF('CO-PO Mapping'!R$7,$AG$29,0) )=0), "-", IF( SUM( IF('CO-PO Mapping'!R$2,$AH72*$AB$29,0), IF('CO-PO Mapping'!R$3,$AI72*$AC$29,0), IF('CO-PO Mapping'!R$4,$AJ72*$AD$29,0), IF('CO-PO Mapping'!R$5,$AK72*$AE$29,0), IF('CO-PO Mapping'!R$6,$AL72*$AF$29,0), IF('CO-PO Mapping'!R$7,$AM72*$AG$29,0)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IF('CO-PO Mapping'!R$6, IF(OR($AR72="-",SUM(IF('CO-PO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IF('CO-PO Mapping'!R$7, IF(OR($AS72="-",SUM(IF('CO-PO Mapping'!R$2,$AB$29,0),IF('CO-PO Mapping'!R$3,$AC$29,0),IF('CO-PO Mapping'!R$4,$AD$29,0),IF('CO-PO Mapping'!R$5,$AE$29,0),IF('CO-PO Mapping'!R$6,$AF$29,0),IF('CO-PO Mapping'!R$7,$AG$29,0))=0), "-", IF(SUM(IF('CO-PO Mapping'!R$2,$AH72*$AB$29,0),IF('CO-PO Mapping'!R$3,$AI72*$AC$29,0),IF('CO-PO Mapping'!R$4,$AJ72*$AD$29,0),IF('CO-PO Mapping'!R$5,$AK72*$AE$29,0),IF('CO-PO Mapping'!R$6,$AL72*$AF$29,0),IF('CO-PO Mapping'!R$7,$AM72*$AG$29,0))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2" s="95" t="str">
        <f>IF('CO-PO Mapping'!S$2, IF(OR($AN72="-",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IF(OR($AP72="-", SUM( IF('CO-PO Mapping'!S$2,$AB$29,0), IF('CO-PO Mapping'!S$3,$AC$29,0), IF('CO-PO Mapping'!S$4,$AD$29,0), IF('CO-PO Mapping'!S$5,$AE$29,0), IF('CO-PO Mapping'!S$6,$AF$29,0), IF('CO-PO Mapping'!S$7,$AG$29,0) )=0), "-", IF( SUM( IF('CO-PO Mapping'!S$2,$AH72*$AB$29,0), IF('CO-PO Mapping'!S$3,$AI72*$AC$29,0), IF('CO-PO Mapping'!S$4,$AJ72*$AD$29,0), IF('CO-PO Mapping'!S$5,$AK72*$AE$29,0), IF('CO-PO Mapping'!S$6,$AL72*$AF$29,0), IF('CO-PO Mapping'!S$7,$AM72*$AG$29,0)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IF('CO-PO Mapping'!S$6, IF(OR($AR72="-",SUM(IF('CO-PO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IF('CO-PO Mapping'!S$7, IF(OR($AS72="-",SUM(IF('CO-PO Mapping'!S$2,$AB$29,0),IF('CO-PO Mapping'!S$3,$AC$29,0),IF('CO-PO Mapping'!S$4,$AD$29,0),IF('CO-PO Mapping'!S$5,$AE$29,0),IF('CO-PO Mapping'!S$6,$AF$29,0),IF('CO-PO Mapping'!S$7,$AG$29,0))=0), "-", IF(SUM(IF('CO-PO Mapping'!S$2,$AH72*$AB$29,0),IF('CO-PO Mapping'!S$3,$AI72*$AC$29,0),IF('CO-PO Mapping'!S$4,$AJ72*$AD$29,0),IF('CO-PO Mapping'!S$5,$AK72*$AE$29,0),IF('CO-PO Mapping'!S$6,$AL72*$AF$29,0),IF('CO-PO Mapping'!S$7,$AM72*$AG$29,0))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2" s="95" t="str">
        <f>IF('CO-PO Mapping'!T$2, IF(OR($AN72="-",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IF(OR($AP72="-", SUM( IF('CO-PO Mapping'!T$2,$AB$29,0), IF('CO-PO Mapping'!T$3,$AC$29,0), IF('CO-PO Mapping'!T$4,$AD$29,0), IF('CO-PO Mapping'!T$5,$AE$29,0), IF('CO-PO Mapping'!T$6,$AF$29,0), IF('CO-PO Mapping'!T$7,$AG$29,0) )=0), "-", IF( SUM( IF('CO-PO Mapping'!T$2,$AH72*$AB$29,0), IF('CO-PO Mapping'!T$3,$AI72*$AC$29,0), IF('CO-PO Mapping'!T$4,$AJ72*$AD$29,0), IF('CO-PO Mapping'!T$5,$AK72*$AE$29,0), IF('CO-PO Mapping'!T$6,$AL72*$AF$29,0), IF('CO-PO Mapping'!T$7,$AM72*$AG$29,0)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IF('CO-PO Mapping'!T$6, IF(OR($AR72="-",SUM(IF('CO-PO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IF('CO-PO Mapping'!T$7, IF(OR($AS72="-",SUM(IF('CO-PO Mapping'!T$2,$AB$29,0),IF('CO-PO Mapping'!T$3,$AC$29,0),IF('CO-PO Mapping'!T$4,$AD$29,0),IF('CO-PO Mapping'!T$5,$AE$29,0),IF('CO-PO Mapping'!T$6,$AF$29,0),IF('CO-PO Mapping'!T$7,$AG$29,0))=0), "-", IF(SUM(IF('CO-PO Mapping'!T$2,$AH72*$AB$29,0),IF('CO-PO Mapping'!T$3,$AI72*$AC$29,0),IF('CO-PO Mapping'!T$4,$AJ72*$AD$29,0),IF('CO-PO Mapping'!T$5,$AK72*$AE$29,0),IF('CO-PO Mapping'!T$6,$AL72*$AF$29,0),IF('CO-PO Mapping'!T$7,$AM72*$AG$29,0))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2" s="95" t="str">
        <f>IF('CO-PO Mapping'!U$2, IF(OR($AN72="-",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IF(OR($AP72="-", SUM( IF('CO-PO Mapping'!U$2,$AB$29,0), IF('CO-PO Mapping'!U$3,$AC$29,0), IF('CO-PO Mapping'!U$4,$AD$29,0), IF('CO-PO Mapping'!U$5,$AE$29,0), IF('CO-PO Mapping'!U$6,$AF$29,0), IF('CO-PO Mapping'!U$7,$AG$29,0) )=0), "-", IF( SUM( IF('CO-PO Mapping'!U$2,$AH72*$AB$29,0), IF('CO-PO Mapping'!U$3,$AI72*$AC$29,0), IF('CO-PO Mapping'!U$4,$AJ72*$AD$29,0), IF('CO-PO Mapping'!U$5,$AK72*$AE$29,0), IF('CO-PO Mapping'!U$6,$AL72*$AF$29,0), IF('CO-PO Mapping'!U$7,$AM72*$AG$29,0)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IF('CO-PO Mapping'!U$6, IF(OR($AR72="-",SUM(IF('CO-PO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IF('CO-PO Mapping'!U$7, IF(OR($AS72="-",SUM(IF('CO-PO Mapping'!U$2,$AB$29,0),IF('CO-PO Mapping'!U$3,$AC$29,0),IF('CO-PO Mapping'!U$4,$AD$29,0),IF('CO-PO Mapping'!U$5,$AE$29,0),IF('CO-PO Mapping'!U$6,$AF$29,0),IF('CO-PO Mapping'!U$7,$AG$29,0))=0), "-", IF(SUM(IF('CO-PO Mapping'!U$2,$AH72*$AB$29,0),IF('CO-PO Mapping'!U$3,$AI72*$AC$29,0),IF('CO-PO Mapping'!U$4,$AJ72*$AD$29,0),IF('CO-PO Mapping'!U$5,$AK72*$AE$29,0),IF('CO-PO Mapping'!U$6,$AL72*$AF$29,0),IF('CO-PO Mapping'!U$7,$AM72*$AG$29,0))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2" s="95" t="str">
        <f>IF('CO-PO Mapping'!V$2, IF(OR($AN72="-",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IF(OR($AP72="-", SUM( IF('CO-PO Mapping'!V$2,$AB$29,0), IF('CO-PO Mapping'!V$3,$AC$29,0), IF('CO-PO Mapping'!V$4,$AD$29,0), IF('CO-PO Mapping'!V$5,$AE$29,0), IF('CO-PO Mapping'!V$6,$AF$29,0), IF('CO-PO Mapping'!V$7,$AG$29,0) )=0), "-", IF( SUM( IF('CO-PO Mapping'!V$2,$AH72*$AB$29,0), IF('CO-PO Mapping'!V$3,$AI72*$AC$29,0), IF('CO-PO Mapping'!V$4,$AJ72*$AD$29,0), IF('CO-PO Mapping'!V$5,$AK72*$AE$29,0), IF('CO-PO Mapping'!V$6,$AL72*$AF$29,0), IF('CO-PO Mapping'!V$7,$AM72*$AG$29,0)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IF('CO-PO Mapping'!V$6, IF(OR($AR72="-",SUM(IF('CO-PO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IF('CO-PO Mapping'!V$7, IF(OR($AS72="-",SUM(IF('CO-PO Mapping'!V$2,$AB$29,0),IF('CO-PO Mapping'!V$3,$AC$29,0),IF('CO-PO Mapping'!V$4,$AD$29,0),IF('CO-PO Mapping'!V$5,$AE$29,0),IF('CO-PO Mapping'!V$6,$AF$29,0),IF('CO-PO Mapping'!V$7,$AG$29,0))=0), "-", IF(SUM(IF('CO-PO Mapping'!V$2,$AH72*$AB$29,0),IF('CO-PO Mapping'!V$3,$AI72*$AC$29,0),IF('CO-PO Mapping'!V$4,$AJ72*$AD$29,0),IF('CO-PO Mapping'!V$5,$AK72*$AE$29,0),IF('CO-PO Mapping'!V$6,$AL72*$AF$29,0),IF('CO-PO Mapping'!V$7,$AM72*$AG$29,0))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2" s="95" t="str">
        <f>IF('CO-PO Mapping'!W$2, IF(OR($AN72="-",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IF(OR($AP72="-", SUM( IF('CO-PO Mapping'!W$2,$AB$29,0), IF('CO-PO Mapping'!W$3,$AC$29,0), IF('CO-PO Mapping'!W$4,$AD$29,0), IF('CO-PO Mapping'!W$5,$AE$29,0), IF('CO-PO Mapping'!W$6,$AF$29,0), IF('CO-PO Mapping'!W$7,$AG$29,0) )=0), "-", IF( SUM( IF('CO-PO Mapping'!W$2,$AH72*$AB$29,0), IF('CO-PO Mapping'!W$3,$AI72*$AC$29,0), IF('CO-PO Mapping'!W$4,$AJ72*$AD$29,0), IF('CO-PO Mapping'!W$5,$AK72*$AE$29,0), IF('CO-PO Mapping'!W$6,$AL72*$AF$29,0), IF('CO-PO Mapping'!W$7,$AM72*$AG$29,0)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IF('CO-PO Mapping'!W$6, IF(OR($AR72="-",SUM(IF('CO-PO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IF('CO-PO Mapping'!W$7, IF(OR($AS72="-",SUM(IF('CO-PO Mapping'!W$2,$AB$29,0),IF('CO-PO Mapping'!W$3,$AC$29,0),IF('CO-PO Mapping'!W$4,$AD$29,0),IF('CO-PO Mapping'!W$5,$AE$29,0),IF('CO-PO Mapping'!W$6,$AF$29,0),IF('CO-PO Mapping'!W$7,$AG$29,0))=0), "-", IF(SUM(IF('CO-PO Mapping'!W$2,$AH72*$AB$29,0),IF('CO-PO Mapping'!W$3,$AI72*$AC$29,0),IF('CO-PO Mapping'!W$4,$AJ72*$AD$29,0),IF('CO-PO Mapping'!W$5,$AK72*$AE$29,0),IF('CO-PO Mapping'!W$6,$AL72*$AF$29,0),IF('CO-PO Mapping'!W$7,$AM72*$AG$29,0))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2" s="95" t="str">
        <f>IF('CO-PO Mapping'!X$2, IF(OR($AN72="-",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IF(OR($AP72="-", SUM( IF('CO-PO Mapping'!X$2,$AB$29,0), IF('CO-PO Mapping'!X$3,$AC$29,0), IF('CO-PO Mapping'!X$4,$AD$29,0), IF('CO-PO Mapping'!X$5,$AE$29,0), IF('CO-PO Mapping'!X$6,$AF$29,0), IF('CO-PO Mapping'!X$7,$AG$29,0) )=0), "-", IF( SUM( IF('CO-PO Mapping'!X$2,$AH72*$AB$29,0), IF('CO-PO Mapping'!X$3,$AI72*$AC$29,0), IF('CO-PO Mapping'!X$4,$AJ72*$AD$29,0), IF('CO-PO Mapping'!X$5,$AK72*$AE$29,0), IF('CO-PO Mapping'!X$6,$AL72*$AF$29,0), IF('CO-PO Mapping'!X$7,$AM72*$AG$29,0)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IF('CO-PO Mapping'!X$6, IF(OR($AR72="-",SUM(IF('CO-PO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IF('CO-PO Mapping'!X$7, IF(OR($AS72="-",SUM(IF('CO-PO Mapping'!X$2,$AB$29,0),IF('CO-PO Mapping'!X$3,$AC$29,0),IF('CO-PO Mapping'!X$4,$AD$29,0),IF('CO-PO Mapping'!X$5,$AE$29,0),IF('CO-PO Mapping'!X$6,$AF$29,0),IF('CO-PO Mapping'!X$7,$AG$29,0))=0), "-", IF(SUM(IF('CO-PO Mapping'!X$2,$AH72*$AB$29,0),IF('CO-PO Mapping'!X$3,$AI72*$AC$29,0),IF('CO-PO Mapping'!X$4,$AJ72*$AD$29,0),IF('CO-PO Mapping'!X$5,$AK72*$AE$29,0),IF('CO-PO Mapping'!X$6,$AL72*$AF$29,0),IF('CO-PO Mapping'!X$7,$AM72*$AG$29,0))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2" s="95" t="str">
        <f>IF('CO-PO Mapping'!Y$2, IF(OR($AN72="-",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IF(OR($AP72="-", SUM( IF('CO-PO Mapping'!Y$2,$AB$29,0), IF('CO-PO Mapping'!Y$3,$AC$29,0), IF('CO-PO Mapping'!Y$4,$AD$29,0), IF('CO-PO Mapping'!Y$5,$AE$29,0), IF('CO-PO Mapping'!Y$6,$AF$29,0), IF('CO-PO Mapping'!Y$7,$AG$29,0) )=0), "-", IF( SUM( IF('CO-PO Mapping'!Y$2,$AH72*$AB$29,0), IF('CO-PO Mapping'!Y$3,$AI72*$AC$29,0), IF('CO-PO Mapping'!Y$4,$AJ72*$AD$29,0), IF('CO-PO Mapping'!Y$5,$AK72*$AE$29,0), IF('CO-PO Mapping'!Y$6,$AL72*$AF$29,0), IF('CO-PO Mapping'!Y$7,$AM72*$AG$29,0)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IF('CO-PO Mapping'!Y$6, IF(OR($AR72="-",SUM(IF('CO-PO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IF('CO-PO Mapping'!Y$7, IF(OR($AS72="-",SUM(IF('CO-PO Mapping'!Y$2,$AB$29,0),IF('CO-PO Mapping'!Y$3,$AC$29,0),IF('CO-PO Mapping'!Y$4,$AD$29,0),IF('CO-PO Mapping'!Y$5,$AE$29,0),IF('CO-PO Mapping'!Y$6,$AF$29,0),IF('CO-PO Mapping'!Y$7,$AG$29,0))=0), "-", IF(SUM(IF('CO-PO Mapping'!Y$2,$AH72*$AB$29,0),IF('CO-PO Mapping'!Y$3,$AI72*$AC$29,0),IF('CO-PO Mapping'!Y$4,$AJ72*$AD$29,0),IF('CO-PO Mapping'!Y$5,$AK72*$AE$29,0),IF('CO-PO Mapping'!Y$6,$AL72*$AF$29,0),IF('CO-PO Mapping'!Y$7,$AM72*$AG$29,0))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2" s="95" t="str">
        <f>IF('CO-PO Mapping'!Z$2, IF(OR($AN72="-",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IF(OR($AP72="-", SUM( IF('CO-PO Mapping'!Z$2,$AB$29,0), IF('CO-PO Mapping'!Z$3,$AC$29,0), IF('CO-PO Mapping'!Z$4,$AD$29,0), IF('CO-PO Mapping'!Z$5,$AE$29,0), IF('CO-PO Mapping'!Z$6,$AF$29,0), IF('CO-PO Mapping'!Z$7,$AG$29,0) )=0), "-", IF( SUM( IF('CO-PO Mapping'!Z$2,$AH72*$AB$29,0), IF('CO-PO Mapping'!Z$3,$AI72*$AC$29,0), IF('CO-PO Mapping'!Z$4,$AJ72*$AD$29,0), IF('CO-PO Mapping'!Z$5,$AK72*$AE$29,0), IF('CO-PO Mapping'!Z$6,$AL72*$AF$29,0), IF('CO-PO Mapping'!Z$7,$AM72*$AG$29,0)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IF('CO-PO Mapping'!Z$6, IF(OR($AR72="-",SUM(IF('CO-PO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IF('CO-PO Mapping'!Z$7, IF(OR($AS72="-",SUM(IF('CO-PO Mapping'!Z$2,$AB$29,0),IF('CO-PO Mapping'!Z$3,$AC$29,0),IF('CO-PO Mapping'!Z$4,$AD$29,0),IF('CO-PO Mapping'!Z$5,$AE$29,0),IF('CO-PO Mapping'!Z$6,$AF$29,0),IF('CO-PO Mapping'!Z$7,$AG$29,0))=0), "-", IF(SUM(IF('CO-PO Mapping'!Z$2,$AH72*$AB$29,0),IF('CO-PO Mapping'!Z$3,$AI72*$AC$29,0),IF('CO-PO Mapping'!Z$4,$AJ72*$AD$29,0),IF('CO-PO Mapping'!Z$5,$AK72*$AE$29,0),IF('CO-PO Mapping'!Z$6,$AL72*$AF$29,0),IF('CO-PO Mapping'!Z$7,$AM72*$AG$29,0))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3" spans="1:57" ht="15" customHeight="1">
      <c r="A73" s="119"/>
      <c r="B73" s="120"/>
      <c r="C73" s="74"/>
      <c r="D73" s="74"/>
      <c r="E73" s="75"/>
      <c r="F73" s="75"/>
      <c r="G73" s="75"/>
      <c r="H73" s="103" t="str">
        <f t="shared" si="29"/>
        <v>-</v>
      </c>
      <c r="I73" s="75"/>
      <c r="J73" s="75"/>
      <c r="K73" s="75"/>
      <c r="L73" s="75"/>
      <c r="M73" s="75"/>
      <c r="N73" s="75"/>
      <c r="O73" s="105" t="str">
        <f t="shared" si="30"/>
        <v>-</v>
      </c>
      <c r="P73" s="75"/>
      <c r="Q73" s="75"/>
      <c r="R73" s="75"/>
      <c r="S73" s="75"/>
      <c r="T73" s="75"/>
      <c r="U73" s="75"/>
      <c r="V73" s="104" t="str">
        <f t="shared" si="31"/>
        <v>-</v>
      </c>
      <c r="W73" s="83" t="str">
        <f t="shared" si="28"/>
        <v>-</v>
      </c>
      <c r="X73" s="98" t="str">
        <f t="shared" si="32"/>
        <v>-</v>
      </c>
      <c r="Z73" s="42" t="str">
        <f t="shared" si="26"/>
        <v/>
      </c>
      <c r="AA73" s="43" t="str">
        <f t="shared" si="27"/>
        <v/>
      </c>
      <c r="AB73" s="90">
        <f t="shared" si="11"/>
        <v>0</v>
      </c>
      <c r="AC73" s="90">
        <f t="shared" si="11"/>
        <v>0</v>
      </c>
      <c r="AD73" s="90">
        <f t="shared" si="11"/>
        <v>0</v>
      </c>
      <c r="AE73" s="90">
        <f t="shared" si="11"/>
        <v>0</v>
      </c>
      <c r="AF73" s="90">
        <f t="shared" si="11"/>
        <v>0</v>
      </c>
      <c r="AG73" s="90">
        <f t="shared" si="25"/>
        <v>0</v>
      </c>
      <c r="AH73" s="92">
        <f t="shared" si="12"/>
        <v>0</v>
      </c>
      <c r="AI73" s="92">
        <f t="shared" si="13"/>
        <v>0</v>
      </c>
      <c r="AJ73" s="92">
        <f t="shared" si="14"/>
        <v>0</v>
      </c>
      <c r="AK73" s="92">
        <f t="shared" si="22"/>
        <v>0</v>
      </c>
      <c r="AL73" s="92">
        <f t="shared" si="15"/>
        <v>0</v>
      </c>
      <c r="AM73" s="92">
        <f t="shared" si="16"/>
        <v>0</v>
      </c>
      <c r="AN73" s="93" t="str">
        <f t="shared" si="23"/>
        <v>-</v>
      </c>
      <c r="AO73" s="93" t="str">
        <f t="shared" si="17"/>
        <v>-</v>
      </c>
      <c r="AP73" s="93" t="str">
        <f t="shared" si="18"/>
        <v>-</v>
      </c>
      <c r="AQ73" s="93" t="str">
        <f t="shared" si="19"/>
        <v>-</v>
      </c>
      <c r="AR73" s="93" t="str">
        <f t="shared" si="20"/>
        <v>-</v>
      </c>
      <c r="AS73" s="93" t="str">
        <f t="shared" si="21"/>
        <v>-</v>
      </c>
      <c r="AT73" s="95" t="str">
        <f>IF('CO-PO Mapping'!O$2, IF(OR($AN73="-",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IF(OR($AP73="-", SUM( IF('CO-PO Mapping'!O$2,$AB$29,0), IF('CO-PO Mapping'!O$3,$AC$29,0), IF('CO-PO Mapping'!O$4,$AD$29,0), IF('CO-PO Mapping'!O$5,$AE$29,0), IF('CO-PO Mapping'!O$6,$AF$29,0), IF('CO-PO Mapping'!O$7,$AG$29,0) )=0), "-", IF( SUM( IF('CO-PO Mapping'!O$2,$AH73*$AB$29,0), IF('CO-PO Mapping'!O$3,$AI73*$AC$29,0), IF('CO-PO Mapping'!O$4,$AJ73*$AD$29,0), IF('CO-PO Mapping'!O$5,$AK73*$AE$29,0), IF('CO-PO Mapping'!O$6,$AL73*$AF$29,0), IF('CO-PO Mapping'!O$7,$AM73*$AG$29,0)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IF('CO-PO Mapping'!O$6, IF(OR($AR73="-",SUM(IF('CO-PO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IF('CO-PO Mapping'!O$7, IF(OR($AS73="-",SUM(IF('CO-PO Mapping'!O$2,$AB$29,0),IF('CO-PO Mapping'!O$3,$AC$29,0),IF('CO-PO Mapping'!O$4,$AD$29,0),IF('CO-PO Mapping'!O$5,$AE$29,0),IF('CO-PO Mapping'!O$6,$AF$29,0),IF('CO-PO Mapping'!O$7,$AG$29,0))=0), "-", IF(SUM(IF('CO-PO Mapping'!O$2,$AH73*$AB$29,0),IF('CO-PO Mapping'!O$3,$AI73*$AC$29,0),IF('CO-PO Mapping'!O$4,$AJ73*$AD$29,0),IF('CO-PO Mapping'!O$5,$AK73*$AE$29,0),IF('CO-PO Mapping'!O$6,$AL73*$AF$29,0),IF('CO-PO Mapping'!O$7,$AM73*$AG$29,0))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3" s="95" t="str">
        <f>IF('CO-PO Mapping'!P$2, IF(OR($AN73="-",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IF(OR($AP73="-", SUM( IF('CO-PO Mapping'!P$2,$AB$29,0), IF('CO-PO Mapping'!P$3,$AC$29,0), IF('CO-PO Mapping'!P$4,$AD$29,0), IF('CO-PO Mapping'!P$5,$AE$29,0), IF('CO-PO Mapping'!P$6,$AF$29,0), IF('CO-PO Mapping'!P$7,$AG$29,0) )=0), "-", IF( SUM( IF('CO-PO Mapping'!P$2,$AH73*$AB$29,0), IF('CO-PO Mapping'!P$3,$AI73*$AC$29,0), IF('CO-PO Mapping'!P$4,$AJ73*$AD$29,0), IF('CO-PO Mapping'!P$5,$AK73*$AE$29,0), IF('CO-PO Mapping'!P$6,$AL73*$AF$29,0), IF('CO-PO Mapping'!P$7,$AM73*$AG$29,0)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IF('CO-PO Mapping'!P$6, IF(OR($AR73="-",SUM(IF('CO-PO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IF('CO-PO Mapping'!P$7, IF(OR($AS73="-",SUM(IF('CO-PO Mapping'!P$2,$AB$29,0),IF('CO-PO Mapping'!P$3,$AC$29,0),IF('CO-PO Mapping'!P$4,$AD$29,0),IF('CO-PO Mapping'!P$5,$AE$29,0),IF('CO-PO Mapping'!P$6,$AF$29,0),IF('CO-PO Mapping'!P$7,$AG$29,0))=0), "-", IF(SUM(IF('CO-PO Mapping'!P$2,$AH73*$AB$29,0),IF('CO-PO Mapping'!P$3,$AI73*$AC$29,0),IF('CO-PO Mapping'!P$4,$AJ73*$AD$29,0),IF('CO-PO Mapping'!P$5,$AK73*$AE$29,0),IF('CO-PO Mapping'!P$6,$AL73*$AF$29,0),IF('CO-PO Mapping'!P$7,$AM73*$AG$29,0))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3" s="95" t="str">
        <f>IF('CO-PO Mapping'!Q$2, IF(OR($AN73="-",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IF(OR($AP73="-", SUM( IF('CO-PO Mapping'!Q$2,$AB$29,0), IF('CO-PO Mapping'!Q$3,$AC$29,0), IF('CO-PO Mapping'!Q$4,$AD$29,0), IF('CO-PO Mapping'!Q$5,$AE$29,0), IF('CO-PO Mapping'!Q$6,$AF$29,0), IF('CO-PO Mapping'!Q$7,$AG$29,0) )=0), "-", IF( SUM( IF('CO-PO Mapping'!Q$2,$AH73*$AB$29,0), IF('CO-PO Mapping'!Q$3,$AI73*$AC$29,0), IF('CO-PO Mapping'!Q$4,$AJ73*$AD$29,0), IF('CO-PO Mapping'!Q$5,$AK73*$AE$29,0), IF('CO-PO Mapping'!Q$6,$AL73*$AF$29,0), IF('CO-PO Mapping'!Q$7,$AM73*$AG$29,0)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IF('CO-PO Mapping'!Q$6, IF(OR($AR73="-",SUM(IF('CO-PO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IF('CO-PO Mapping'!Q$7, IF(OR($AS73="-",SUM(IF('CO-PO Mapping'!Q$2,$AB$29,0),IF('CO-PO Mapping'!Q$3,$AC$29,0),IF('CO-PO Mapping'!Q$4,$AD$29,0),IF('CO-PO Mapping'!Q$5,$AE$29,0),IF('CO-PO Mapping'!Q$6,$AF$29,0),IF('CO-PO Mapping'!Q$7,$AG$29,0))=0), "-", IF(SUM(IF('CO-PO Mapping'!Q$2,$AH73*$AB$29,0),IF('CO-PO Mapping'!Q$3,$AI73*$AC$29,0),IF('CO-PO Mapping'!Q$4,$AJ73*$AD$29,0),IF('CO-PO Mapping'!Q$5,$AK73*$AE$29,0),IF('CO-PO Mapping'!Q$6,$AL73*$AF$29,0),IF('CO-PO Mapping'!Q$7,$AM73*$AG$29,0))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3" s="95" t="str">
        <f>IF('CO-PO Mapping'!R$2, IF(OR($AN73="-",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IF(OR($AP73="-", SUM( IF('CO-PO Mapping'!R$2,$AB$29,0), IF('CO-PO Mapping'!R$3,$AC$29,0), IF('CO-PO Mapping'!R$4,$AD$29,0), IF('CO-PO Mapping'!R$5,$AE$29,0), IF('CO-PO Mapping'!R$6,$AF$29,0), IF('CO-PO Mapping'!R$7,$AG$29,0) )=0), "-", IF( SUM( IF('CO-PO Mapping'!R$2,$AH73*$AB$29,0), IF('CO-PO Mapping'!R$3,$AI73*$AC$29,0), IF('CO-PO Mapping'!R$4,$AJ73*$AD$29,0), IF('CO-PO Mapping'!R$5,$AK73*$AE$29,0), IF('CO-PO Mapping'!R$6,$AL73*$AF$29,0), IF('CO-PO Mapping'!R$7,$AM73*$AG$29,0)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IF('CO-PO Mapping'!R$6, IF(OR($AR73="-",SUM(IF('CO-PO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IF('CO-PO Mapping'!R$7, IF(OR($AS73="-",SUM(IF('CO-PO Mapping'!R$2,$AB$29,0),IF('CO-PO Mapping'!R$3,$AC$29,0),IF('CO-PO Mapping'!R$4,$AD$29,0),IF('CO-PO Mapping'!R$5,$AE$29,0),IF('CO-PO Mapping'!R$6,$AF$29,0),IF('CO-PO Mapping'!R$7,$AG$29,0))=0), "-", IF(SUM(IF('CO-PO Mapping'!R$2,$AH73*$AB$29,0),IF('CO-PO Mapping'!R$3,$AI73*$AC$29,0),IF('CO-PO Mapping'!R$4,$AJ73*$AD$29,0),IF('CO-PO Mapping'!R$5,$AK73*$AE$29,0),IF('CO-PO Mapping'!R$6,$AL73*$AF$29,0),IF('CO-PO Mapping'!R$7,$AM73*$AG$29,0))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3" s="95" t="str">
        <f>IF('CO-PO Mapping'!S$2, IF(OR($AN73="-",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IF(OR($AP73="-", SUM( IF('CO-PO Mapping'!S$2,$AB$29,0), IF('CO-PO Mapping'!S$3,$AC$29,0), IF('CO-PO Mapping'!S$4,$AD$29,0), IF('CO-PO Mapping'!S$5,$AE$29,0), IF('CO-PO Mapping'!S$6,$AF$29,0), IF('CO-PO Mapping'!S$7,$AG$29,0) )=0), "-", IF( SUM( IF('CO-PO Mapping'!S$2,$AH73*$AB$29,0), IF('CO-PO Mapping'!S$3,$AI73*$AC$29,0), IF('CO-PO Mapping'!S$4,$AJ73*$AD$29,0), IF('CO-PO Mapping'!S$5,$AK73*$AE$29,0), IF('CO-PO Mapping'!S$6,$AL73*$AF$29,0), IF('CO-PO Mapping'!S$7,$AM73*$AG$29,0)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IF('CO-PO Mapping'!S$6, IF(OR($AR73="-",SUM(IF('CO-PO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IF('CO-PO Mapping'!S$7, IF(OR($AS73="-",SUM(IF('CO-PO Mapping'!S$2,$AB$29,0),IF('CO-PO Mapping'!S$3,$AC$29,0),IF('CO-PO Mapping'!S$4,$AD$29,0),IF('CO-PO Mapping'!S$5,$AE$29,0),IF('CO-PO Mapping'!S$6,$AF$29,0),IF('CO-PO Mapping'!S$7,$AG$29,0))=0), "-", IF(SUM(IF('CO-PO Mapping'!S$2,$AH73*$AB$29,0),IF('CO-PO Mapping'!S$3,$AI73*$AC$29,0),IF('CO-PO Mapping'!S$4,$AJ73*$AD$29,0),IF('CO-PO Mapping'!S$5,$AK73*$AE$29,0),IF('CO-PO Mapping'!S$6,$AL73*$AF$29,0),IF('CO-PO Mapping'!S$7,$AM73*$AG$29,0))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3" s="95" t="str">
        <f>IF('CO-PO Mapping'!T$2, IF(OR($AN73="-",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IF(OR($AP73="-", SUM( IF('CO-PO Mapping'!T$2,$AB$29,0), IF('CO-PO Mapping'!T$3,$AC$29,0), IF('CO-PO Mapping'!T$4,$AD$29,0), IF('CO-PO Mapping'!T$5,$AE$29,0), IF('CO-PO Mapping'!T$6,$AF$29,0), IF('CO-PO Mapping'!T$7,$AG$29,0) )=0), "-", IF( SUM( IF('CO-PO Mapping'!T$2,$AH73*$AB$29,0), IF('CO-PO Mapping'!T$3,$AI73*$AC$29,0), IF('CO-PO Mapping'!T$4,$AJ73*$AD$29,0), IF('CO-PO Mapping'!T$5,$AK73*$AE$29,0), IF('CO-PO Mapping'!T$6,$AL73*$AF$29,0), IF('CO-PO Mapping'!T$7,$AM73*$AG$29,0)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IF('CO-PO Mapping'!T$6, IF(OR($AR73="-",SUM(IF('CO-PO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IF('CO-PO Mapping'!T$7, IF(OR($AS73="-",SUM(IF('CO-PO Mapping'!T$2,$AB$29,0),IF('CO-PO Mapping'!T$3,$AC$29,0),IF('CO-PO Mapping'!T$4,$AD$29,0),IF('CO-PO Mapping'!T$5,$AE$29,0),IF('CO-PO Mapping'!T$6,$AF$29,0),IF('CO-PO Mapping'!T$7,$AG$29,0))=0), "-", IF(SUM(IF('CO-PO Mapping'!T$2,$AH73*$AB$29,0),IF('CO-PO Mapping'!T$3,$AI73*$AC$29,0),IF('CO-PO Mapping'!T$4,$AJ73*$AD$29,0),IF('CO-PO Mapping'!T$5,$AK73*$AE$29,0),IF('CO-PO Mapping'!T$6,$AL73*$AF$29,0),IF('CO-PO Mapping'!T$7,$AM73*$AG$29,0))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3" s="95" t="str">
        <f>IF('CO-PO Mapping'!U$2, IF(OR($AN73="-",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IF(OR($AP73="-", SUM( IF('CO-PO Mapping'!U$2,$AB$29,0), IF('CO-PO Mapping'!U$3,$AC$29,0), IF('CO-PO Mapping'!U$4,$AD$29,0), IF('CO-PO Mapping'!U$5,$AE$29,0), IF('CO-PO Mapping'!U$6,$AF$29,0), IF('CO-PO Mapping'!U$7,$AG$29,0) )=0), "-", IF( SUM( IF('CO-PO Mapping'!U$2,$AH73*$AB$29,0), IF('CO-PO Mapping'!U$3,$AI73*$AC$29,0), IF('CO-PO Mapping'!U$4,$AJ73*$AD$29,0), IF('CO-PO Mapping'!U$5,$AK73*$AE$29,0), IF('CO-PO Mapping'!U$6,$AL73*$AF$29,0), IF('CO-PO Mapping'!U$7,$AM73*$AG$29,0)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IF('CO-PO Mapping'!U$6, IF(OR($AR73="-",SUM(IF('CO-PO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IF('CO-PO Mapping'!U$7, IF(OR($AS73="-",SUM(IF('CO-PO Mapping'!U$2,$AB$29,0),IF('CO-PO Mapping'!U$3,$AC$29,0),IF('CO-PO Mapping'!U$4,$AD$29,0),IF('CO-PO Mapping'!U$5,$AE$29,0),IF('CO-PO Mapping'!U$6,$AF$29,0),IF('CO-PO Mapping'!U$7,$AG$29,0))=0), "-", IF(SUM(IF('CO-PO Mapping'!U$2,$AH73*$AB$29,0),IF('CO-PO Mapping'!U$3,$AI73*$AC$29,0),IF('CO-PO Mapping'!U$4,$AJ73*$AD$29,0),IF('CO-PO Mapping'!U$5,$AK73*$AE$29,0),IF('CO-PO Mapping'!U$6,$AL73*$AF$29,0),IF('CO-PO Mapping'!U$7,$AM73*$AG$29,0))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3" s="95" t="str">
        <f>IF('CO-PO Mapping'!V$2, IF(OR($AN73="-",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IF(OR($AP73="-", SUM( IF('CO-PO Mapping'!V$2,$AB$29,0), IF('CO-PO Mapping'!V$3,$AC$29,0), IF('CO-PO Mapping'!V$4,$AD$29,0), IF('CO-PO Mapping'!V$5,$AE$29,0), IF('CO-PO Mapping'!V$6,$AF$29,0), IF('CO-PO Mapping'!V$7,$AG$29,0) )=0), "-", IF( SUM( IF('CO-PO Mapping'!V$2,$AH73*$AB$29,0), IF('CO-PO Mapping'!V$3,$AI73*$AC$29,0), IF('CO-PO Mapping'!V$4,$AJ73*$AD$29,0), IF('CO-PO Mapping'!V$5,$AK73*$AE$29,0), IF('CO-PO Mapping'!V$6,$AL73*$AF$29,0), IF('CO-PO Mapping'!V$7,$AM73*$AG$29,0)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IF('CO-PO Mapping'!V$6, IF(OR($AR73="-",SUM(IF('CO-PO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IF('CO-PO Mapping'!V$7, IF(OR($AS73="-",SUM(IF('CO-PO Mapping'!V$2,$AB$29,0),IF('CO-PO Mapping'!V$3,$AC$29,0),IF('CO-PO Mapping'!V$4,$AD$29,0),IF('CO-PO Mapping'!V$5,$AE$29,0),IF('CO-PO Mapping'!V$6,$AF$29,0),IF('CO-PO Mapping'!V$7,$AG$29,0))=0), "-", IF(SUM(IF('CO-PO Mapping'!V$2,$AH73*$AB$29,0),IF('CO-PO Mapping'!V$3,$AI73*$AC$29,0),IF('CO-PO Mapping'!V$4,$AJ73*$AD$29,0),IF('CO-PO Mapping'!V$5,$AK73*$AE$29,0),IF('CO-PO Mapping'!V$6,$AL73*$AF$29,0),IF('CO-PO Mapping'!V$7,$AM73*$AG$29,0))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3" s="95" t="str">
        <f>IF('CO-PO Mapping'!W$2, IF(OR($AN73="-",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IF(OR($AP73="-", SUM( IF('CO-PO Mapping'!W$2,$AB$29,0), IF('CO-PO Mapping'!W$3,$AC$29,0), IF('CO-PO Mapping'!W$4,$AD$29,0), IF('CO-PO Mapping'!W$5,$AE$29,0), IF('CO-PO Mapping'!W$6,$AF$29,0), IF('CO-PO Mapping'!W$7,$AG$29,0) )=0), "-", IF( SUM( IF('CO-PO Mapping'!W$2,$AH73*$AB$29,0), IF('CO-PO Mapping'!W$3,$AI73*$AC$29,0), IF('CO-PO Mapping'!W$4,$AJ73*$AD$29,0), IF('CO-PO Mapping'!W$5,$AK73*$AE$29,0), IF('CO-PO Mapping'!W$6,$AL73*$AF$29,0), IF('CO-PO Mapping'!W$7,$AM73*$AG$29,0)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IF('CO-PO Mapping'!W$6, IF(OR($AR73="-",SUM(IF('CO-PO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IF('CO-PO Mapping'!W$7, IF(OR($AS73="-",SUM(IF('CO-PO Mapping'!W$2,$AB$29,0),IF('CO-PO Mapping'!W$3,$AC$29,0),IF('CO-PO Mapping'!W$4,$AD$29,0),IF('CO-PO Mapping'!W$5,$AE$29,0),IF('CO-PO Mapping'!W$6,$AF$29,0),IF('CO-PO Mapping'!W$7,$AG$29,0))=0), "-", IF(SUM(IF('CO-PO Mapping'!W$2,$AH73*$AB$29,0),IF('CO-PO Mapping'!W$3,$AI73*$AC$29,0),IF('CO-PO Mapping'!W$4,$AJ73*$AD$29,0),IF('CO-PO Mapping'!W$5,$AK73*$AE$29,0),IF('CO-PO Mapping'!W$6,$AL73*$AF$29,0),IF('CO-PO Mapping'!W$7,$AM73*$AG$29,0))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3" s="95" t="str">
        <f>IF('CO-PO Mapping'!X$2, IF(OR($AN73="-",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IF(OR($AP73="-", SUM( IF('CO-PO Mapping'!X$2,$AB$29,0), IF('CO-PO Mapping'!X$3,$AC$29,0), IF('CO-PO Mapping'!X$4,$AD$29,0), IF('CO-PO Mapping'!X$5,$AE$29,0), IF('CO-PO Mapping'!X$6,$AF$29,0), IF('CO-PO Mapping'!X$7,$AG$29,0) )=0), "-", IF( SUM( IF('CO-PO Mapping'!X$2,$AH73*$AB$29,0), IF('CO-PO Mapping'!X$3,$AI73*$AC$29,0), IF('CO-PO Mapping'!X$4,$AJ73*$AD$29,0), IF('CO-PO Mapping'!X$5,$AK73*$AE$29,0), IF('CO-PO Mapping'!X$6,$AL73*$AF$29,0), IF('CO-PO Mapping'!X$7,$AM73*$AG$29,0)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IF('CO-PO Mapping'!X$6, IF(OR($AR73="-",SUM(IF('CO-PO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IF('CO-PO Mapping'!X$7, IF(OR($AS73="-",SUM(IF('CO-PO Mapping'!X$2,$AB$29,0),IF('CO-PO Mapping'!X$3,$AC$29,0),IF('CO-PO Mapping'!X$4,$AD$29,0),IF('CO-PO Mapping'!X$5,$AE$29,0),IF('CO-PO Mapping'!X$6,$AF$29,0),IF('CO-PO Mapping'!X$7,$AG$29,0))=0), "-", IF(SUM(IF('CO-PO Mapping'!X$2,$AH73*$AB$29,0),IF('CO-PO Mapping'!X$3,$AI73*$AC$29,0),IF('CO-PO Mapping'!X$4,$AJ73*$AD$29,0),IF('CO-PO Mapping'!X$5,$AK73*$AE$29,0),IF('CO-PO Mapping'!X$6,$AL73*$AF$29,0),IF('CO-PO Mapping'!X$7,$AM73*$AG$29,0))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3" s="95" t="str">
        <f>IF('CO-PO Mapping'!Y$2, IF(OR($AN73="-",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IF(OR($AP73="-", SUM( IF('CO-PO Mapping'!Y$2,$AB$29,0), IF('CO-PO Mapping'!Y$3,$AC$29,0), IF('CO-PO Mapping'!Y$4,$AD$29,0), IF('CO-PO Mapping'!Y$5,$AE$29,0), IF('CO-PO Mapping'!Y$6,$AF$29,0), IF('CO-PO Mapping'!Y$7,$AG$29,0) )=0), "-", IF( SUM( IF('CO-PO Mapping'!Y$2,$AH73*$AB$29,0), IF('CO-PO Mapping'!Y$3,$AI73*$AC$29,0), IF('CO-PO Mapping'!Y$4,$AJ73*$AD$29,0), IF('CO-PO Mapping'!Y$5,$AK73*$AE$29,0), IF('CO-PO Mapping'!Y$6,$AL73*$AF$29,0), IF('CO-PO Mapping'!Y$7,$AM73*$AG$29,0)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IF('CO-PO Mapping'!Y$6, IF(OR($AR73="-",SUM(IF('CO-PO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IF('CO-PO Mapping'!Y$7, IF(OR($AS73="-",SUM(IF('CO-PO Mapping'!Y$2,$AB$29,0),IF('CO-PO Mapping'!Y$3,$AC$29,0),IF('CO-PO Mapping'!Y$4,$AD$29,0),IF('CO-PO Mapping'!Y$5,$AE$29,0),IF('CO-PO Mapping'!Y$6,$AF$29,0),IF('CO-PO Mapping'!Y$7,$AG$29,0))=0), "-", IF(SUM(IF('CO-PO Mapping'!Y$2,$AH73*$AB$29,0),IF('CO-PO Mapping'!Y$3,$AI73*$AC$29,0),IF('CO-PO Mapping'!Y$4,$AJ73*$AD$29,0),IF('CO-PO Mapping'!Y$5,$AK73*$AE$29,0),IF('CO-PO Mapping'!Y$6,$AL73*$AF$29,0),IF('CO-PO Mapping'!Y$7,$AM73*$AG$29,0))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3" s="95" t="str">
        <f>IF('CO-PO Mapping'!Z$2, IF(OR($AN73="-",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IF(OR($AP73="-", SUM( IF('CO-PO Mapping'!Z$2,$AB$29,0), IF('CO-PO Mapping'!Z$3,$AC$29,0), IF('CO-PO Mapping'!Z$4,$AD$29,0), IF('CO-PO Mapping'!Z$5,$AE$29,0), IF('CO-PO Mapping'!Z$6,$AF$29,0), IF('CO-PO Mapping'!Z$7,$AG$29,0) )=0), "-", IF( SUM( IF('CO-PO Mapping'!Z$2,$AH73*$AB$29,0), IF('CO-PO Mapping'!Z$3,$AI73*$AC$29,0), IF('CO-PO Mapping'!Z$4,$AJ73*$AD$29,0), IF('CO-PO Mapping'!Z$5,$AK73*$AE$29,0), IF('CO-PO Mapping'!Z$6,$AL73*$AF$29,0), IF('CO-PO Mapping'!Z$7,$AM73*$AG$29,0)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IF('CO-PO Mapping'!Z$6, IF(OR($AR73="-",SUM(IF('CO-PO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IF('CO-PO Mapping'!Z$7, IF(OR($AS73="-",SUM(IF('CO-PO Mapping'!Z$2,$AB$29,0),IF('CO-PO Mapping'!Z$3,$AC$29,0),IF('CO-PO Mapping'!Z$4,$AD$29,0),IF('CO-PO Mapping'!Z$5,$AE$29,0),IF('CO-PO Mapping'!Z$6,$AF$29,0),IF('CO-PO Mapping'!Z$7,$AG$29,0))=0), "-", IF(SUM(IF('CO-PO Mapping'!Z$2,$AH73*$AB$29,0),IF('CO-PO Mapping'!Z$3,$AI73*$AC$29,0),IF('CO-PO Mapping'!Z$4,$AJ73*$AD$29,0),IF('CO-PO Mapping'!Z$5,$AK73*$AE$29,0),IF('CO-PO Mapping'!Z$6,$AL73*$AF$29,0),IF('CO-PO Mapping'!Z$7,$AM73*$AG$29,0))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4" spans="1:57" ht="15" customHeight="1">
      <c r="A74" s="119"/>
      <c r="B74" s="120"/>
      <c r="C74" s="74"/>
      <c r="D74" s="74"/>
      <c r="E74" s="75"/>
      <c r="F74" s="75"/>
      <c r="G74" s="75"/>
      <c r="H74" s="103" t="str">
        <f t="shared" si="29"/>
        <v>-</v>
      </c>
      <c r="I74" s="75"/>
      <c r="J74" s="75"/>
      <c r="K74" s="75"/>
      <c r="L74" s="75"/>
      <c r="M74" s="75"/>
      <c r="N74" s="75"/>
      <c r="O74" s="105" t="str">
        <f t="shared" si="30"/>
        <v>-</v>
      </c>
      <c r="P74" s="75"/>
      <c r="Q74" s="75"/>
      <c r="R74" s="75"/>
      <c r="S74" s="75"/>
      <c r="T74" s="75"/>
      <c r="U74" s="75"/>
      <c r="V74" s="104" t="str">
        <f t="shared" si="31"/>
        <v>-</v>
      </c>
      <c r="W74" s="83" t="str">
        <f t="shared" si="28"/>
        <v>-</v>
      </c>
      <c r="X74" s="98" t="str">
        <f t="shared" si="32"/>
        <v>-</v>
      </c>
      <c r="Z74" s="42" t="str">
        <f t="shared" si="26"/>
        <v/>
      </c>
      <c r="AA74" s="43" t="str">
        <f t="shared" si="27"/>
        <v/>
      </c>
      <c r="AB74" s="90">
        <f t="shared" si="11"/>
        <v>0</v>
      </c>
      <c r="AC74" s="90">
        <f t="shared" si="11"/>
        <v>0</v>
      </c>
      <c r="AD74" s="90">
        <f t="shared" si="11"/>
        <v>0</v>
      </c>
      <c r="AE74" s="90">
        <f t="shared" si="11"/>
        <v>0</v>
      </c>
      <c r="AF74" s="90">
        <f t="shared" si="11"/>
        <v>0</v>
      </c>
      <c r="AG74" s="90">
        <f t="shared" si="25"/>
        <v>0</v>
      </c>
      <c r="AH74" s="92">
        <f t="shared" si="12"/>
        <v>0</v>
      </c>
      <c r="AI74" s="92">
        <f t="shared" si="13"/>
        <v>0</v>
      </c>
      <c r="AJ74" s="92">
        <f t="shared" si="14"/>
        <v>0</v>
      </c>
      <c r="AK74" s="92">
        <f t="shared" si="22"/>
        <v>0</v>
      </c>
      <c r="AL74" s="92">
        <f t="shared" si="15"/>
        <v>0</v>
      </c>
      <c r="AM74" s="92">
        <f t="shared" si="16"/>
        <v>0</v>
      </c>
      <c r="AN74" s="93" t="str">
        <f t="shared" si="23"/>
        <v>-</v>
      </c>
      <c r="AO74" s="93" t="str">
        <f t="shared" si="17"/>
        <v>-</v>
      </c>
      <c r="AP74" s="93" t="str">
        <f t="shared" si="18"/>
        <v>-</v>
      </c>
      <c r="AQ74" s="93" t="str">
        <f t="shared" si="19"/>
        <v>-</v>
      </c>
      <c r="AR74" s="93" t="str">
        <f t="shared" si="20"/>
        <v>-</v>
      </c>
      <c r="AS74" s="93" t="str">
        <f t="shared" si="21"/>
        <v>-</v>
      </c>
      <c r="AT74" s="95" t="str">
        <f>IF('CO-PO Mapping'!O$2, IF(OR($AN74="-",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IF(OR($AP74="-", SUM( IF('CO-PO Mapping'!O$2,$AB$29,0), IF('CO-PO Mapping'!O$3,$AC$29,0), IF('CO-PO Mapping'!O$4,$AD$29,0), IF('CO-PO Mapping'!O$5,$AE$29,0), IF('CO-PO Mapping'!O$6,$AF$29,0), IF('CO-PO Mapping'!O$7,$AG$29,0) )=0), "-", IF( SUM( IF('CO-PO Mapping'!O$2,$AH74*$AB$29,0), IF('CO-PO Mapping'!O$3,$AI74*$AC$29,0), IF('CO-PO Mapping'!O$4,$AJ74*$AD$29,0), IF('CO-PO Mapping'!O$5,$AK74*$AE$29,0), IF('CO-PO Mapping'!O$6,$AL74*$AF$29,0), IF('CO-PO Mapping'!O$7,$AM74*$AG$29,0)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IF('CO-PO Mapping'!O$6, IF(OR($AR74="-",SUM(IF('CO-PO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IF('CO-PO Mapping'!O$7, IF(OR($AS74="-",SUM(IF('CO-PO Mapping'!O$2,$AB$29,0),IF('CO-PO Mapping'!O$3,$AC$29,0),IF('CO-PO Mapping'!O$4,$AD$29,0),IF('CO-PO Mapping'!O$5,$AE$29,0),IF('CO-PO Mapping'!O$6,$AF$29,0),IF('CO-PO Mapping'!O$7,$AG$29,0))=0), "-", IF(SUM(IF('CO-PO Mapping'!O$2,$AH74*$AB$29,0),IF('CO-PO Mapping'!O$3,$AI74*$AC$29,0),IF('CO-PO Mapping'!O$4,$AJ74*$AD$29,0),IF('CO-PO Mapping'!O$5,$AK74*$AE$29,0),IF('CO-PO Mapping'!O$6,$AL74*$AF$29,0),IF('CO-PO Mapping'!O$7,$AM74*$AG$29,0))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4" s="95" t="str">
        <f>IF('CO-PO Mapping'!P$2, IF(OR($AN74="-",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IF(OR($AP74="-", SUM( IF('CO-PO Mapping'!P$2,$AB$29,0), IF('CO-PO Mapping'!P$3,$AC$29,0), IF('CO-PO Mapping'!P$4,$AD$29,0), IF('CO-PO Mapping'!P$5,$AE$29,0), IF('CO-PO Mapping'!P$6,$AF$29,0), IF('CO-PO Mapping'!P$7,$AG$29,0) )=0), "-", IF( SUM( IF('CO-PO Mapping'!P$2,$AH74*$AB$29,0), IF('CO-PO Mapping'!P$3,$AI74*$AC$29,0), IF('CO-PO Mapping'!P$4,$AJ74*$AD$29,0), IF('CO-PO Mapping'!P$5,$AK74*$AE$29,0), IF('CO-PO Mapping'!P$6,$AL74*$AF$29,0), IF('CO-PO Mapping'!P$7,$AM74*$AG$29,0)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IF('CO-PO Mapping'!P$6, IF(OR($AR74="-",SUM(IF('CO-PO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IF('CO-PO Mapping'!P$7, IF(OR($AS74="-",SUM(IF('CO-PO Mapping'!P$2,$AB$29,0),IF('CO-PO Mapping'!P$3,$AC$29,0),IF('CO-PO Mapping'!P$4,$AD$29,0),IF('CO-PO Mapping'!P$5,$AE$29,0),IF('CO-PO Mapping'!P$6,$AF$29,0),IF('CO-PO Mapping'!P$7,$AG$29,0))=0), "-", IF(SUM(IF('CO-PO Mapping'!P$2,$AH74*$AB$29,0),IF('CO-PO Mapping'!P$3,$AI74*$AC$29,0),IF('CO-PO Mapping'!P$4,$AJ74*$AD$29,0),IF('CO-PO Mapping'!P$5,$AK74*$AE$29,0),IF('CO-PO Mapping'!P$6,$AL74*$AF$29,0),IF('CO-PO Mapping'!P$7,$AM74*$AG$29,0))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4" s="95" t="str">
        <f>IF('CO-PO Mapping'!Q$2, IF(OR($AN74="-",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IF(OR($AP74="-", SUM( IF('CO-PO Mapping'!Q$2,$AB$29,0), IF('CO-PO Mapping'!Q$3,$AC$29,0), IF('CO-PO Mapping'!Q$4,$AD$29,0), IF('CO-PO Mapping'!Q$5,$AE$29,0), IF('CO-PO Mapping'!Q$6,$AF$29,0), IF('CO-PO Mapping'!Q$7,$AG$29,0) )=0), "-", IF( SUM( IF('CO-PO Mapping'!Q$2,$AH74*$AB$29,0), IF('CO-PO Mapping'!Q$3,$AI74*$AC$29,0), IF('CO-PO Mapping'!Q$4,$AJ74*$AD$29,0), IF('CO-PO Mapping'!Q$5,$AK74*$AE$29,0), IF('CO-PO Mapping'!Q$6,$AL74*$AF$29,0), IF('CO-PO Mapping'!Q$7,$AM74*$AG$29,0)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IF('CO-PO Mapping'!Q$6, IF(OR($AR74="-",SUM(IF('CO-PO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IF('CO-PO Mapping'!Q$7, IF(OR($AS74="-",SUM(IF('CO-PO Mapping'!Q$2,$AB$29,0),IF('CO-PO Mapping'!Q$3,$AC$29,0),IF('CO-PO Mapping'!Q$4,$AD$29,0),IF('CO-PO Mapping'!Q$5,$AE$29,0),IF('CO-PO Mapping'!Q$6,$AF$29,0),IF('CO-PO Mapping'!Q$7,$AG$29,0))=0), "-", IF(SUM(IF('CO-PO Mapping'!Q$2,$AH74*$AB$29,0),IF('CO-PO Mapping'!Q$3,$AI74*$AC$29,0),IF('CO-PO Mapping'!Q$4,$AJ74*$AD$29,0),IF('CO-PO Mapping'!Q$5,$AK74*$AE$29,0),IF('CO-PO Mapping'!Q$6,$AL74*$AF$29,0),IF('CO-PO Mapping'!Q$7,$AM74*$AG$29,0))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4" s="95" t="str">
        <f>IF('CO-PO Mapping'!R$2, IF(OR($AN74="-",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IF(OR($AP74="-", SUM( IF('CO-PO Mapping'!R$2,$AB$29,0), IF('CO-PO Mapping'!R$3,$AC$29,0), IF('CO-PO Mapping'!R$4,$AD$29,0), IF('CO-PO Mapping'!R$5,$AE$29,0), IF('CO-PO Mapping'!R$6,$AF$29,0), IF('CO-PO Mapping'!R$7,$AG$29,0) )=0), "-", IF( SUM( IF('CO-PO Mapping'!R$2,$AH74*$AB$29,0), IF('CO-PO Mapping'!R$3,$AI74*$AC$29,0), IF('CO-PO Mapping'!R$4,$AJ74*$AD$29,0), IF('CO-PO Mapping'!R$5,$AK74*$AE$29,0), IF('CO-PO Mapping'!R$6,$AL74*$AF$29,0), IF('CO-PO Mapping'!R$7,$AM74*$AG$29,0)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IF('CO-PO Mapping'!R$6, IF(OR($AR74="-",SUM(IF('CO-PO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IF('CO-PO Mapping'!R$7, IF(OR($AS74="-",SUM(IF('CO-PO Mapping'!R$2,$AB$29,0),IF('CO-PO Mapping'!R$3,$AC$29,0),IF('CO-PO Mapping'!R$4,$AD$29,0),IF('CO-PO Mapping'!R$5,$AE$29,0),IF('CO-PO Mapping'!R$6,$AF$29,0),IF('CO-PO Mapping'!R$7,$AG$29,0))=0), "-", IF(SUM(IF('CO-PO Mapping'!R$2,$AH74*$AB$29,0),IF('CO-PO Mapping'!R$3,$AI74*$AC$29,0),IF('CO-PO Mapping'!R$4,$AJ74*$AD$29,0),IF('CO-PO Mapping'!R$5,$AK74*$AE$29,0),IF('CO-PO Mapping'!R$6,$AL74*$AF$29,0),IF('CO-PO Mapping'!R$7,$AM74*$AG$29,0))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4" s="95" t="str">
        <f>IF('CO-PO Mapping'!S$2, IF(OR($AN74="-",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IF(OR($AP74="-", SUM( IF('CO-PO Mapping'!S$2,$AB$29,0), IF('CO-PO Mapping'!S$3,$AC$29,0), IF('CO-PO Mapping'!S$4,$AD$29,0), IF('CO-PO Mapping'!S$5,$AE$29,0), IF('CO-PO Mapping'!S$6,$AF$29,0), IF('CO-PO Mapping'!S$7,$AG$29,0) )=0), "-", IF( SUM( IF('CO-PO Mapping'!S$2,$AH74*$AB$29,0), IF('CO-PO Mapping'!S$3,$AI74*$AC$29,0), IF('CO-PO Mapping'!S$4,$AJ74*$AD$29,0), IF('CO-PO Mapping'!S$5,$AK74*$AE$29,0), IF('CO-PO Mapping'!S$6,$AL74*$AF$29,0), IF('CO-PO Mapping'!S$7,$AM74*$AG$29,0)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IF('CO-PO Mapping'!S$6, IF(OR($AR74="-",SUM(IF('CO-PO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IF('CO-PO Mapping'!S$7, IF(OR($AS74="-",SUM(IF('CO-PO Mapping'!S$2,$AB$29,0),IF('CO-PO Mapping'!S$3,$AC$29,0),IF('CO-PO Mapping'!S$4,$AD$29,0),IF('CO-PO Mapping'!S$5,$AE$29,0),IF('CO-PO Mapping'!S$6,$AF$29,0),IF('CO-PO Mapping'!S$7,$AG$29,0))=0), "-", IF(SUM(IF('CO-PO Mapping'!S$2,$AH74*$AB$29,0),IF('CO-PO Mapping'!S$3,$AI74*$AC$29,0),IF('CO-PO Mapping'!S$4,$AJ74*$AD$29,0),IF('CO-PO Mapping'!S$5,$AK74*$AE$29,0),IF('CO-PO Mapping'!S$6,$AL74*$AF$29,0),IF('CO-PO Mapping'!S$7,$AM74*$AG$29,0))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4" s="95" t="str">
        <f>IF('CO-PO Mapping'!T$2, IF(OR($AN74="-",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IF(OR($AP74="-", SUM( IF('CO-PO Mapping'!T$2,$AB$29,0), IF('CO-PO Mapping'!T$3,$AC$29,0), IF('CO-PO Mapping'!T$4,$AD$29,0), IF('CO-PO Mapping'!T$5,$AE$29,0), IF('CO-PO Mapping'!T$6,$AF$29,0), IF('CO-PO Mapping'!T$7,$AG$29,0) )=0), "-", IF( SUM( IF('CO-PO Mapping'!T$2,$AH74*$AB$29,0), IF('CO-PO Mapping'!T$3,$AI74*$AC$29,0), IF('CO-PO Mapping'!T$4,$AJ74*$AD$29,0), IF('CO-PO Mapping'!T$5,$AK74*$AE$29,0), IF('CO-PO Mapping'!T$6,$AL74*$AF$29,0), IF('CO-PO Mapping'!T$7,$AM74*$AG$29,0)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IF('CO-PO Mapping'!T$6, IF(OR($AR74="-",SUM(IF('CO-PO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IF('CO-PO Mapping'!T$7, IF(OR($AS74="-",SUM(IF('CO-PO Mapping'!T$2,$AB$29,0),IF('CO-PO Mapping'!T$3,$AC$29,0),IF('CO-PO Mapping'!T$4,$AD$29,0),IF('CO-PO Mapping'!T$5,$AE$29,0),IF('CO-PO Mapping'!T$6,$AF$29,0),IF('CO-PO Mapping'!T$7,$AG$29,0))=0), "-", IF(SUM(IF('CO-PO Mapping'!T$2,$AH74*$AB$29,0),IF('CO-PO Mapping'!T$3,$AI74*$AC$29,0),IF('CO-PO Mapping'!T$4,$AJ74*$AD$29,0),IF('CO-PO Mapping'!T$5,$AK74*$AE$29,0),IF('CO-PO Mapping'!T$6,$AL74*$AF$29,0),IF('CO-PO Mapping'!T$7,$AM74*$AG$29,0))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4" s="95" t="str">
        <f>IF('CO-PO Mapping'!U$2, IF(OR($AN74="-",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IF(OR($AP74="-", SUM( IF('CO-PO Mapping'!U$2,$AB$29,0), IF('CO-PO Mapping'!U$3,$AC$29,0), IF('CO-PO Mapping'!U$4,$AD$29,0), IF('CO-PO Mapping'!U$5,$AE$29,0), IF('CO-PO Mapping'!U$6,$AF$29,0), IF('CO-PO Mapping'!U$7,$AG$29,0) )=0), "-", IF( SUM( IF('CO-PO Mapping'!U$2,$AH74*$AB$29,0), IF('CO-PO Mapping'!U$3,$AI74*$AC$29,0), IF('CO-PO Mapping'!U$4,$AJ74*$AD$29,0), IF('CO-PO Mapping'!U$5,$AK74*$AE$29,0), IF('CO-PO Mapping'!U$6,$AL74*$AF$29,0), IF('CO-PO Mapping'!U$7,$AM74*$AG$29,0)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IF('CO-PO Mapping'!U$6, IF(OR($AR74="-",SUM(IF('CO-PO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IF('CO-PO Mapping'!U$7, IF(OR($AS74="-",SUM(IF('CO-PO Mapping'!U$2,$AB$29,0),IF('CO-PO Mapping'!U$3,$AC$29,0),IF('CO-PO Mapping'!U$4,$AD$29,0),IF('CO-PO Mapping'!U$5,$AE$29,0),IF('CO-PO Mapping'!U$6,$AF$29,0),IF('CO-PO Mapping'!U$7,$AG$29,0))=0), "-", IF(SUM(IF('CO-PO Mapping'!U$2,$AH74*$AB$29,0),IF('CO-PO Mapping'!U$3,$AI74*$AC$29,0),IF('CO-PO Mapping'!U$4,$AJ74*$AD$29,0),IF('CO-PO Mapping'!U$5,$AK74*$AE$29,0),IF('CO-PO Mapping'!U$6,$AL74*$AF$29,0),IF('CO-PO Mapping'!U$7,$AM74*$AG$29,0))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4" s="95" t="str">
        <f>IF('CO-PO Mapping'!V$2, IF(OR($AN74="-",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IF(OR($AP74="-", SUM( IF('CO-PO Mapping'!V$2,$AB$29,0), IF('CO-PO Mapping'!V$3,$AC$29,0), IF('CO-PO Mapping'!V$4,$AD$29,0), IF('CO-PO Mapping'!V$5,$AE$29,0), IF('CO-PO Mapping'!V$6,$AF$29,0), IF('CO-PO Mapping'!V$7,$AG$29,0) )=0), "-", IF( SUM( IF('CO-PO Mapping'!V$2,$AH74*$AB$29,0), IF('CO-PO Mapping'!V$3,$AI74*$AC$29,0), IF('CO-PO Mapping'!V$4,$AJ74*$AD$29,0), IF('CO-PO Mapping'!V$5,$AK74*$AE$29,0), IF('CO-PO Mapping'!V$6,$AL74*$AF$29,0), IF('CO-PO Mapping'!V$7,$AM74*$AG$29,0)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IF('CO-PO Mapping'!V$6, IF(OR($AR74="-",SUM(IF('CO-PO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IF('CO-PO Mapping'!V$7, IF(OR($AS74="-",SUM(IF('CO-PO Mapping'!V$2,$AB$29,0),IF('CO-PO Mapping'!V$3,$AC$29,0),IF('CO-PO Mapping'!V$4,$AD$29,0),IF('CO-PO Mapping'!V$5,$AE$29,0),IF('CO-PO Mapping'!V$6,$AF$29,0),IF('CO-PO Mapping'!V$7,$AG$29,0))=0), "-", IF(SUM(IF('CO-PO Mapping'!V$2,$AH74*$AB$29,0),IF('CO-PO Mapping'!V$3,$AI74*$AC$29,0),IF('CO-PO Mapping'!V$4,$AJ74*$AD$29,0),IF('CO-PO Mapping'!V$5,$AK74*$AE$29,0),IF('CO-PO Mapping'!V$6,$AL74*$AF$29,0),IF('CO-PO Mapping'!V$7,$AM74*$AG$29,0))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4" s="95" t="str">
        <f>IF('CO-PO Mapping'!W$2, IF(OR($AN74="-",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IF(OR($AP74="-", SUM( IF('CO-PO Mapping'!W$2,$AB$29,0), IF('CO-PO Mapping'!W$3,$AC$29,0), IF('CO-PO Mapping'!W$4,$AD$29,0), IF('CO-PO Mapping'!W$5,$AE$29,0), IF('CO-PO Mapping'!W$6,$AF$29,0), IF('CO-PO Mapping'!W$7,$AG$29,0) )=0), "-", IF( SUM( IF('CO-PO Mapping'!W$2,$AH74*$AB$29,0), IF('CO-PO Mapping'!W$3,$AI74*$AC$29,0), IF('CO-PO Mapping'!W$4,$AJ74*$AD$29,0), IF('CO-PO Mapping'!W$5,$AK74*$AE$29,0), IF('CO-PO Mapping'!W$6,$AL74*$AF$29,0), IF('CO-PO Mapping'!W$7,$AM74*$AG$29,0)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IF('CO-PO Mapping'!W$6, IF(OR($AR74="-",SUM(IF('CO-PO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IF('CO-PO Mapping'!W$7, IF(OR($AS74="-",SUM(IF('CO-PO Mapping'!W$2,$AB$29,0),IF('CO-PO Mapping'!W$3,$AC$29,0),IF('CO-PO Mapping'!W$4,$AD$29,0),IF('CO-PO Mapping'!W$5,$AE$29,0),IF('CO-PO Mapping'!W$6,$AF$29,0),IF('CO-PO Mapping'!W$7,$AG$29,0))=0), "-", IF(SUM(IF('CO-PO Mapping'!W$2,$AH74*$AB$29,0),IF('CO-PO Mapping'!W$3,$AI74*$AC$29,0),IF('CO-PO Mapping'!W$4,$AJ74*$AD$29,0),IF('CO-PO Mapping'!W$5,$AK74*$AE$29,0),IF('CO-PO Mapping'!W$6,$AL74*$AF$29,0),IF('CO-PO Mapping'!W$7,$AM74*$AG$29,0))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4" s="95" t="str">
        <f>IF('CO-PO Mapping'!X$2, IF(OR($AN74="-",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IF(OR($AP74="-", SUM( IF('CO-PO Mapping'!X$2,$AB$29,0), IF('CO-PO Mapping'!X$3,$AC$29,0), IF('CO-PO Mapping'!X$4,$AD$29,0), IF('CO-PO Mapping'!X$5,$AE$29,0), IF('CO-PO Mapping'!X$6,$AF$29,0), IF('CO-PO Mapping'!X$7,$AG$29,0) )=0), "-", IF( SUM( IF('CO-PO Mapping'!X$2,$AH74*$AB$29,0), IF('CO-PO Mapping'!X$3,$AI74*$AC$29,0), IF('CO-PO Mapping'!X$4,$AJ74*$AD$29,0), IF('CO-PO Mapping'!X$5,$AK74*$AE$29,0), IF('CO-PO Mapping'!X$6,$AL74*$AF$29,0), IF('CO-PO Mapping'!X$7,$AM74*$AG$29,0)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IF('CO-PO Mapping'!X$6, IF(OR($AR74="-",SUM(IF('CO-PO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IF('CO-PO Mapping'!X$7, IF(OR($AS74="-",SUM(IF('CO-PO Mapping'!X$2,$AB$29,0),IF('CO-PO Mapping'!X$3,$AC$29,0),IF('CO-PO Mapping'!X$4,$AD$29,0),IF('CO-PO Mapping'!X$5,$AE$29,0),IF('CO-PO Mapping'!X$6,$AF$29,0),IF('CO-PO Mapping'!X$7,$AG$29,0))=0), "-", IF(SUM(IF('CO-PO Mapping'!X$2,$AH74*$AB$29,0),IF('CO-PO Mapping'!X$3,$AI74*$AC$29,0),IF('CO-PO Mapping'!X$4,$AJ74*$AD$29,0),IF('CO-PO Mapping'!X$5,$AK74*$AE$29,0),IF('CO-PO Mapping'!X$6,$AL74*$AF$29,0),IF('CO-PO Mapping'!X$7,$AM74*$AG$29,0))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4" s="95" t="str">
        <f>IF('CO-PO Mapping'!Y$2, IF(OR($AN74="-",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IF(OR($AP74="-", SUM( IF('CO-PO Mapping'!Y$2,$AB$29,0), IF('CO-PO Mapping'!Y$3,$AC$29,0), IF('CO-PO Mapping'!Y$4,$AD$29,0), IF('CO-PO Mapping'!Y$5,$AE$29,0), IF('CO-PO Mapping'!Y$6,$AF$29,0), IF('CO-PO Mapping'!Y$7,$AG$29,0) )=0), "-", IF( SUM( IF('CO-PO Mapping'!Y$2,$AH74*$AB$29,0), IF('CO-PO Mapping'!Y$3,$AI74*$AC$29,0), IF('CO-PO Mapping'!Y$4,$AJ74*$AD$29,0), IF('CO-PO Mapping'!Y$5,$AK74*$AE$29,0), IF('CO-PO Mapping'!Y$6,$AL74*$AF$29,0), IF('CO-PO Mapping'!Y$7,$AM74*$AG$29,0)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IF('CO-PO Mapping'!Y$6, IF(OR($AR74="-",SUM(IF('CO-PO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IF('CO-PO Mapping'!Y$7, IF(OR($AS74="-",SUM(IF('CO-PO Mapping'!Y$2,$AB$29,0),IF('CO-PO Mapping'!Y$3,$AC$29,0),IF('CO-PO Mapping'!Y$4,$AD$29,0),IF('CO-PO Mapping'!Y$5,$AE$29,0),IF('CO-PO Mapping'!Y$6,$AF$29,0),IF('CO-PO Mapping'!Y$7,$AG$29,0))=0), "-", IF(SUM(IF('CO-PO Mapping'!Y$2,$AH74*$AB$29,0),IF('CO-PO Mapping'!Y$3,$AI74*$AC$29,0),IF('CO-PO Mapping'!Y$4,$AJ74*$AD$29,0),IF('CO-PO Mapping'!Y$5,$AK74*$AE$29,0),IF('CO-PO Mapping'!Y$6,$AL74*$AF$29,0),IF('CO-PO Mapping'!Y$7,$AM74*$AG$29,0))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4" s="95" t="str">
        <f>IF('CO-PO Mapping'!Z$2, IF(OR($AN74="-",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IF(OR($AP74="-", SUM( IF('CO-PO Mapping'!Z$2,$AB$29,0), IF('CO-PO Mapping'!Z$3,$AC$29,0), IF('CO-PO Mapping'!Z$4,$AD$29,0), IF('CO-PO Mapping'!Z$5,$AE$29,0), IF('CO-PO Mapping'!Z$6,$AF$29,0), IF('CO-PO Mapping'!Z$7,$AG$29,0) )=0), "-", IF( SUM( IF('CO-PO Mapping'!Z$2,$AH74*$AB$29,0), IF('CO-PO Mapping'!Z$3,$AI74*$AC$29,0), IF('CO-PO Mapping'!Z$4,$AJ74*$AD$29,0), IF('CO-PO Mapping'!Z$5,$AK74*$AE$29,0), IF('CO-PO Mapping'!Z$6,$AL74*$AF$29,0), IF('CO-PO Mapping'!Z$7,$AM74*$AG$29,0)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IF('CO-PO Mapping'!Z$6, IF(OR($AR74="-",SUM(IF('CO-PO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IF('CO-PO Mapping'!Z$7, IF(OR($AS74="-",SUM(IF('CO-PO Mapping'!Z$2,$AB$29,0),IF('CO-PO Mapping'!Z$3,$AC$29,0),IF('CO-PO Mapping'!Z$4,$AD$29,0),IF('CO-PO Mapping'!Z$5,$AE$29,0),IF('CO-PO Mapping'!Z$6,$AF$29,0),IF('CO-PO Mapping'!Z$7,$AG$29,0))=0), "-", IF(SUM(IF('CO-PO Mapping'!Z$2,$AH74*$AB$29,0),IF('CO-PO Mapping'!Z$3,$AI74*$AC$29,0),IF('CO-PO Mapping'!Z$4,$AJ74*$AD$29,0),IF('CO-PO Mapping'!Z$5,$AK74*$AE$29,0),IF('CO-PO Mapping'!Z$6,$AL74*$AF$29,0),IF('CO-PO Mapping'!Z$7,$AM74*$AG$29,0))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5" spans="1:57" ht="15" customHeight="1">
      <c r="A75" s="87"/>
      <c r="B75" s="84"/>
      <c r="C75" s="74"/>
      <c r="D75" s="74"/>
      <c r="E75" s="75"/>
      <c r="F75" s="75"/>
      <c r="G75" s="75"/>
      <c r="H75" s="103" t="str">
        <f t="shared" si="29"/>
        <v>-</v>
      </c>
      <c r="I75" s="75"/>
      <c r="J75" s="75"/>
      <c r="K75" s="75"/>
      <c r="L75" s="75"/>
      <c r="M75" s="75"/>
      <c r="N75" s="75"/>
      <c r="O75" s="105" t="str">
        <f t="shared" si="30"/>
        <v>-</v>
      </c>
      <c r="P75" s="75"/>
      <c r="Q75" s="75"/>
      <c r="R75" s="75"/>
      <c r="S75" s="75"/>
      <c r="T75" s="75"/>
      <c r="U75" s="75"/>
      <c r="V75" s="104" t="str">
        <f t="shared" si="31"/>
        <v>-</v>
      </c>
      <c r="W75" s="83" t="str">
        <f t="shared" si="28"/>
        <v>-</v>
      </c>
      <c r="X75" s="98" t="str">
        <f t="shared" si="32"/>
        <v>-</v>
      </c>
      <c r="Z75" s="42" t="str">
        <f t="shared" si="26"/>
        <v/>
      </c>
      <c r="AA75" s="43" t="str">
        <f t="shared" si="27"/>
        <v/>
      </c>
      <c r="AB75" s="90">
        <f t="shared" si="11"/>
        <v>0</v>
      </c>
      <c r="AC75" s="90">
        <f t="shared" si="11"/>
        <v>0</v>
      </c>
      <c r="AD75" s="90">
        <f t="shared" si="11"/>
        <v>0</v>
      </c>
      <c r="AE75" s="90">
        <f t="shared" si="11"/>
        <v>0</v>
      </c>
      <c r="AF75" s="90">
        <f t="shared" si="11"/>
        <v>0</v>
      </c>
      <c r="AG75" s="90">
        <f t="shared" si="25"/>
        <v>0</v>
      </c>
      <c r="AH75" s="92">
        <f t="shared" si="12"/>
        <v>0</v>
      </c>
      <c r="AI75" s="92">
        <f t="shared" si="13"/>
        <v>0</v>
      </c>
      <c r="AJ75" s="92">
        <f t="shared" si="14"/>
        <v>0</v>
      </c>
      <c r="AK75" s="92">
        <f t="shared" si="22"/>
        <v>0</v>
      </c>
      <c r="AL75" s="92">
        <f t="shared" si="15"/>
        <v>0</v>
      </c>
      <c r="AM75" s="92">
        <f t="shared" si="16"/>
        <v>0</v>
      </c>
      <c r="AN75" s="93" t="str">
        <f t="shared" si="23"/>
        <v>-</v>
      </c>
      <c r="AO75" s="93" t="str">
        <f t="shared" si="17"/>
        <v>-</v>
      </c>
      <c r="AP75" s="93" t="str">
        <f t="shared" si="18"/>
        <v>-</v>
      </c>
      <c r="AQ75" s="93" t="str">
        <f t="shared" si="19"/>
        <v>-</v>
      </c>
      <c r="AR75" s="93" t="str">
        <f t="shared" si="20"/>
        <v>-</v>
      </c>
      <c r="AS75" s="93" t="str">
        <f t="shared" si="21"/>
        <v>-</v>
      </c>
      <c r="AT75" s="95" t="str">
        <f>IF('CO-PO Mapping'!O$2, IF(OR($AN75="-",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IF(OR($AP75="-", SUM( IF('CO-PO Mapping'!O$2,$AB$29,0), IF('CO-PO Mapping'!O$3,$AC$29,0), IF('CO-PO Mapping'!O$4,$AD$29,0), IF('CO-PO Mapping'!O$5,$AE$29,0), IF('CO-PO Mapping'!O$6,$AF$29,0), IF('CO-PO Mapping'!O$7,$AG$29,0) )=0), "-", IF( SUM( IF('CO-PO Mapping'!O$2,$AH75*$AB$29,0), IF('CO-PO Mapping'!O$3,$AI75*$AC$29,0), IF('CO-PO Mapping'!O$4,$AJ75*$AD$29,0), IF('CO-PO Mapping'!O$5,$AK75*$AE$29,0), IF('CO-PO Mapping'!O$6,$AL75*$AF$29,0), IF('CO-PO Mapping'!O$7,$AM75*$AG$29,0)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IF('CO-PO Mapping'!O$6, IF(OR($AR75="-",SUM(IF('CO-PO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IF('CO-PO Mapping'!O$7, IF(OR($AS75="-",SUM(IF('CO-PO Mapping'!O$2,$AB$29,0),IF('CO-PO Mapping'!O$3,$AC$29,0),IF('CO-PO Mapping'!O$4,$AD$29,0),IF('CO-PO Mapping'!O$5,$AE$29,0),IF('CO-PO Mapping'!O$6,$AF$29,0),IF('CO-PO Mapping'!O$7,$AG$29,0))=0), "-", IF(SUM(IF('CO-PO Mapping'!O$2,$AH75*$AB$29,0),IF('CO-PO Mapping'!O$3,$AI75*$AC$29,0),IF('CO-PO Mapping'!O$4,$AJ75*$AD$29,0),IF('CO-PO Mapping'!O$5,$AK75*$AE$29,0),IF('CO-PO Mapping'!O$6,$AL75*$AF$29,0),IF('CO-PO Mapping'!O$7,$AM75*$AG$29,0))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5" s="95" t="str">
        <f>IF('CO-PO Mapping'!P$2, IF(OR($AN75="-",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IF(OR($AP75="-", SUM( IF('CO-PO Mapping'!P$2,$AB$29,0), IF('CO-PO Mapping'!P$3,$AC$29,0), IF('CO-PO Mapping'!P$4,$AD$29,0), IF('CO-PO Mapping'!P$5,$AE$29,0), IF('CO-PO Mapping'!P$6,$AF$29,0), IF('CO-PO Mapping'!P$7,$AG$29,0) )=0), "-", IF( SUM( IF('CO-PO Mapping'!P$2,$AH75*$AB$29,0), IF('CO-PO Mapping'!P$3,$AI75*$AC$29,0), IF('CO-PO Mapping'!P$4,$AJ75*$AD$29,0), IF('CO-PO Mapping'!P$5,$AK75*$AE$29,0), IF('CO-PO Mapping'!P$6,$AL75*$AF$29,0), IF('CO-PO Mapping'!P$7,$AM75*$AG$29,0)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IF('CO-PO Mapping'!P$6, IF(OR($AR75="-",SUM(IF('CO-PO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IF('CO-PO Mapping'!P$7, IF(OR($AS75="-",SUM(IF('CO-PO Mapping'!P$2,$AB$29,0),IF('CO-PO Mapping'!P$3,$AC$29,0),IF('CO-PO Mapping'!P$4,$AD$29,0),IF('CO-PO Mapping'!P$5,$AE$29,0),IF('CO-PO Mapping'!P$6,$AF$29,0),IF('CO-PO Mapping'!P$7,$AG$29,0))=0), "-", IF(SUM(IF('CO-PO Mapping'!P$2,$AH75*$AB$29,0),IF('CO-PO Mapping'!P$3,$AI75*$AC$29,0),IF('CO-PO Mapping'!P$4,$AJ75*$AD$29,0),IF('CO-PO Mapping'!P$5,$AK75*$AE$29,0),IF('CO-PO Mapping'!P$6,$AL75*$AF$29,0),IF('CO-PO Mapping'!P$7,$AM75*$AG$29,0))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5" s="95" t="str">
        <f>IF('CO-PO Mapping'!Q$2, IF(OR($AN75="-",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IF(OR($AP75="-", SUM( IF('CO-PO Mapping'!Q$2,$AB$29,0), IF('CO-PO Mapping'!Q$3,$AC$29,0), IF('CO-PO Mapping'!Q$4,$AD$29,0), IF('CO-PO Mapping'!Q$5,$AE$29,0), IF('CO-PO Mapping'!Q$6,$AF$29,0), IF('CO-PO Mapping'!Q$7,$AG$29,0) )=0), "-", IF( SUM( IF('CO-PO Mapping'!Q$2,$AH75*$AB$29,0), IF('CO-PO Mapping'!Q$3,$AI75*$AC$29,0), IF('CO-PO Mapping'!Q$4,$AJ75*$AD$29,0), IF('CO-PO Mapping'!Q$5,$AK75*$AE$29,0), IF('CO-PO Mapping'!Q$6,$AL75*$AF$29,0), IF('CO-PO Mapping'!Q$7,$AM75*$AG$29,0)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IF('CO-PO Mapping'!Q$6, IF(OR($AR75="-",SUM(IF('CO-PO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IF('CO-PO Mapping'!Q$7, IF(OR($AS75="-",SUM(IF('CO-PO Mapping'!Q$2,$AB$29,0),IF('CO-PO Mapping'!Q$3,$AC$29,0),IF('CO-PO Mapping'!Q$4,$AD$29,0),IF('CO-PO Mapping'!Q$5,$AE$29,0),IF('CO-PO Mapping'!Q$6,$AF$29,0),IF('CO-PO Mapping'!Q$7,$AG$29,0))=0), "-", IF(SUM(IF('CO-PO Mapping'!Q$2,$AH75*$AB$29,0),IF('CO-PO Mapping'!Q$3,$AI75*$AC$29,0),IF('CO-PO Mapping'!Q$4,$AJ75*$AD$29,0),IF('CO-PO Mapping'!Q$5,$AK75*$AE$29,0),IF('CO-PO Mapping'!Q$6,$AL75*$AF$29,0),IF('CO-PO Mapping'!Q$7,$AM75*$AG$29,0))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5" s="95" t="str">
        <f>IF('CO-PO Mapping'!R$2, IF(OR($AN75="-",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IF(OR($AP75="-", SUM( IF('CO-PO Mapping'!R$2,$AB$29,0), IF('CO-PO Mapping'!R$3,$AC$29,0), IF('CO-PO Mapping'!R$4,$AD$29,0), IF('CO-PO Mapping'!R$5,$AE$29,0), IF('CO-PO Mapping'!R$6,$AF$29,0), IF('CO-PO Mapping'!R$7,$AG$29,0) )=0), "-", IF( SUM( IF('CO-PO Mapping'!R$2,$AH75*$AB$29,0), IF('CO-PO Mapping'!R$3,$AI75*$AC$29,0), IF('CO-PO Mapping'!R$4,$AJ75*$AD$29,0), IF('CO-PO Mapping'!R$5,$AK75*$AE$29,0), IF('CO-PO Mapping'!R$6,$AL75*$AF$29,0), IF('CO-PO Mapping'!R$7,$AM75*$AG$29,0)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IF('CO-PO Mapping'!R$6, IF(OR($AR75="-",SUM(IF('CO-PO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IF('CO-PO Mapping'!R$7, IF(OR($AS75="-",SUM(IF('CO-PO Mapping'!R$2,$AB$29,0),IF('CO-PO Mapping'!R$3,$AC$29,0),IF('CO-PO Mapping'!R$4,$AD$29,0),IF('CO-PO Mapping'!R$5,$AE$29,0),IF('CO-PO Mapping'!R$6,$AF$29,0),IF('CO-PO Mapping'!R$7,$AG$29,0))=0), "-", IF(SUM(IF('CO-PO Mapping'!R$2,$AH75*$AB$29,0),IF('CO-PO Mapping'!R$3,$AI75*$AC$29,0),IF('CO-PO Mapping'!R$4,$AJ75*$AD$29,0),IF('CO-PO Mapping'!R$5,$AK75*$AE$29,0),IF('CO-PO Mapping'!R$6,$AL75*$AF$29,0),IF('CO-PO Mapping'!R$7,$AM75*$AG$29,0))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5" s="95" t="str">
        <f>IF('CO-PO Mapping'!S$2, IF(OR($AN75="-",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IF(OR($AP75="-", SUM( IF('CO-PO Mapping'!S$2,$AB$29,0), IF('CO-PO Mapping'!S$3,$AC$29,0), IF('CO-PO Mapping'!S$4,$AD$29,0), IF('CO-PO Mapping'!S$5,$AE$29,0), IF('CO-PO Mapping'!S$6,$AF$29,0), IF('CO-PO Mapping'!S$7,$AG$29,0) )=0), "-", IF( SUM( IF('CO-PO Mapping'!S$2,$AH75*$AB$29,0), IF('CO-PO Mapping'!S$3,$AI75*$AC$29,0), IF('CO-PO Mapping'!S$4,$AJ75*$AD$29,0), IF('CO-PO Mapping'!S$5,$AK75*$AE$29,0), IF('CO-PO Mapping'!S$6,$AL75*$AF$29,0), IF('CO-PO Mapping'!S$7,$AM75*$AG$29,0)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IF('CO-PO Mapping'!S$6, IF(OR($AR75="-",SUM(IF('CO-PO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IF('CO-PO Mapping'!S$7, IF(OR($AS75="-",SUM(IF('CO-PO Mapping'!S$2,$AB$29,0),IF('CO-PO Mapping'!S$3,$AC$29,0),IF('CO-PO Mapping'!S$4,$AD$29,0),IF('CO-PO Mapping'!S$5,$AE$29,0),IF('CO-PO Mapping'!S$6,$AF$29,0),IF('CO-PO Mapping'!S$7,$AG$29,0))=0), "-", IF(SUM(IF('CO-PO Mapping'!S$2,$AH75*$AB$29,0),IF('CO-PO Mapping'!S$3,$AI75*$AC$29,0),IF('CO-PO Mapping'!S$4,$AJ75*$AD$29,0),IF('CO-PO Mapping'!S$5,$AK75*$AE$29,0),IF('CO-PO Mapping'!S$6,$AL75*$AF$29,0),IF('CO-PO Mapping'!S$7,$AM75*$AG$29,0))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5" s="95" t="str">
        <f>IF('CO-PO Mapping'!T$2, IF(OR($AN75="-",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IF(OR($AP75="-", SUM( IF('CO-PO Mapping'!T$2,$AB$29,0), IF('CO-PO Mapping'!T$3,$AC$29,0), IF('CO-PO Mapping'!T$4,$AD$29,0), IF('CO-PO Mapping'!T$5,$AE$29,0), IF('CO-PO Mapping'!T$6,$AF$29,0), IF('CO-PO Mapping'!T$7,$AG$29,0) )=0), "-", IF( SUM( IF('CO-PO Mapping'!T$2,$AH75*$AB$29,0), IF('CO-PO Mapping'!T$3,$AI75*$AC$29,0), IF('CO-PO Mapping'!T$4,$AJ75*$AD$29,0), IF('CO-PO Mapping'!T$5,$AK75*$AE$29,0), IF('CO-PO Mapping'!T$6,$AL75*$AF$29,0), IF('CO-PO Mapping'!T$7,$AM75*$AG$29,0)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IF('CO-PO Mapping'!T$6, IF(OR($AR75="-",SUM(IF('CO-PO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IF('CO-PO Mapping'!T$7, IF(OR($AS75="-",SUM(IF('CO-PO Mapping'!T$2,$AB$29,0),IF('CO-PO Mapping'!T$3,$AC$29,0),IF('CO-PO Mapping'!T$4,$AD$29,0),IF('CO-PO Mapping'!T$5,$AE$29,0),IF('CO-PO Mapping'!T$6,$AF$29,0),IF('CO-PO Mapping'!T$7,$AG$29,0))=0), "-", IF(SUM(IF('CO-PO Mapping'!T$2,$AH75*$AB$29,0),IF('CO-PO Mapping'!T$3,$AI75*$AC$29,0),IF('CO-PO Mapping'!T$4,$AJ75*$AD$29,0),IF('CO-PO Mapping'!T$5,$AK75*$AE$29,0),IF('CO-PO Mapping'!T$6,$AL75*$AF$29,0),IF('CO-PO Mapping'!T$7,$AM75*$AG$29,0))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5" s="95" t="str">
        <f>IF('CO-PO Mapping'!U$2, IF(OR($AN75="-",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IF(OR($AP75="-", SUM( IF('CO-PO Mapping'!U$2,$AB$29,0), IF('CO-PO Mapping'!U$3,$AC$29,0), IF('CO-PO Mapping'!U$4,$AD$29,0), IF('CO-PO Mapping'!U$5,$AE$29,0), IF('CO-PO Mapping'!U$6,$AF$29,0), IF('CO-PO Mapping'!U$7,$AG$29,0) )=0), "-", IF( SUM( IF('CO-PO Mapping'!U$2,$AH75*$AB$29,0), IF('CO-PO Mapping'!U$3,$AI75*$AC$29,0), IF('CO-PO Mapping'!U$4,$AJ75*$AD$29,0), IF('CO-PO Mapping'!U$5,$AK75*$AE$29,0), IF('CO-PO Mapping'!U$6,$AL75*$AF$29,0), IF('CO-PO Mapping'!U$7,$AM75*$AG$29,0)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IF('CO-PO Mapping'!U$6, IF(OR($AR75="-",SUM(IF('CO-PO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IF('CO-PO Mapping'!U$7, IF(OR($AS75="-",SUM(IF('CO-PO Mapping'!U$2,$AB$29,0),IF('CO-PO Mapping'!U$3,$AC$29,0),IF('CO-PO Mapping'!U$4,$AD$29,0),IF('CO-PO Mapping'!U$5,$AE$29,0),IF('CO-PO Mapping'!U$6,$AF$29,0),IF('CO-PO Mapping'!U$7,$AG$29,0))=0), "-", IF(SUM(IF('CO-PO Mapping'!U$2,$AH75*$AB$29,0),IF('CO-PO Mapping'!U$3,$AI75*$AC$29,0),IF('CO-PO Mapping'!U$4,$AJ75*$AD$29,0),IF('CO-PO Mapping'!U$5,$AK75*$AE$29,0),IF('CO-PO Mapping'!U$6,$AL75*$AF$29,0),IF('CO-PO Mapping'!U$7,$AM75*$AG$29,0))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5" s="95" t="str">
        <f>IF('CO-PO Mapping'!V$2, IF(OR($AN75="-",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IF(OR($AP75="-", SUM( IF('CO-PO Mapping'!V$2,$AB$29,0), IF('CO-PO Mapping'!V$3,$AC$29,0), IF('CO-PO Mapping'!V$4,$AD$29,0), IF('CO-PO Mapping'!V$5,$AE$29,0), IF('CO-PO Mapping'!V$6,$AF$29,0), IF('CO-PO Mapping'!V$7,$AG$29,0) )=0), "-", IF( SUM( IF('CO-PO Mapping'!V$2,$AH75*$AB$29,0), IF('CO-PO Mapping'!V$3,$AI75*$AC$29,0), IF('CO-PO Mapping'!V$4,$AJ75*$AD$29,0), IF('CO-PO Mapping'!V$5,$AK75*$AE$29,0), IF('CO-PO Mapping'!V$6,$AL75*$AF$29,0), IF('CO-PO Mapping'!V$7,$AM75*$AG$29,0)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IF('CO-PO Mapping'!V$6, IF(OR($AR75="-",SUM(IF('CO-PO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IF('CO-PO Mapping'!V$7, IF(OR($AS75="-",SUM(IF('CO-PO Mapping'!V$2,$AB$29,0),IF('CO-PO Mapping'!V$3,$AC$29,0),IF('CO-PO Mapping'!V$4,$AD$29,0),IF('CO-PO Mapping'!V$5,$AE$29,0),IF('CO-PO Mapping'!V$6,$AF$29,0),IF('CO-PO Mapping'!V$7,$AG$29,0))=0), "-", IF(SUM(IF('CO-PO Mapping'!V$2,$AH75*$AB$29,0),IF('CO-PO Mapping'!V$3,$AI75*$AC$29,0),IF('CO-PO Mapping'!V$4,$AJ75*$AD$29,0),IF('CO-PO Mapping'!V$5,$AK75*$AE$29,0),IF('CO-PO Mapping'!V$6,$AL75*$AF$29,0),IF('CO-PO Mapping'!V$7,$AM75*$AG$29,0))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5" s="95" t="str">
        <f>IF('CO-PO Mapping'!W$2, IF(OR($AN75="-",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IF(OR($AP75="-", SUM( IF('CO-PO Mapping'!W$2,$AB$29,0), IF('CO-PO Mapping'!W$3,$AC$29,0), IF('CO-PO Mapping'!W$4,$AD$29,0), IF('CO-PO Mapping'!W$5,$AE$29,0), IF('CO-PO Mapping'!W$6,$AF$29,0), IF('CO-PO Mapping'!W$7,$AG$29,0) )=0), "-", IF( SUM( IF('CO-PO Mapping'!W$2,$AH75*$AB$29,0), IF('CO-PO Mapping'!W$3,$AI75*$AC$29,0), IF('CO-PO Mapping'!W$4,$AJ75*$AD$29,0), IF('CO-PO Mapping'!W$5,$AK75*$AE$29,0), IF('CO-PO Mapping'!W$6,$AL75*$AF$29,0), IF('CO-PO Mapping'!W$7,$AM75*$AG$29,0)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IF('CO-PO Mapping'!W$6, IF(OR($AR75="-",SUM(IF('CO-PO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IF('CO-PO Mapping'!W$7, IF(OR($AS75="-",SUM(IF('CO-PO Mapping'!W$2,$AB$29,0),IF('CO-PO Mapping'!W$3,$AC$29,0),IF('CO-PO Mapping'!W$4,$AD$29,0),IF('CO-PO Mapping'!W$5,$AE$29,0),IF('CO-PO Mapping'!W$6,$AF$29,0),IF('CO-PO Mapping'!W$7,$AG$29,0))=0), "-", IF(SUM(IF('CO-PO Mapping'!W$2,$AH75*$AB$29,0),IF('CO-PO Mapping'!W$3,$AI75*$AC$29,0),IF('CO-PO Mapping'!W$4,$AJ75*$AD$29,0),IF('CO-PO Mapping'!W$5,$AK75*$AE$29,0),IF('CO-PO Mapping'!W$6,$AL75*$AF$29,0),IF('CO-PO Mapping'!W$7,$AM75*$AG$29,0))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5" s="95" t="str">
        <f>IF('CO-PO Mapping'!X$2, IF(OR($AN75="-",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IF(OR($AP75="-", SUM( IF('CO-PO Mapping'!X$2,$AB$29,0), IF('CO-PO Mapping'!X$3,$AC$29,0), IF('CO-PO Mapping'!X$4,$AD$29,0), IF('CO-PO Mapping'!X$5,$AE$29,0), IF('CO-PO Mapping'!X$6,$AF$29,0), IF('CO-PO Mapping'!X$7,$AG$29,0) )=0), "-", IF( SUM( IF('CO-PO Mapping'!X$2,$AH75*$AB$29,0), IF('CO-PO Mapping'!X$3,$AI75*$AC$29,0), IF('CO-PO Mapping'!X$4,$AJ75*$AD$29,0), IF('CO-PO Mapping'!X$5,$AK75*$AE$29,0), IF('CO-PO Mapping'!X$6,$AL75*$AF$29,0), IF('CO-PO Mapping'!X$7,$AM75*$AG$29,0)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IF('CO-PO Mapping'!X$6, IF(OR($AR75="-",SUM(IF('CO-PO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IF('CO-PO Mapping'!X$7, IF(OR($AS75="-",SUM(IF('CO-PO Mapping'!X$2,$AB$29,0),IF('CO-PO Mapping'!X$3,$AC$29,0),IF('CO-PO Mapping'!X$4,$AD$29,0),IF('CO-PO Mapping'!X$5,$AE$29,0),IF('CO-PO Mapping'!X$6,$AF$29,0),IF('CO-PO Mapping'!X$7,$AG$29,0))=0), "-", IF(SUM(IF('CO-PO Mapping'!X$2,$AH75*$AB$29,0),IF('CO-PO Mapping'!X$3,$AI75*$AC$29,0),IF('CO-PO Mapping'!X$4,$AJ75*$AD$29,0),IF('CO-PO Mapping'!X$5,$AK75*$AE$29,0),IF('CO-PO Mapping'!X$6,$AL75*$AF$29,0),IF('CO-PO Mapping'!X$7,$AM75*$AG$29,0))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5" s="95" t="str">
        <f>IF('CO-PO Mapping'!Y$2, IF(OR($AN75="-",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IF(OR($AP75="-", SUM( IF('CO-PO Mapping'!Y$2,$AB$29,0), IF('CO-PO Mapping'!Y$3,$AC$29,0), IF('CO-PO Mapping'!Y$4,$AD$29,0), IF('CO-PO Mapping'!Y$5,$AE$29,0), IF('CO-PO Mapping'!Y$6,$AF$29,0), IF('CO-PO Mapping'!Y$7,$AG$29,0) )=0), "-", IF( SUM( IF('CO-PO Mapping'!Y$2,$AH75*$AB$29,0), IF('CO-PO Mapping'!Y$3,$AI75*$AC$29,0), IF('CO-PO Mapping'!Y$4,$AJ75*$AD$29,0), IF('CO-PO Mapping'!Y$5,$AK75*$AE$29,0), IF('CO-PO Mapping'!Y$6,$AL75*$AF$29,0), IF('CO-PO Mapping'!Y$7,$AM75*$AG$29,0)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IF('CO-PO Mapping'!Y$6, IF(OR($AR75="-",SUM(IF('CO-PO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IF('CO-PO Mapping'!Y$7, IF(OR($AS75="-",SUM(IF('CO-PO Mapping'!Y$2,$AB$29,0),IF('CO-PO Mapping'!Y$3,$AC$29,0),IF('CO-PO Mapping'!Y$4,$AD$29,0),IF('CO-PO Mapping'!Y$5,$AE$29,0),IF('CO-PO Mapping'!Y$6,$AF$29,0),IF('CO-PO Mapping'!Y$7,$AG$29,0))=0), "-", IF(SUM(IF('CO-PO Mapping'!Y$2,$AH75*$AB$29,0),IF('CO-PO Mapping'!Y$3,$AI75*$AC$29,0),IF('CO-PO Mapping'!Y$4,$AJ75*$AD$29,0),IF('CO-PO Mapping'!Y$5,$AK75*$AE$29,0),IF('CO-PO Mapping'!Y$6,$AL75*$AF$29,0),IF('CO-PO Mapping'!Y$7,$AM75*$AG$29,0))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5" s="95" t="str">
        <f>IF('CO-PO Mapping'!Z$2, IF(OR($AN75="-",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IF(OR($AP75="-", SUM( IF('CO-PO Mapping'!Z$2,$AB$29,0), IF('CO-PO Mapping'!Z$3,$AC$29,0), IF('CO-PO Mapping'!Z$4,$AD$29,0), IF('CO-PO Mapping'!Z$5,$AE$29,0), IF('CO-PO Mapping'!Z$6,$AF$29,0), IF('CO-PO Mapping'!Z$7,$AG$29,0) )=0), "-", IF( SUM( IF('CO-PO Mapping'!Z$2,$AH75*$AB$29,0), IF('CO-PO Mapping'!Z$3,$AI75*$AC$29,0), IF('CO-PO Mapping'!Z$4,$AJ75*$AD$29,0), IF('CO-PO Mapping'!Z$5,$AK75*$AE$29,0), IF('CO-PO Mapping'!Z$6,$AL75*$AF$29,0), IF('CO-PO Mapping'!Z$7,$AM75*$AG$29,0)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IF('CO-PO Mapping'!Z$6, IF(OR($AR75="-",SUM(IF('CO-PO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IF('CO-PO Mapping'!Z$7, IF(OR($AS75="-",SUM(IF('CO-PO Mapping'!Z$2,$AB$29,0),IF('CO-PO Mapping'!Z$3,$AC$29,0),IF('CO-PO Mapping'!Z$4,$AD$29,0),IF('CO-PO Mapping'!Z$5,$AE$29,0),IF('CO-PO Mapping'!Z$6,$AF$29,0),IF('CO-PO Mapping'!Z$7,$AG$29,0))=0), "-", IF(SUM(IF('CO-PO Mapping'!Z$2,$AH75*$AB$29,0),IF('CO-PO Mapping'!Z$3,$AI75*$AC$29,0),IF('CO-PO Mapping'!Z$4,$AJ75*$AD$29,0),IF('CO-PO Mapping'!Z$5,$AK75*$AE$29,0),IF('CO-PO Mapping'!Z$6,$AL75*$AF$29,0),IF('CO-PO Mapping'!Z$7,$AM75*$AG$29,0))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6" spans="1:57" ht="15" customHeight="1">
      <c r="A76" s="87"/>
      <c r="B76" s="84"/>
      <c r="C76" s="74"/>
      <c r="D76" s="74"/>
      <c r="E76" s="75"/>
      <c r="F76" s="75"/>
      <c r="G76" s="75"/>
      <c r="H76" s="103" t="str">
        <f t="shared" si="29"/>
        <v>-</v>
      </c>
      <c r="I76" s="75"/>
      <c r="J76" s="75"/>
      <c r="K76" s="75"/>
      <c r="L76" s="75"/>
      <c r="M76" s="75"/>
      <c r="N76" s="75"/>
      <c r="O76" s="105" t="str">
        <f t="shared" si="30"/>
        <v>-</v>
      </c>
      <c r="P76" s="75"/>
      <c r="Q76" s="75"/>
      <c r="R76" s="75"/>
      <c r="S76" s="75"/>
      <c r="T76" s="75"/>
      <c r="U76" s="75"/>
      <c r="V76" s="104" t="str">
        <f t="shared" si="31"/>
        <v>-</v>
      </c>
      <c r="W76" s="83" t="str">
        <f t="shared" si="28"/>
        <v>-</v>
      </c>
      <c r="X76" s="98" t="str">
        <f t="shared" si="32"/>
        <v>-</v>
      </c>
      <c r="Z76" s="42" t="str">
        <f t="shared" si="26"/>
        <v/>
      </c>
      <c r="AA76" s="43" t="str">
        <f t="shared" si="27"/>
        <v/>
      </c>
      <c r="AB76" s="90">
        <f t="shared" si="11"/>
        <v>0</v>
      </c>
      <c r="AC76" s="90">
        <f t="shared" si="11"/>
        <v>0</v>
      </c>
      <c r="AD76" s="90">
        <f t="shared" si="11"/>
        <v>0</v>
      </c>
      <c r="AE76" s="90">
        <f t="shared" si="11"/>
        <v>0</v>
      </c>
      <c r="AF76" s="90">
        <f t="shared" si="11"/>
        <v>0</v>
      </c>
      <c r="AG76" s="90">
        <f t="shared" si="25"/>
        <v>0</v>
      </c>
      <c r="AH76" s="92">
        <f t="shared" si="12"/>
        <v>0</v>
      </c>
      <c r="AI76" s="92">
        <f t="shared" si="13"/>
        <v>0</v>
      </c>
      <c r="AJ76" s="92">
        <f t="shared" si="14"/>
        <v>0</v>
      </c>
      <c r="AK76" s="92">
        <f t="shared" si="22"/>
        <v>0</v>
      </c>
      <c r="AL76" s="92">
        <f t="shared" si="15"/>
        <v>0</v>
      </c>
      <c r="AM76" s="92">
        <f>IF($AG$29=0,0,AG76*100/$AG$29)</f>
        <v>0</v>
      </c>
      <c r="AN76" s="93" t="str">
        <f t="shared" si="23"/>
        <v>-</v>
      </c>
      <c r="AO76" s="93" t="str">
        <f t="shared" si="17"/>
        <v>-</v>
      </c>
      <c r="AP76" s="93" t="str">
        <f t="shared" si="18"/>
        <v>-</v>
      </c>
      <c r="AQ76" s="93" t="str">
        <f t="shared" si="19"/>
        <v>-</v>
      </c>
      <c r="AR76" s="93" t="str">
        <f t="shared" si="20"/>
        <v>-</v>
      </c>
      <c r="AS76" s="93" t="str">
        <f t="shared" si="21"/>
        <v>-</v>
      </c>
      <c r="AT76" s="95" t="str">
        <f>IF('CO-PO Mapping'!O$2, IF(OR($AN76="-",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IF(OR($AP76="-", SUM( IF('CO-PO Mapping'!O$2,$AB$29,0), IF('CO-PO Mapping'!O$3,$AC$29,0), IF('CO-PO Mapping'!O$4,$AD$29,0), IF('CO-PO Mapping'!O$5,$AE$29,0), IF('CO-PO Mapping'!O$6,$AF$29,0), IF('CO-PO Mapping'!O$7,$AG$29,0) )=0), "-", IF( SUM( IF('CO-PO Mapping'!O$2,$AH76*$AB$29,0), IF('CO-PO Mapping'!O$3,$AI76*$AC$29,0), IF('CO-PO Mapping'!O$4,$AJ76*$AD$29,0), IF('CO-PO Mapping'!O$5,$AK76*$AE$29,0), IF('CO-PO Mapping'!O$6,$AL76*$AF$29,0), IF('CO-PO Mapping'!O$7,$AM76*$AG$29,0)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IF('CO-PO Mapping'!O$6, IF(OR($AR76="-",SUM(IF('CO-PO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IF('CO-PO Mapping'!O$7, IF(OR($AS76="-",SUM(IF('CO-PO Mapping'!O$2,$AB$29,0),IF('CO-PO Mapping'!O$3,$AC$29,0),IF('CO-PO Mapping'!O$4,$AD$29,0),IF('CO-PO Mapping'!O$5,$AE$29,0),IF('CO-PO Mapping'!O$6,$AF$29,0),IF('CO-PO Mapping'!O$7,$AG$29,0))=0), "-", IF(SUM(IF('CO-PO Mapping'!O$2,$AH76*$AB$29,0),IF('CO-PO Mapping'!O$3,$AI76*$AC$29,0),IF('CO-PO Mapping'!O$4,$AJ76*$AD$29,0),IF('CO-PO Mapping'!O$5,$AK76*$AE$29,0),IF('CO-PO Mapping'!O$6,$AL76*$AF$29,0),IF('CO-PO Mapping'!O$7,$AM76*$AG$29,0))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6" s="95" t="str">
        <f>IF('CO-PO Mapping'!P$2, IF(OR($AN76="-",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IF(OR($AP76="-", SUM( IF('CO-PO Mapping'!P$2,$AB$29,0), IF('CO-PO Mapping'!P$3,$AC$29,0), IF('CO-PO Mapping'!P$4,$AD$29,0), IF('CO-PO Mapping'!P$5,$AE$29,0), IF('CO-PO Mapping'!P$6,$AF$29,0), IF('CO-PO Mapping'!P$7,$AG$29,0) )=0), "-", IF( SUM( IF('CO-PO Mapping'!P$2,$AH76*$AB$29,0), IF('CO-PO Mapping'!P$3,$AI76*$AC$29,0), IF('CO-PO Mapping'!P$4,$AJ76*$AD$29,0), IF('CO-PO Mapping'!P$5,$AK76*$AE$29,0), IF('CO-PO Mapping'!P$6,$AL76*$AF$29,0), IF('CO-PO Mapping'!P$7,$AM76*$AG$29,0)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IF('CO-PO Mapping'!P$6, IF(OR($AR76="-",SUM(IF('CO-PO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IF('CO-PO Mapping'!P$7, IF(OR($AS76="-",SUM(IF('CO-PO Mapping'!P$2,$AB$29,0),IF('CO-PO Mapping'!P$3,$AC$29,0),IF('CO-PO Mapping'!P$4,$AD$29,0),IF('CO-PO Mapping'!P$5,$AE$29,0),IF('CO-PO Mapping'!P$6,$AF$29,0),IF('CO-PO Mapping'!P$7,$AG$29,0))=0), "-", IF(SUM(IF('CO-PO Mapping'!P$2,$AH76*$AB$29,0),IF('CO-PO Mapping'!P$3,$AI76*$AC$29,0),IF('CO-PO Mapping'!P$4,$AJ76*$AD$29,0),IF('CO-PO Mapping'!P$5,$AK76*$AE$29,0),IF('CO-PO Mapping'!P$6,$AL76*$AF$29,0),IF('CO-PO Mapping'!P$7,$AM76*$AG$29,0))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6" s="95" t="str">
        <f>IF('CO-PO Mapping'!Q$2, IF(OR($AN76="-",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IF(OR($AP76="-", SUM( IF('CO-PO Mapping'!Q$2,$AB$29,0), IF('CO-PO Mapping'!Q$3,$AC$29,0), IF('CO-PO Mapping'!Q$4,$AD$29,0), IF('CO-PO Mapping'!Q$5,$AE$29,0), IF('CO-PO Mapping'!Q$6,$AF$29,0), IF('CO-PO Mapping'!Q$7,$AG$29,0) )=0), "-", IF( SUM( IF('CO-PO Mapping'!Q$2,$AH76*$AB$29,0), IF('CO-PO Mapping'!Q$3,$AI76*$AC$29,0), IF('CO-PO Mapping'!Q$4,$AJ76*$AD$29,0), IF('CO-PO Mapping'!Q$5,$AK76*$AE$29,0), IF('CO-PO Mapping'!Q$6,$AL76*$AF$29,0), IF('CO-PO Mapping'!Q$7,$AM76*$AG$29,0)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IF('CO-PO Mapping'!Q$6, IF(OR($AR76="-",SUM(IF('CO-PO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IF('CO-PO Mapping'!Q$7, IF(OR($AS76="-",SUM(IF('CO-PO Mapping'!Q$2,$AB$29,0),IF('CO-PO Mapping'!Q$3,$AC$29,0),IF('CO-PO Mapping'!Q$4,$AD$29,0),IF('CO-PO Mapping'!Q$5,$AE$29,0),IF('CO-PO Mapping'!Q$6,$AF$29,0),IF('CO-PO Mapping'!Q$7,$AG$29,0))=0), "-", IF(SUM(IF('CO-PO Mapping'!Q$2,$AH76*$AB$29,0),IF('CO-PO Mapping'!Q$3,$AI76*$AC$29,0),IF('CO-PO Mapping'!Q$4,$AJ76*$AD$29,0),IF('CO-PO Mapping'!Q$5,$AK76*$AE$29,0),IF('CO-PO Mapping'!Q$6,$AL76*$AF$29,0),IF('CO-PO Mapping'!Q$7,$AM76*$AG$29,0))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6" s="95" t="str">
        <f>IF('CO-PO Mapping'!R$2, IF(OR($AN76="-",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IF(OR($AP76="-", SUM( IF('CO-PO Mapping'!R$2,$AB$29,0), IF('CO-PO Mapping'!R$3,$AC$29,0), IF('CO-PO Mapping'!R$4,$AD$29,0), IF('CO-PO Mapping'!R$5,$AE$29,0), IF('CO-PO Mapping'!R$6,$AF$29,0), IF('CO-PO Mapping'!R$7,$AG$29,0) )=0), "-", IF( SUM( IF('CO-PO Mapping'!R$2,$AH76*$AB$29,0), IF('CO-PO Mapping'!R$3,$AI76*$AC$29,0), IF('CO-PO Mapping'!R$4,$AJ76*$AD$29,0), IF('CO-PO Mapping'!R$5,$AK76*$AE$29,0), IF('CO-PO Mapping'!R$6,$AL76*$AF$29,0), IF('CO-PO Mapping'!R$7,$AM76*$AG$29,0)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IF('CO-PO Mapping'!R$6, IF(OR($AR76="-",SUM(IF('CO-PO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IF('CO-PO Mapping'!R$7, IF(OR($AS76="-",SUM(IF('CO-PO Mapping'!R$2,$AB$29,0),IF('CO-PO Mapping'!R$3,$AC$29,0),IF('CO-PO Mapping'!R$4,$AD$29,0),IF('CO-PO Mapping'!R$5,$AE$29,0),IF('CO-PO Mapping'!R$6,$AF$29,0),IF('CO-PO Mapping'!R$7,$AG$29,0))=0), "-", IF(SUM(IF('CO-PO Mapping'!R$2,$AH76*$AB$29,0),IF('CO-PO Mapping'!R$3,$AI76*$AC$29,0),IF('CO-PO Mapping'!R$4,$AJ76*$AD$29,0),IF('CO-PO Mapping'!R$5,$AK76*$AE$29,0),IF('CO-PO Mapping'!R$6,$AL76*$AF$29,0),IF('CO-PO Mapping'!R$7,$AM76*$AG$29,0))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6" s="95" t="str">
        <f>IF('CO-PO Mapping'!S$2, IF(OR($AN76="-",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IF(OR($AP76="-", SUM( IF('CO-PO Mapping'!S$2,$AB$29,0), IF('CO-PO Mapping'!S$3,$AC$29,0), IF('CO-PO Mapping'!S$4,$AD$29,0), IF('CO-PO Mapping'!S$5,$AE$29,0), IF('CO-PO Mapping'!S$6,$AF$29,0), IF('CO-PO Mapping'!S$7,$AG$29,0) )=0), "-", IF( SUM( IF('CO-PO Mapping'!S$2,$AH76*$AB$29,0), IF('CO-PO Mapping'!S$3,$AI76*$AC$29,0), IF('CO-PO Mapping'!S$4,$AJ76*$AD$29,0), IF('CO-PO Mapping'!S$5,$AK76*$AE$29,0), IF('CO-PO Mapping'!S$6,$AL76*$AF$29,0), IF('CO-PO Mapping'!S$7,$AM76*$AG$29,0)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IF('CO-PO Mapping'!S$6, IF(OR($AR76="-",SUM(IF('CO-PO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IF('CO-PO Mapping'!S$7, IF(OR($AS76="-",SUM(IF('CO-PO Mapping'!S$2,$AB$29,0),IF('CO-PO Mapping'!S$3,$AC$29,0),IF('CO-PO Mapping'!S$4,$AD$29,0),IF('CO-PO Mapping'!S$5,$AE$29,0),IF('CO-PO Mapping'!S$6,$AF$29,0),IF('CO-PO Mapping'!S$7,$AG$29,0))=0), "-", IF(SUM(IF('CO-PO Mapping'!S$2,$AH76*$AB$29,0),IF('CO-PO Mapping'!S$3,$AI76*$AC$29,0),IF('CO-PO Mapping'!S$4,$AJ76*$AD$29,0),IF('CO-PO Mapping'!S$5,$AK76*$AE$29,0),IF('CO-PO Mapping'!S$6,$AL76*$AF$29,0),IF('CO-PO Mapping'!S$7,$AM76*$AG$29,0))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6" s="95" t="str">
        <f>IF('CO-PO Mapping'!T$2, IF(OR($AN76="-",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IF(OR($AP76="-", SUM( IF('CO-PO Mapping'!T$2,$AB$29,0), IF('CO-PO Mapping'!T$3,$AC$29,0), IF('CO-PO Mapping'!T$4,$AD$29,0), IF('CO-PO Mapping'!T$5,$AE$29,0), IF('CO-PO Mapping'!T$6,$AF$29,0), IF('CO-PO Mapping'!T$7,$AG$29,0) )=0), "-", IF( SUM( IF('CO-PO Mapping'!T$2,$AH76*$AB$29,0), IF('CO-PO Mapping'!T$3,$AI76*$AC$29,0), IF('CO-PO Mapping'!T$4,$AJ76*$AD$29,0), IF('CO-PO Mapping'!T$5,$AK76*$AE$29,0), IF('CO-PO Mapping'!T$6,$AL76*$AF$29,0), IF('CO-PO Mapping'!T$7,$AM76*$AG$29,0)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IF('CO-PO Mapping'!T$6, IF(OR($AR76="-",SUM(IF('CO-PO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IF('CO-PO Mapping'!T$7, IF(OR($AS76="-",SUM(IF('CO-PO Mapping'!T$2,$AB$29,0),IF('CO-PO Mapping'!T$3,$AC$29,0),IF('CO-PO Mapping'!T$4,$AD$29,0),IF('CO-PO Mapping'!T$5,$AE$29,0),IF('CO-PO Mapping'!T$6,$AF$29,0),IF('CO-PO Mapping'!T$7,$AG$29,0))=0), "-", IF(SUM(IF('CO-PO Mapping'!T$2,$AH76*$AB$29,0),IF('CO-PO Mapping'!T$3,$AI76*$AC$29,0),IF('CO-PO Mapping'!T$4,$AJ76*$AD$29,0),IF('CO-PO Mapping'!T$5,$AK76*$AE$29,0),IF('CO-PO Mapping'!T$6,$AL76*$AF$29,0),IF('CO-PO Mapping'!T$7,$AM76*$AG$29,0))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6" s="95" t="str">
        <f>IF('CO-PO Mapping'!U$2, IF(OR($AN76="-",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IF(OR($AP76="-", SUM( IF('CO-PO Mapping'!U$2,$AB$29,0), IF('CO-PO Mapping'!U$3,$AC$29,0), IF('CO-PO Mapping'!U$4,$AD$29,0), IF('CO-PO Mapping'!U$5,$AE$29,0), IF('CO-PO Mapping'!U$6,$AF$29,0), IF('CO-PO Mapping'!U$7,$AG$29,0) )=0), "-", IF( SUM( IF('CO-PO Mapping'!U$2,$AH76*$AB$29,0), IF('CO-PO Mapping'!U$3,$AI76*$AC$29,0), IF('CO-PO Mapping'!U$4,$AJ76*$AD$29,0), IF('CO-PO Mapping'!U$5,$AK76*$AE$29,0), IF('CO-PO Mapping'!U$6,$AL76*$AF$29,0), IF('CO-PO Mapping'!U$7,$AM76*$AG$29,0)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IF('CO-PO Mapping'!U$6, IF(OR($AR76="-",SUM(IF('CO-PO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IF('CO-PO Mapping'!U$7, IF(OR($AS76="-",SUM(IF('CO-PO Mapping'!U$2,$AB$29,0),IF('CO-PO Mapping'!U$3,$AC$29,0),IF('CO-PO Mapping'!U$4,$AD$29,0),IF('CO-PO Mapping'!U$5,$AE$29,0),IF('CO-PO Mapping'!U$6,$AF$29,0),IF('CO-PO Mapping'!U$7,$AG$29,0))=0), "-", IF(SUM(IF('CO-PO Mapping'!U$2,$AH76*$AB$29,0),IF('CO-PO Mapping'!U$3,$AI76*$AC$29,0),IF('CO-PO Mapping'!U$4,$AJ76*$AD$29,0),IF('CO-PO Mapping'!U$5,$AK76*$AE$29,0),IF('CO-PO Mapping'!U$6,$AL76*$AF$29,0),IF('CO-PO Mapping'!U$7,$AM76*$AG$29,0))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6" s="95" t="str">
        <f>IF('CO-PO Mapping'!V$2, IF(OR($AN76="-",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IF(OR($AP76="-", SUM( IF('CO-PO Mapping'!V$2,$AB$29,0), IF('CO-PO Mapping'!V$3,$AC$29,0), IF('CO-PO Mapping'!V$4,$AD$29,0), IF('CO-PO Mapping'!V$5,$AE$29,0), IF('CO-PO Mapping'!V$6,$AF$29,0), IF('CO-PO Mapping'!V$7,$AG$29,0) )=0), "-", IF( SUM( IF('CO-PO Mapping'!V$2,$AH76*$AB$29,0), IF('CO-PO Mapping'!V$3,$AI76*$AC$29,0), IF('CO-PO Mapping'!V$4,$AJ76*$AD$29,0), IF('CO-PO Mapping'!V$5,$AK76*$AE$29,0), IF('CO-PO Mapping'!V$6,$AL76*$AF$29,0), IF('CO-PO Mapping'!V$7,$AM76*$AG$29,0)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IF('CO-PO Mapping'!V$6, IF(OR($AR76="-",SUM(IF('CO-PO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IF('CO-PO Mapping'!V$7, IF(OR($AS76="-",SUM(IF('CO-PO Mapping'!V$2,$AB$29,0),IF('CO-PO Mapping'!V$3,$AC$29,0),IF('CO-PO Mapping'!V$4,$AD$29,0),IF('CO-PO Mapping'!V$5,$AE$29,0),IF('CO-PO Mapping'!V$6,$AF$29,0),IF('CO-PO Mapping'!V$7,$AG$29,0))=0), "-", IF(SUM(IF('CO-PO Mapping'!V$2,$AH76*$AB$29,0),IF('CO-PO Mapping'!V$3,$AI76*$AC$29,0),IF('CO-PO Mapping'!V$4,$AJ76*$AD$29,0),IF('CO-PO Mapping'!V$5,$AK76*$AE$29,0),IF('CO-PO Mapping'!V$6,$AL76*$AF$29,0),IF('CO-PO Mapping'!V$7,$AM76*$AG$29,0))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6" s="95" t="str">
        <f>IF('CO-PO Mapping'!W$2, IF(OR($AN76="-",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IF(OR($AP76="-", SUM( IF('CO-PO Mapping'!W$2,$AB$29,0), IF('CO-PO Mapping'!W$3,$AC$29,0), IF('CO-PO Mapping'!W$4,$AD$29,0), IF('CO-PO Mapping'!W$5,$AE$29,0), IF('CO-PO Mapping'!W$6,$AF$29,0), IF('CO-PO Mapping'!W$7,$AG$29,0) )=0), "-", IF( SUM( IF('CO-PO Mapping'!W$2,$AH76*$AB$29,0), IF('CO-PO Mapping'!W$3,$AI76*$AC$29,0), IF('CO-PO Mapping'!W$4,$AJ76*$AD$29,0), IF('CO-PO Mapping'!W$5,$AK76*$AE$29,0), IF('CO-PO Mapping'!W$6,$AL76*$AF$29,0), IF('CO-PO Mapping'!W$7,$AM76*$AG$29,0)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IF('CO-PO Mapping'!W$6, IF(OR($AR76="-",SUM(IF('CO-PO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IF('CO-PO Mapping'!W$7, IF(OR($AS76="-",SUM(IF('CO-PO Mapping'!W$2,$AB$29,0),IF('CO-PO Mapping'!W$3,$AC$29,0),IF('CO-PO Mapping'!W$4,$AD$29,0),IF('CO-PO Mapping'!W$5,$AE$29,0),IF('CO-PO Mapping'!W$6,$AF$29,0),IF('CO-PO Mapping'!W$7,$AG$29,0))=0), "-", IF(SUM(IF('CO-PO Mapping'!W$2,$AH76*$AB$29,0),IF('CO-PO Mapping'!W$3,$AI76*$AC$29,0),IF('CO-PO Mapping'!W$4,$AJ76*$AD$29,0),IF('CO-PO Mapping'!W$5,$AK76*$AE$29,0),IF('CO-PO Mapping'!W$6,$AL76*$AF$29,0),IF('CO-PO Mapping'!W$7,$AM76*$AG$29,0))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6" s="95" t="str">
        <f>IF('CO-PO Mapping'!X$2, IF(OR($AN76="-",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IF(OR($AP76="-", SUM( IF('CO-PO Mapping'!X$2,$AB$29,0), IF('CO-PO Mapping'!X$3,$AC$29,0), IF('CO-PO Mapping'!X$4,$AD$29,0), IF('CO-PO Mapping'!X$5,$AE$29,0), IF('CO-PO Mapping'!X$6,$AF$29,0), IF('CO-PO Mapping'!X$7,$AG$29,0) )=0), "-", IF( SUM( IF('CO-PO Mapping'!X$2,$AH76*$AB$29,0), IF('CO-PO Mapping'!X$3,$AI76*$AC$29,0), IF('CO-PO Mapping'!X$4,$AJ76*$AD$29,0), IF('CO-PO Mapping'!X$5,$AK76*$AE$29,0), IF('CO-PO Mapping'!X$6,$AL76*$AF$29,0), IF('CO-PO Mapping'!X$7,$AM76*$AG$29,0)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IF('CO-PO Mapping'!X$6, IF(OR($AR76="-",SUM(IF('CO-PO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IF('CO-PO Mapping'!X$7, IF(OR($AS76="-",SUM(IF('CO-PO Mapping'!X$2,$AB$29,0),IF('CO-PO Mapping'!X$3,$AC$29,0),IF('CO-PO Mapping'!X$4,$AD$29,0),IF('CO-PO Mapping'!X$5,$AE$29,0),IF('CO-PO Mapping'!X$6,$AF$29,0),IF('CO-PO Mapping'!X$7,$AG$29,0))=0), "-", IF(SUM(IF('CO-PO Mapping'!X$2,$AH76*$AB$29,0),IF('CO-PO Mapping'!X$3,$AI76*$AC$29,0),IF('CO-PO Mapping'!X$4,$AJ76*$AD$29,0),IF('CO-PO Mapping'!X$5,$AK76*$AE$29,0),IF('CO-PO Mapping'!X$6,$AL76*$AF$29,0),IF('CO-PO Mapping'!X$7,$AM76*$AG$29,0))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6" s="95" t="str">
        <f>IF('CO-PO Mapping'!Y$2, IF(OR($AN76="-",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IF(OR($AP76="-", SUM( IF('CO-PO Mapping'!Y$2,$AB$29,0), IF('CO-PO Mapping'!Y$3,$AC$29,0), IF('CO-PO Mapping'!Y$4,$AD$29,0), IF('CO-PO Mapping'!Y$5,$AE$29,0), IF('CO-PO Mapping'!Y$6,$AF$29,0), IF('CO-PO Mapping'!Y$7,$AG$29,0) )=0), "-", IF( SUM( IF('CO-PO Mapping'!Y$2,$AH76*$AB$29,0), IF('CO-PO Mapping'!Y$3,$AI76*$AC$29,0), IF('CO-PO Mapping'!Y$4,$AJ76*$AD$29,0), IF('CO-PO Mapping'!Y$5,$AK76*$AE$29,0), IF('CO-PO Mapping'!Y$6,$AL76*$AF$29,0), IF('CO-PO Mapping'!Y$7,$AM76*$AG$29,0)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IF('CO-PO Mapping'!Y$6, IF(OR($AR76="-",SUM(IF('CO-PO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IF('CO-PO Mapping'!Y$7, IF(OR($AS76="-",SUM(IF('CO-PO Mapping'!Y$2,$AB$29,0),IF('CO-PO Mapping'!Y$3,$AC$29,0),IF('CO-PO Mapping'!Y$4,$AD$29,0),IF('CO-PO Mapping'!Y$5,$AE$29,0),IF('CO-PO Mapping'!Y$6,$AF$29,0),IF('CO-PO Mapping'!Y$7,$AG$29,0))=0), "-", IF(SUM(IF('CO-PO Mapping'!Y$2,$AH76*$AB$29,0),IF('CO-PO Mapping'!Y$3,$AI76*$AC$29,0),IF('CO-PO Mapping'!Y$4,$AJ76*$AD$29,0),IF('CO-PO Mapping'!Y$5,$AK76*$AE$29,0),IF('CO-PO Mapping'!Y$6,$AL76*$AF$29,0),IF('CO-PO Mapping'!Y$7,$AM76*$AG$29,0))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6" s="95" t="str">
        <f>IF('CO-PO Mapping'!Z$2, IF(OR($AN76="-",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IF(OR($AP76="-", SUM( IF('CO-PO Mapping'!Z$2,$AB$29,0), IF('CO-PO Mapping'!Z$3,$AC$29,0), IF('CO-PO Mapping'!Z$4,$AD$29,0), IF('CO-PO Mapping'!Z$5,$AE$29,0), IF('CO-PO Mapping'!Z$6,$AF$29,0), IF('CO-PO Mapping'!Z$7,$AG$29,0) )=0), "-", IF( SUM( IF('CO-PO Mapping'!Z$2,$AH76*$AB$29,0), IF('CO-PO Mapping'!Z$3,$AI76*$AC$29,0), IF('CO-PO Mapping'!Z$4,$AJ76*$AD$29,0), IF('CO-PO Mapping'!Z$5,$AK76*$AE$29,0), IF('CO-PO Mapping'!Z$6,$AL76*$AF$29,0), IF('CO-PO Mapping'!Z$7,$AM76*$AG$29,0)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IF('CO-PO Mapping'!Z$6, IF(OR($AR76="-",SUM(IF('CO-PO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IF('CO-PO Mapping'!Z$7, IF(OR($AS76="-",SUM(IF('CO-PO Mapping'!Z$2,$AB$29,0),IF('CO-PO Mapping'!Z$3,$AC$29,0),IF('CO-PO Mapping'!Z$4,$AD$29,0),IF('CO-PO Mapping'!Z$5,$AE$29,0),IF('CO-PO Mapping'!Z$6,$AF$29,0),IF('CO-PO Mapping'!Z$7,$AG$29,0))=0), "-", IF(SUM(IF('CO-PO Mapping'!Z$2,$AH76*$AB$29,0),IF('CO-PO Mapping'!Z$3,$AI76*$AC$29,0),IF('CO-PO Mapping'!Z$4,$AJ76*$AD$29,0),IF('CO-PO Mapping'!Z$5,$AK76*$AE$29,0),IF('CO-PO Mapping'!Z$6,$AL76*$AF$29,0),IF('CO-PO Mapping'!Z$7,$AM76*$AG$29,0))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7" spans="1:57" ht="15" customHeight="1">
      <c r="A77" s="87"/>
      <c r="B77" s="84"/>
      <c r="C77" s="74"/>
      <c r="D77" s="74"/>
      <c r="E77" s="75"/>
      <c r="F77" s="75"/>
      <c r="G77" s="75"/>
      <c r="H77" s="103" t="str">
        <f t="shared" si="29"/>
        <v>-</v>
      </c>
      <c r="I77" s="75"/>
      <c r="J77" s="75"/>
      <c r="K77" s="75"/>
      <c r="L77" s="75"/>
      <c r="M77" s="75"/>
      <c r="N77" s="75"/>
      <c r="O77" s="105" t="str">
        <f t="shared" si="30"/>
        <v>-</v>
      </c>
      <c r="P77" s="75"/>
      <c r="Q77" s="75"/>
      <c r="R77" s="75"/>
      <c r="S77" s="75"/>
      <c r="T77" s="75"/>
      <c r="U77" s="75"/>
      <c r="V77" s="104" t="str">
        <f t="shared" si="31"/>
        <v>-</v>
      </c>
      <c r="W77" s="83" t="str">
        <f t="shared" si="28"/>
        <v>-</v>
      </c>
      <c r="X77" s="98" t="str">
        <f t="shared" si="32"/>
        <v>-</v>
      </c>
      <c r="Z77" s="42" t="str">
        <f t="shared" si="26"/>
        <v/>
      </c>
      <c r="AA77" s="43" t="str">
        <f t="shared" si="27"/>
        <v/>
      </c>
      <c r="AB77" s="90">
        <f t="shared" si="11"/>
        <v>0</v>
      </c>
      <c r="AC77" s="90">
        <f t="shared" si="11"/>
        <v>0</v>
      </c>
      <c r="AD77" s="90">
        <f t="shared" si="11"/>
        <v>0</v>
      </c>
      <c r="AE77" s="90">
        <f t="shared" si="11"/>
        <v>0</v>
      </c>
      <c r="AF77" s="90">
        <f t="shared" si="11"/>
        <v>0</v>
      </c>
      <c r="AG77" s="90">
        <f t="shared" si="25"/>
        <v>0</v>
      </c>
      <c r="AH77" s="92">
        <f t="shared" si="12"/>
        <v>0</v>
      </c>
      <c r="AI77" s="92">
        <f t="shared" si="13"/>
        <v>0</v>
      </c>
      <c r="AJ77" s="92">
        <f t="shared" si="14"/>
        <v>0</v>
      </c>
      <c r="AK77" s="92">
        <f t="shared" si="22"/>
        <v>0</v>
      </c>
      <c r="AL77" s="92">
        <f t="shared" si="15"/>
        <v>0</v>
      </c>
      <c r="AM77" s="92">
        <f t="shared" si="16"/>
        <v>0</v>
      </c>
      <c r="AN77" s="93" t="str">
        <f t="shared" si="23"/>
        <v>-</v>
      </c>
      <c r="AO77" s="93" t="str">
        <f t="shared" si="17"/>
        <v>-</v>
      </c>
      <c r="AP77" s="93" t="str">
        <f t="shared" si="18"/>
        <v>-</v>
      </c>
      <c r="AQ77" s="93" t="str">
        <f t="shared" si="19"/>
        <v>-</v>
      </c>
      <c r="AR77" s="93" t="str">
        <f t="shared" si="20"/>
        <v>-</v>
      </c>
      <c r="AS77" s="93" t="str">
        <f t="shared" si="21"/>
        <v>-</v>
      </c>
      <c r="AT77" s="95" t="str">
        <f>IF('CO-PO Mapping'!O$2, IF(OR($AN77="-",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IF(OR($AP77="-", SUM( IF('CO-PO Mapping'!O$2,$AB$29,0), IF('CO-PO Mapping'!O$3,$AC$29,0), IF('CO-PO Mapping'!O$4,$AD$29,0), IF('CO-PO Mapping'!O$5,$AE$29,0), IF('CO-PO Mapping'!O$6,$AF$29,0), IF('CO-PO Mapping'!O$7,$AG$29,0) )=0), "-", IF( SUM( IF('CO-PO Mapping'!O$2,$AH77*$AB$29,0), IF('CO-PO Mapping'!O$3,$AI77*$AC$29,0), IF('CO-PO Mapping'!O$4,$AJ77*$AD$29,0), IF('CO-PO Mapping'!O$5,$AK77*$AE$29,0), IF('CO-PO Mapping'!O$6,$AL77*$AF$29,0), IF('CO-PO Mapping'!O$7,$AM77*$AG$29,0)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IF('CO-PO Mapping'!O$6, IF(OR($AR77="-",SUM(IF('CO-PO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IF('CO-PO Mapping'!O$7, IF(OR($AS77="-",SUM(IF('CO-PO Mapping'!O$2,$AB$29,0),IF('CO-PO Mapping'!O$3,$AC$29,0),IF('CO-PO Mapping'!O$4,$AD$29,0),IF('CO-PO Mapping'!O$5,$AE$29,0),IF('CO-PO Mapping'!O$6,$AF$29,0),IF('CO-PO Mapping'!O$7,$AG$29,0))=0), "-", IF(SUM(IF('CO-PO Mapping'!O$2,$AH77*$AB$29,0),IF('CO-PO Mapping'!O$3,$AI77*$AC$29,0),IF('CO-PO Mapping'!O$4,$AJ77*$AD$29,0),IF('CO-PO Mapping'!O$5,$AK77*$AE$29,0),IF('CO-PO Mapping'!O$6,$AL77*$AF$29,0),IF('CO-PO Mapping'!O$7,$AM77*$AG$29,0))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7" s="95" t="str">
        <f>IF('CO-PO Mapping'!P$2, IF(OR($AN77="-",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IF(OR($AP77="-", SUM( IF('CO-PO Mapping'!P$2,$AB$29,0), IF('CO-PO Mapping'!P$3,$AC$29,0), IF('CO-PO Mapping'!P$4,$AD$29,0), IF('CO-PO Mapping'!P$5,$AE$29,0), IF('CO-PO Mapping'!P$6,$AF$29,0), IF('CO-PO Mapping'!P$7,$AG$29,0) )=0), "-", IF( SUM( IF('CO-PO Mapping'!P$2,$AH77*$AB$29,0), IF('CO-PO Mapping'!P$3,$AI77*$AC$29,0), IF('CO-PO Mapping'!P$4,$AJ77*$AD$29,0), IF('CO-PO Mapping'!P$5,$AK77*$AE$29,0), IF('CO-PO Mapping'!P$6,$AL77*$AF$29,0), IF('CO-PO Mapping'!P$7,$AM77*$AG$29,0)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IF('CO-PO Mapping'!P$6, IF(OR($AR77="-",SUM(IF('CO-PO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IF('CO-PO Mapping'!P$7, IF(OR($AS77="-",SUM(IF('CO-PO Mapping'!P$2,$AB$29,0),IF('CO-PO Mapping'!P$3,$AC$29,0),IF('CO-PO Mapping'!P$4,$AD$29,0),IF('CO-PO Mapping'!P$5,$AE$29,0),IF('CO-PO Mapping'!P$6,$AF$29,0),IF('CO-PO Mapping'!P$7,$AG$29,0))=0), "-", IF(SUM(IF('CO-PO Mapping'!P$2,$AH77*$AB$29,0),IF('CO-PO Mapping'!P$3,$AI77*$AC$29,0),IF('CO-PO Mapping'!P$4,$AJ77*$AD$29,0),IF('CO-PO Mapping'!P$5,$AK77*$AE$29,0),IF('CO-PO Mapping'!P$6,$AL77*$AF$29,0),IF('CO-PO Mapping'!P$7,$AM77*$AG$29,0))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7" s="95" t="str">
        <f>IF('CO-PO Mapping'!Q$2, IF(OR($AN77="-",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IF(OR($AP77="-", SUM( IF('CO-PO Mapping'!Q$2,$AB$29,0), IF('CO-PO Mapping'!Q$3,$AC$29,0), IF('CO-PO Mapping'!Q$4,$AD$29,0), IF('CO-PO Mapping'!Q$5,$AE$29,0), IF('CO-PO Mapping'!Q$6,$AF$29,0), IF('CO-PO Mapping'!Q$7,$AG$29,0) )=0), "-", IF( SUM( IF('CO-PO Mapping'!Q$2,$AH77*$AB$29,0), IF('CO-PO Mapping'!Q$3,$AI77*$AC$29,0), IF('CO-PO Mapping'!Q$4,$AJ77*$AD$29,0), IF('CO-PO Mapping'!Q$5,$AK77*$AE$29,0), IF('CO-PO Mapping'!Q$6,$AL77*$AF$29,0), IF('CO-PO Mapping'!Q$7,$AM77*$AG$29,0)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IF('CO-PO Mapping'!Q$6, IF(OR($AR77="-",SUM(IF('CO-PO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IF('CO-PO Mapping'!Q$7, IF(OR($AS77="-",SUM(IF('CO-PO Mapping'!Q$2,$AB$29,0),IF('CO-PO Mapping'!Q$3,$AC$29,0),IF('CO-PO Mapping'!Q$4,$AD$29,0),IF('CO-PO Mapping'!Q$5,$AE$29,0),IF('CO-PO Mapping'!Q$6,$AF$29,0),IF('CO-PO Mapping'!Q$7,$AG$29,0))=0), "-", IF(SUM(IF('CO-PO Mapping'!Q$2,$AH77*$AB$29,0),IF('CO-PO Mapping'!Q$3,$AI77*$AC$29,0),IF('CO-PO Mapping'!Q$4,$AJ77*$AD$29,0),IF('CO-PO Mapping'!Q$5,$AK77*$AE$29,0),IF('CO-PO Mapping'!Q$6,$AL77*$AF$29,0),IF('CO-PO Mapping'!Q$7,$AM77*$AG$29,0))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7" s="95" t="str">
        <f>IF('CO-PO Mapping'!R$2, IF(OR($AN77="-",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IF(OR($AP77="-", SUM( IF('CO-PO Mapping'!R$2,$AB$29,0), IF('CO-PO Mapping'!R$3,$AC$29,0), IF('CO-PO Mapping'!R$4,$AD$29,0), IF('CO-PO Mapping'!R$5,$AE$29,0), IF('CO-PO Mapping'!R$6,$AF$29,0), IF('CO-PO Mapping'!R$7,$AG$29,0) )=0), "-", IF( SUM( IF('CO-PO Mapping'!R$2,$AH77*$AB$29,0), IF('CO-PO Mapping'!R$3,$AI77*$AC$29,0), IF('CO-PO Mapping'!R$4,$AJ77*$AD$29,0), IF('CO-PO Mapping'!R$5,$AK77*$AE$29,0), IF('CO-PO Mapping'!R$6,$AL77*$AF$29,0), IF('CO-PO Mapping'!R$7,$AM77*$AG$29,0)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IF('CO-PO Mapping'!R$6, IF(OR($AR77="-",SUM(IF('CO-PO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IF('CO-PO Mapping'!R$7, IF(OR($AS77="-",SUM(IF('CO-PO Mapping'!R$2,$AB$29,0),IF('CO-PO Mapping'!R$3,$AC$29,0),IF('CO-PO Mapping'!R$4,$AD$29,0),IF('CO-PO Mapping'!R$5,$AE$29,0),IF('CO-PO Mapping'!R$6,$AF$29,0),IF('CO-PO Mapping'!R$7,$AG$29,0))=0), "-", IF(SUM(IF('CO-PO Mapping'!R$2,$AH77*$AB$29,0),IF('CO-PO Mapping'!R$3,$AI77*$AC$29,0),IF('CO-PO Mapping'!R$4,$AJ77*$AD$29,0),IF('CO-PO Mapping'!R$5,$AK77*$AE$29,0),IF('CO-PO Mapping'!R$6,$AL77*$AF$29,0),IF('CO-PO Mapping'!R$7,$AM77*$AG$29,0))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7" s="95" t="str">
        <f>IF('CO-PO Mapping'!S$2, IF(OR($AN77="-",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IF(OR($AP77="-", SUM( IF('CO-PO Mapping'!S$2,$AB$29,0), IF('CO-PO Mapping'!S$3,$AC$29,0), IF('CO-PO Mapping'!S$4,$AD$29,0), IF('CO-PO Mapping'!S$5,$AE$29,0), IF('CO-PO Mapping'!S$6,$AF$29,0), IF('CO-PO Mapping'!S$7,$AG$29,0) )=0), "-", IF( SUM( IF('CO-PO Mapping'!S$2,$AH77*$AB$29,0), IF('CO-PO Mapping'!S$3,$AI77*$AC$29,0), IF('CO-PO Mapping'!S$4,$AJ77*$AD$29,0), IF('CO-PO Mapping'!S$5,$AK77*$AE$29,0), IF('CO-PO Mapping'!S$6,$AL77*$AF$29,0), IF('CO-PO Mapping'!S$7,$AM77*$AG$29,0)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IF('CO-PO Mapping'!S$6, IF(OR($AR77="-",SUM(IF('CO-PO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IF('CO-PO Mapping'!S$7, IF(OR($AS77="-",SUM(IF('CO-PO Mapping'!S$2,$AB$29,0),IF('CO-PO Mapping'!S$3,$AC$29,0),IF('CO-PO Mapping'!S$4,$AD$29,0),IF('CO-PO Mapping'!S$5,$AE$29,0),IF('CO-PO Mapping'!S$6,$AF$29,0),IF('CO-PO Mapping'!S$7,$AG$29,0))=0), "-", IF(SUM(IF('CO-PO Mapping'!S$2,$AH77*$AB$29,0),IF('CO-PO Mapping'!S$3,$AI77*$AC$29,0),IF('CO-PO Mapping'!S$4,$AJ77*$AD$29,0),IF('CO-PO Mapping'!S$5,$AK77*$AE$29,0),IF('CO-PO Mapping'!S$6,$AL77*$AF$29,0),IF('CO-PO Mapping'!S$7,$AM77*$AG$29,0))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7" s="95" t="str">
        <f>IF('CO-PO Mapping'!T$2, IF(OR($AN77="-",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IF(OR($AP77="-", SUM( IF('CO-PO Mapping'!T$2,$AB$29,0), IF('CO-PO Mapping'!T$3,$AC$29,0), IF('CO-PO Mapping'!T$4,$AD$29,0), IF('CO-PO Mapping'!T$5,$AE$29,0), IF('CO-PO Mapping'!T$6,$AF$29,0), IF('CO-PO Mapping'!T$7,$AG$29,0) )=0), "-", IF( SUM( IF('CO-PO Mapping'!T$2,$AH77*$AB$29,0), IF('CO-PO Mapping'!T$3,$AI77*$AC$29,0), IF('CO-PO Mapping'!T$4,$AJ77*$AD$29,0), IF('CO-PO Mapping'!T$5,$AK77*$AE$29,0), IF('CO-PO Mapping'!T$6,$AL77*$AF$29,0), IF('CO-PO Mapping'!T$7,$AM77*$AG$29,0)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IF('CO-PO Mapping'!T$6, IF(OR($AR77="-",SUM(IF('CO-PO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IF('CO-PO Mapping'!T$7, IF(OR($AS77="-",SUM(IF('CO-PO Mapping'!T$2,$AB$29,0),IF('CO-PO Mapping'!T$3,$AC$29,0),IF('CO-PO Mapping'!T$4,$AD$29,0),IF('CO-PO Mapping'!T$5,$AE$29,0),IF('CO-PO Mapping'!T$6,$AF$29,0),IF('CO-PO Mapping'!T$7,$AG$29,0))=0), "-", IF(SUM(IF('CO-PO Mapping'!T$2,$AH77*$AB$29,0),IF('CO-PO Mapping'!T$3,$AI77*$AC$29,0),IF('CO-PO Mapping'!T$4,$AJ77*$AD$29,0),IF('CO-PO Mapping'!T$5,$AK77*$AE$29,0),IF('CO-PO Mapping'!T$6,$AL77*$AF$29,0),IF('CO-PO Mapping'!T$7,$AM77*$AG$29,0))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7" s="95" t="str">
        <f>IF('CO-PO Mapping'!U$2, IF(OR($AN77="-",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IF(OR($AP77="-", SUM( IF('CO-PO Mapping'!U$2,$AB$29,0), IF('CO-PO Mapping'!U$3,$AC$29,0), IF('CO-PO Mapping'!U$4,$AD$29,0), IF('CO-PO Mapping'!U$5,$AE$29,0), IF('CO-PO Mapping'!U$6,$AF$29,0), IF('CO-PO Mapping'!U$7,$AG$29,0) )=0), "-", IF( SUM( IF('CO-PO Mapping'!U$2,$AH77*$AB$29,0), IF('CO-PO Mapping'!U$3,$AI77*$AC$29,0), IF('CO-PO Mapping'!U$4,$AJ77*$AD$29,0), IF('CO-PO Mapping'!U$5,$AK77*$AE$29,0), IF('CO-PO Mapping'!U$6,$AL77*$AF$29,0), IF('CO-PO Mapping'!U$7,$AM77*$AG$29,0)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IF('CO-PO Mapping'!U$6, IF(OR($AR77="-",SUM(IF('CO-PO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IF('CO-PO Mapping'!U$7, IF(OR($AS77="-",SUM(IF('CO-PO Mapping'!U$2,$AB$29,0),IF('CO-PO Mapping'!U$3,$AC$29,0),IF('CO-PO Mapping'!U$4,$AD$29,0),IF('CO-PO Mapping'!U$5,$AE$29,0),IF('CO-PO Mapping'!U$6,$AF$29,0),IF('CO-PO Mapping'!U$7,$AG$29,0))=0), "-", IF(SUM(IF('CO-PO Mapping'!U$2,$AH77*$AB$29,0),IF('CO-PO Mapping'!U$3,$AI77*$AC$29,0),IF('CO-PO Mapping'!U$4,$AJ77*$AD$29,0),IF('CO-PO Mapping'!U$5,$AK77*$AE$29,0),IF('CO-PO Mapping'!U$6,$AL77*$AF$29,0),IF('CO-PO Mapping'!U$7,$AM77*$AG$29,0))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7" s="95" t="str">
        <f>IF('CO-PO Mapping'!V$2, IF(OR($AN77="-",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IF(OR($AP77="-", SUM( IF('CO-PO Mapping'!V$2,$AB$29,0), IF('CO-PO Mapping'!V$3,$AC$29,0), IF('CO-PO Mapping'!V$4,$AD$29,0), IF('CO-PO Mapping'!V$5,$AE$29,0), IF('CO-PO Mapping'!V$6,$AF$29,0), IF('CO-PO Mapping'!V$7,$AG$29,0) )=0), "-", IF( SUM( IF('CO-PO Mapping'!V$2,$AH77*$AB$29,0), IF('CO-PO Mapping'!V$3,$AI77*$AC$29,0), IF('CO-PO Mapping'!V$4,$AJ77*$AD$29,0), IF('CO-PO Mapping'!V$5,$AK77*$AE$29,0), IF('CO-PO Mapping'!V$6,$AL77*$AF$29,0), IF('CO-PO Mapping'!V$7,$AM77*$AG$29,0)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IF('CO-PO Mapping'!V$6, IF(OR($AR77="-",SUM(IF('CO-PO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IF('CO-PO Mapping'!V$7, IF(OR($AS77="-",SUM(IF('CO-PO Mapping'!V$2,$AB$29,0),IF('CO-PO Mapping'!V$3,$AC$29,0),IF('CO-PO Mapping'!V$4,$AD$29,0),IF('CO-PO Mapping'!V$5,$AE$29,0),IF('CO-PO Mapping'!V$6,$AF$29,0),IF('CO-PO Mapping'!V$7,$AG$29,0))=0), "-", IF(SUM(IF('CO-PO Mapping'!V$2,$AH77*$AB$29,0),IF('CO-PO Mapping'!V$3,$AI77*$AC$29,0),IF('CO-PO Mapping'!V$4,$AJ77*$AD$29,0),IF('CO-PO Mapping'!V$5,$AK77*$AE$29,0),IF('CO-PO Mapping'!V$6,$AL77*$AF$29,0),IF('CO-PO Mapping'!V$7,$AM77*$AG$29,0))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7" s="95" t="str">
        <f>IF('CO-PO Mapping'!W$2, IF(OR($AN77="-",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IF(OR($AP77="-", SUM( IF('CO-PO Mapping'!W$2,$AB$29,0), IF('CO-PO Mapping'!W$3,$AC$29,0), IF('CO-PO Mapping'!W$4,$AD$29,0), IF('CO-PO Mapping'!W$5,$AE$29,0), IF('CO-PO Mapping'!W$6,$AF$29,0), IF('CO-PO Mapping'!W$7,$AG$29,0) )=0), "-", IF( SUM( IF('CO-PO Mapping'!W$2,$AH77*$AB$29,0), IF('CO-PO Mapping'!W$3,$AI77*$AC$29,0), IF('CO-PO Mapping'!W$4,$AJ77*$AD$29,0), IF('CO-PO Mapping'!W$5,$AK77*$AE$29,0), IF('CO-PO Mapping'!W$6,$AL77*$AF$29,0), IF('CO-PO Mapping'!W$7,$AM77*$AG$29,0)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IF('CO-PO Mapping'!W$6, IF(OR($AR77="-",SUM(IF('CO-PO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IF('CO-PO Mapping'!W$7, IF(OR($AS77="-",SUM(IF('CO-PO Mapping'!W$2,$AB$29,0),IF('CO-PO Mapping'!W$3,$AC$29,0),IF('CO-PO Mapping'!W$4,$AD$29,0),IF('CO-PO Mapping'!W$5,$AE$29,0),IF('CO-PO Mapping'!W$6,$AF$29,0),IF('CO-PO Mapping'!W$7,$AG$29,0))=0), "-", IF(SUM(IF('CO-PO Mapping'!W$2,$AH77*$AB$29,0),IF('CO-PO Mapping'!W$3,$AI77*$AC$29,0),IF('CO-PO Mapping'!W$4,$AJ77*$AD$29,0),IF('CO-PO Mapping'!W$5,$AK77*$AE$29,0),IF('CO-PO Mapping'!W$6,$AL77*$AF$29,0),IF('CO-PO Mapping'!W$7,$AM77*$AG$29,0))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7" s="95" t="str">
        <f>IF('CO-PO Mapping'!X$2, IF(OR($AN77="-",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IF(OR($AP77="-", SUM( IF('CO-PO Mapping'!X$2,$AB$29,0), IF('CO-PO Mapping'!X$3,$AC$29,0), IF('CO-PO Mapping'!X$4,$AD$29,0), IF('CO-PO Mapping'!X$5,$AE$29,0), IF('CO-PO Mapping'!X$6,$AF$29,0), IF('CO-PO Mapping'!X$7,$AG$29,0) )=0), "-", IF( SUM( IF('CO-PO Mapping'!X$2,$AH77*$AB$29,0), IF('CO-PO Mapping'!X$3,$AI77*$AC$29,0), IF('CO-PO Mapping'!X$4,$AJ77*$AD$29,0), IF('CO-PO Mapping'!X$5,$AK77*$AE$29,0), IF('CO-PO Mapping'!X$6,$AL77*$AF$29,0), IF('CO-PO Mapping'!X$7,$AM77*$AG$29,0)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IF('CO-PO Mapping'!X$6, IF(OR($AR77="-",SUM(IF('CO-PO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IF('CO-PO Mapping'!X$7, IF(OR($AS77="-",SUM(IF('CO-PO Mapping'!X$2,$AB$29,0),IF('CO-PO Mapping'!X$3,$AC$29,0),IF('CO-PO Mapping'!X$4,$AD$29,0),IF('CO-PO Mapping'!X$5,$AE$29,0),IF('CO-PO Mapping'!X$6,$AF$29,0),IF('CO-PO Mapping'!X$7,$AG$29,0))=0), "-", IF(SUM(IF('CO-PO Mapping'!X$2,$AH77*$AB$29,0),IF('CO-PO Mapping'!X$3,$AI77*$AC$29,0),IF('CO-PO Mapping'!X$4,$AJ77*$AD$29,0),IF('CO-PO Mapping'!X$5,$AK77*$AE$29,0),IF('CO-PO Mapping'!X$6,$AL77*$AF$29,0),IF('CO-PO Mapping'!X$7,$AM77*$AG$29,0))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7" s="95" t="str">
        <f>IF('CO-PO Mapping'!Y$2, IF(OR($AN77="-",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IF(OR($AP77="-", SUM( IF('CO-PO Mapping'!Y$2,$AB$29,0), IF('CO-PO Mapping'!Y$3,$AC$29,0), IF('CO-PO Mapping'!Y$4,$AD$29,0), IF('CO-PO Mapping'!Y$5,$AE$29,0), IF('CO-PO Mapping'!Y$6,$AF$29,0), IF('CO-PO Mapping'!Y$7,$AG$29,0) )=0), "-", IF( SUM( IF('CO-PO Mapping'!Y$2,$AH77*$AB$29,0), IF('CO-PO Mapping'!Y$3,$AI77*$AC$29,0), IF('CO-PO Mapping'!Y$4,$AJ77*$AD$29,0), IF('CO-PO Mapping'!Y$5,$AK77*$AE$29,0), IF('CO-PO Mapping'!Y$6,$AL77*$AF$29,0), IF('CO-PO Mapping'!Y$7,$AM77*$AG$29,0)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IF('CO-PO Mapping'!Y$6, IF(OR($AR77="-",SUM(IF('CO-PO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IF('CO-PO Mapping'!Y$7, IF(OR($AS77="-",SUM(IF('CO-PO Mapping'!Y$2,$AB$29,0),IF('CO-PO Mapping'!Y$3,$AC$29,0),IF('CO-PO Mapping'!Y$4,$AD$29,0),IF('CO-PO Mapping'!Y$5,$AE$29,0),IF('CO-PO Mapping'!Y$6,$AF$29,0),IF('CO-PO Mapping'!Y$7,$AG$29,0))=0), "-", IF(SUM(IF('CO-PO Mapping'!Y$2,$AH77*$AB$29,0),IF('CO-PO Mapping'!Y$3,$AI77*$AC$29,0),IF('CO-PO Mapping'!Y$4,$AJ77*$AD$29,0),IF('CO-PO Mapping'!Y$5,$AK77*$AE$29,0),IF('CO-PO Mapping'!Y$6,$AL77*$AF$29,0),IF('CO-PO Mapping'!Y$7,$AM77*$AG$29,0))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7" s="95" t="str">
        <f>IF('CO-PO Mapping'!Z$2, IF(OR($AN77="-",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IF(OR($AP77="-", SUM( IF('CO-PO Mapping'!Z$2,$AB$29,0), IF('CO-PO Mapping'!Z$3,$AC$29,0), IF('CO-PO Mapping'!Z$4,$AD$29,0), IF('CO-PO Mapping'!Z$5,$AE$29,0), IF('CO-PO Mapping'!Z$6,$AF$29,0), IF('CO-PO Mapping'!Z$7,$AG$29,0) )=0), "-", IF( SUM( IF('CO-PO Mapping'!Z$2,$AH77*$AB$29,0), IF('CO-PO Mapping'!Z$3,$AI77*$AC$29,0), IF('CO-PO Mapping'!Z$4,$AJ77*$AD$29,0), IF('CO-PO Mapping'!Z$5,$AK77*$AE$29,0), IF('CO-PO Mapping'!Z$6,$AL77*$AF$29,0), IF('CO-PO Mapping'!Z$7,$AM77*$AG$29,0)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IF('CO-PO Mapping'!Z$6, IF(OR($AR77="-",SUM(IF('CO-PO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IF('CO-PO Mapping'!Z$7, IF(OR($AS77="-",SUM(IF('CO-PO Mapping'!Z$2,$AB$29,0),IF('CO-PO Mapping'!Z$3,$AC$29,0),IF('CO-PO Mapping'!Z$4,$AD$29,0),IF('CO-PO Mapping'!Z$5,$AE$29,0),IF('CO-PO Mapping'!Z$6,$AF$29,0),IF('CO-PO Mapping'!Z$7,$AG$29,0))=0), "-", IF(SUM(IF('CO-PO Mapping'!Z$2,$AH77*$AB$29,0),IF('CO-PO Mapping'!Z$3,$AI77*$AC$29,0),IF('CO-PO Mapping'!Z$4,$AJ77*$AD$29,0),IF('CO-PO Mapping'!Z$5,$AK77*$AE$29,0),IF('CO-PO Mapping'!Z$6,$AL77*$AF$29,0),IF('CO-PO Mapping'!Z$7,$AM77*$AG$29,0))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8" spans="1:57" ht="15" customHeight="1">
      <c r="A78" s="87"/>
      <c r="B78" s="84"/>
      <c r="C78" s="74"/>
      <c r="D78" s="74"/>
      <c r="E78" s="75"/>
      <c r="F78" s="75"/>
      <c r="G78" s="75"/>
      <c r="H78" s="103" t="str">
        <f t="shared" si="29"/>
        <v>-</v>
      </c>
      <c r="I78" s="75"/>
      <c r="J78" s="75"/>
      <c r="K78" s="75"/>
      <c r="L78" s="75"/>
      <c r="M78" s="75"/>
      <c r="N78" s="75"/>
      <c r="O78" s="105" t="str">
        <f t="shared" si="30"/>
        <v>-</v>
      </c>
      <c r="P78" s="75"/>
      <c r="Q78" s="75"/>
      <c r="R78" s="75"/>
      <c r="S78" s="75"/>
      <c r="T78" s="75"/>
      <c r="U78" s="75"/>
      <c r="V78" s="104" t="str">
        <f t="shared" si="31"/>
        <v>-</v>
      </c>
      <c r="W78" s="83" t="str">
        <f t="shared" si="28"/>
        <v>-</v>
      </c>
      <c r="X78" s="98" t="str">
        <f t="shared" si="32"/>
        <v>-</v>
      </c>
      <c r="Z78" s="42" t="str">
        <f t="shared" si="26"/>
        <v/>
      </c>
      <c r="AA78" s="43" t="str">
        <f t="shared" si="27"/>
        <v/>
      </c>
      <c r="AB78" s="90">
        <f t="shared" si="11"/>
        <v>0</v>
      </c>
      <c r="AC78" s="90">
        <f t="shared" si="11"/>
        <v>0</v>
      </c>
      <c r="AD78" s="90">
        <f t="shared" si="11"/>
        <v>0</v>
      </c>
      <c r="AE78" s="90">
        <f t="shared" si="11"/>
        <v>0</v>
      </c>
      <c r="AF78" s="90">
        <f t="shared" si="11"/>
        <v>0</v>
      </c>
      <c r="AG78" s="90">
        <f t="shared" si="25"/>
        <v>0</v>
      </c>
      <c r="AH78" s="92">
        <f t="shared" si="12"/>
        <v>0</v>
      </c>
      <c r="AI78" s="92">
        <f t="shared" si="13"/>
        <v>0</v>
      </c>
      <c r="AJ78" s="92">
        <f t="shared" si="14"/>
        <v>0</v>
      </c>
      <c r="AK78" s="92">
        <f t="shared" si="22"/>
        <v>0</v>
      </c>
      <c r="AL78" s="92">
        <f t="shared" si="15"/>
        <v>0</v>
      </c>
      <c r="AM78" s="92">
        <f t="shared" si="16"/>
        <v>0</v>
      </c>
      <c r="AN78" s="93" t="str">
        <f t="shared" si="23"/>
        <v>-</v>
      </c>
      <c r="AO78" s="93" t="str">
        <f t="shared" si="17"/>
        <v>-</v>
      </c>
      <c r="AP78" s="93" t="str">
        <f t="shared" si="18"/>
        <v>-</v>
      </c>
      <c r="AQ78" s="93" t="str">
        <f t="shared" si="19"/>
        <v>-</v>
      </c>
      <c r="AR78" s="93" t="str">
        <f t="shared" si="20"/>
        <v>-</v>
      </c>
      <c r="AS78" s="93" t="str">
        <f t="shared" si="21"/>
        <v>-</v>
      </c>
      <c r="AT78" s="95" t="str">
        <f>IF('CO-PO Mapping'!O$2, IF(OR($AN78="-",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IF(OR($AP78="-", SUM( IF('CO-PO Mapping'!O$2,$AB$29,0), IF('CO-PO Mapping'!O$3,$AC$29,0), IF('CO-PO Mapping'!O$4,$AD$29,0), IF('CO-PO Mapping'!O$5,$AE$29,0), IF('CO-PO Mapping'!O$6,$AF$29,0), IF('CO-PO Mapping'!O$7,$AG$29,0) )=0), "-", IF( SUM( IF('CO-PO Mapping'!O$2,$AH78*$AB$29,0), IF('CO-PO Mapping'!O$3,$AI78*$AC$29,0), IF('CO-PO Mapping'!O$4,$AJ78*$AD$29,0), IF('CO-PO Mapping'!O$5,$AK78*$AE$29,0), IF('CO-PO Mapping'!O$6,$AL78*$AF$29,0), IF('CO-PO Mapping'!O$7,$AM78*$AG$29,0)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IF('CO-PO Mapping'!O$6, IF(OR($AR78="-",SUM(IF('CO-PO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IF('CO-PO Mapping'!O$7, IF(OR($AS78="-",SUM(IF('CO-PO Mapping'!O$2,$AB$29,0),IF('CO-PO Mapping'!O$3,$AC$29,0),IF('CO-PO Mapping'!O$4,$AD$29,0),IF('CO-PO Mapping'!O$5,$AE$29,0),IF('CO-PO Mapping'!O$6,$AF$29,0),IF('CO-PO Mapping'!O$7,$AG$29,0))=0), "-", IF(SUM(IF('CO-PO Mapping'!O$2,$AH78*$AB$29,0),IF('CO-PO Mapping'!O$3,$AI78*$AC$29,0),IF('CO-PO Mapping'!O$4,$AJ78*$AD$29,0),IF('CO-PO Mapping'!O$5,$AK78*$AE$29,0),IF('CO-PO Mapping'!O$6,$AL78*$AF$29,0),IF('CO-PO Mapping'!O$7,$AM78*$AG$29,0))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8" s="95" t="str">
        <f>IF('CO-PO Mapping'!P$2, IF(OR($AN78="-",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IF(OR($AP78="-", SUM( IF('CO-PO Mapping'!P$2,$AB$29,0), IF('CO-PO Mapping'!P$3,$AC$29,0), IF('CO-PO Mapping'!P$4,$AD$29,0), IF('CO-PO Mapping'!P$5,$AE$29,0), IF('CO-PO Mapping'!P$6,$AF$29,0), IF('CO-PO Mapping'!P$7,$AG$29,0) )=0), "-", IF( SUM( IF('CO-PO Mapping'!P$2,$AH78*$AB$29,0), IF('CO-PO Mapping'!P$3,$AI78*$AC$29,0), IF('CO-PO Mapping'!P$4,$AJ78*$AD$29,0), IF('CO-PO Mapping'!P$5,$AK78*$AE$29,0), IF('CO-PO Mapping'!P$6,$AL78*$AF$29,0), IF('CO-PO Mapping'!P$7,$AM78*$AG$29,0)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IF('CO-PO Mapping'!P$6, IF(OR($AR78="-",SUM(IF('CO-PO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IF('CO-PO Mapping'!P$7, IF(OR($AS78="-",SUM(IF('CO-PO Mapping'!P$2,$AB$29,0),IF('CO-PO Mapping'!P$3,$AC$29,0),IF('CO-PO Mapping'!P$4,$AD$29,0),IF('CO-PO Mapping'!P$5,$AE$29,0),IF('CO-PO Mapping'!P$6,$AF$29,0),IF('CO-PO Mapping'!P$7,$AG$29,0))=0), "-", IF(SUM(IF('CO-PO Mapping'!P$2,$AH78*$AB$29,0),IF('CO-PO Mapping'!P$3,$AI78*$AC$29,0),IF('CO-PO Mapping'!P$4,$AJ78*$AD$29,0),IF('CO-PO Mapping'!P$5,$AK78*$AE$29,0),IF('CO-PO Mapping'!P$6,$AL78*$AF$29,0),IF('CO-PO Mapping'!P$7,$AM78*$AG$29,0))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8" s="95" t="str">
        <f>IF('CO-PO Mapping'!Q$2, IF(OR($AN78="-",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IF(OR($AP78="-", SUM( IF('CO-PO Mapping'!Q$2,$AB$29,0), IF('CO-PO Mapping'!Q$3,$AC$29,0), IF('CO-PO Mapping'!Q$4,$AD$29,0), IF('CO-PO Mapping'!Q$5,$AE$29,0), IF('CO-PO Mapping'!Q$6,$AF$29,0), IF('CO-PO Mapping'!Q$7,$AG$29,0) )=0), "-", IF( SUM( IF('CO-PO Mapping'!Q$2,$AH78*$AB$29,0), IF('CO-PO Mapping'!Q$3,$AI78*$AC$29,0), IF('CO-PO Mapping'!Q$4,$AJ78*$AD$29,0), IF('CO-PO Mapping'!Q$5,$AK78*$AE$29,0), IF('CO-PO Mapping'!Q$6,$AL78*$AF$29,0), IF('CO-PO Mapping'!Q$7,$AM78*$AG$29,0)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IF('CO-PO Mapping'!Q$6, IF(OR($AR78="-",SUM(IF('CO-PO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IF('CO-PO Mapping'!Q$7, IF(OR($AS78="-",SUM(IF('CO-PO Mapping'!Q$2,$AB$29,0),IF('CO-PO Mapping'!Q$3,$AC$29,0),IF('CO-PO Mapping'!Q$4,$AD$29,0),IF('CO-PO Mapping'!Q$5,$AE$29,0),IF('CO-PO Mapping'!Q$6,$AF$29,0),IF('CO-PO Mapping'!Q$7,$AG$29,0))=0), "-", IF(SUM(IF('CO-PO Mapping'!Q$2,$AH78*$AB$29,0),IF('CO-PO Mapping'!Q$3,$AI78*$AC$29,0),IF('CO-PO Mapping'!Q$4,$AJ78*$AD$29,0),IF('CO-PO Mapping'!Q$5,$AK78*$AE$29,0),IF('CO-PO Mapping'!Q$6,$AL78*$AF$29,0),IF('CO-PO Mapping'!Q$7,$AM78*$AG$29,0))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8" s="95" t="str">
        <f>IF('CO-PO Mapping'!R$2, IF(OR($AN78="-",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IF(OR($AP78="-", SUM( IF('CO-PO Mapping'!R$2,$AB$29,0), IF('CO-PO Mapping'!R$3,$AC$29,0), IF('CO-PO Mapping'!R$4,$AD$29,0), IF('CO-PO Mapping'!R$5,$AE$29,0), IF('CO-PO Mapping'!R$6,$AF$29,0), IF('CO-PO Mapping'!R$7,$AG$29,0) )=0), "-", IF( SUM( IF('CO-PO Mapping'!R$2,$AH78*$AB$29,0), IF('CO-PO Mapping'!R$3,$AI78*$AC$29,0), IF('CO-PO Mapping'!R$4,$AJ78*$AD$29,0), IF('CO-PO Mapping'!R$5,$AK78*$AE$29,0), IF('CO-PO Mapping'!R$6,$AL78*$AF$29,0), IF('CO-PO Mapping'!R$7,$AM78*$AG$29,0)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IF('CO-PO Mapping'!R$6, IF(OR($AR78="-",SUM(IF('CO-PO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IF('CO-PO Mapping'!R$7, IF(OR($AS78="-",SUM(IF('CO-PO Mapping'!R$2,$AB$29,0),IF('CO-PO Mapping'!R$3,$AC$29,0),IF('CO-PO Mapping'!R$4,$AD$29,0),IF('CO-PO Mapping'!R$5,$AE$29,0),IF('CO-PO Mapping'!R$6,$AF$29,0),IF('CO-PO Mapping'!R$7,$AG$29,0))=0), "-", IF(SUM(IF('CO-PO Mapping'!R$2,$AH78*$AB$29,0),IF('CO-PO Mapping'!R$3,$AI78*$AC$29,0),IF('CO-PO Mapping'!R$4,$AJ78*$AD$29,0),IF('CO-PO Mapping'!R$5,$AK78*$AE$29,0),IF('CO-PO Mapping'!R$6,$AL78*$AF$29,0),IF('CO-PO Mapping'!R$7,$AM78*$AG$29,0))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8" s="95" t="str">
        <f>IF('CO-PO Mapping'!S$2, IF(OR($AN78="-",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IF(OR($AP78="-", SUM( IF('CO-PO Mapping'!S$2,$AB$29,0), IF('CO-PO Mapping'!S$3,$AC$29,0), IF('CO-PO Mapping'!S$4,$AD$29,0), IF('CO-PO Mapping'!S$5,$AE$29,0), IF('CO-PO Mapping'!S$6,$AF$29,0), IF('CO-PO Mapping'!S$7,$AG$29,0) )=0), "-", IF( SUM( IF('CO-PO Mapping'!S$2,$AH78*$AB$29,0), IF('CO-PO Mapping'!S$3,$AI78*$AC$29,0), IF('CO-PO Mapping'!S$4,$AJ78*$AD$29,0), IF('CO-PO Mapping'!S$5,$AK78*$AE$29,0), IF('CO-PO Mapping'!S$6,$AL78*$AF$29,0), IF('CO-PO Mapping'!S$7,$AM78*$AG$29,0)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IF('CO-PO Mapping'!S$6, IF(OR($AR78="-",SUM(IF('CO-PO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IF('CO-PO Mapping'!S$7, IF(OR($AS78="-",SUM(IF('CO-PO Mapping'!S$2,$AB$29,0),IF('CO-PO Mapping'!S$3,$AC$29,0),IF('CO-PO Mapping'!S$4,$AD$29,0),IF('CO-PO Mapping'!S$5,$AE$29,0),IF('CO-PO Mapping'!S$6,$AF$29,0),IF('CO-PO Mapping'!S$7,$AG$29,0))=0), "-", IF(SUM(IF('CO-PO Mapping'!S$2,$AH78*$AB$29,0),IF('CO-PO Mapping'!S$3,$AI78*$AC$29,0),IF('CO-PO Mapping'!S$4,$AJ78*$AD$29,0),IF('CO-PO Mapping'!S$5,$AK78*$AE$29,0),IF('CO-PO Mapping'!S$6,$AL78*$AF$29,0),IF('CO-PO Mapping'!S$7,$AM78*$AG$29,0))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8" s="95" t="str">
        <f>IF('CO-PO Mapping'!T$2, IF(OR($AN78="-",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IF(OR($AP78="-", SUM( IF('CO-PO Mapping'!T$2,$AB$29,0), IF('CO-PO Mapping'!T$3,$AC$29,0), IF('CO-PO Mapping'!T$4,$AD$29,0), IF('CO-PO Mapping'!T$5,$AE$29,0), IF('CO-PO Mapping'!T$6,$AF$29,0), IF('CO-PO Mapping'!T$7,$AG$29,0) )=0), "-", IF( SUM( IF('CO-PO Mapping'!T$2,$AH78*$AB$29,0), IF('CO-PO Mapping'!T$3,$AI78*$AC$29,0), IF('CO-PO Mapping'!T$4,$AJ78*$AD$29,0), IF('CO-PO Mapping'!T$5,$AK78*$AE$29,0), IF('CO-PO Mapping'!T$6,$AL78*$AF$29,0), IF('CO-PO Mapping'!T$7,$AM78*$AG$29,0)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IF('CO-PO Mapping'!T$6, IF(OR($AR78="-",SUM(IF('CO-PO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IF('CO-PO Mapping'!T$7, IF(OR($AS78="-",SUM(IF('CO-PO Mapping'!T$2,$AB$29,0),IF('CO-PO Mapping'!T$3,$AC$29,0),IF('CO-PO Mapping'!T$4,$AD$29,0),IF('CO-PO Mapping'!T$5,$AE$29,0),IF('CO-PO Mapping'!T$6,$AF$29,0),IF('CO-PO Mapping'!T$7,$AG$29,0))=0), "-", IF(SUM(IF('CO-PO Mapping'!T$2,$AH78*$AB$29,0),IF('CO-PO Mapping'!T$3,$AI78*$AC$29,0),IF('CO-PO Mapping'!T$4,$AJ78*$AD$29,0),IF('CO-PO Mapping'!T$5,$AK78*$AE$29,0),IF('CO-PO Mapping'!T$6,$AL78*$AF$29,0),IF('CO-PO Mapping'!T$7,$AM78*$AG$29,0))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8" s="95" t="str">
        <f>IF('CO-PO Mapping'!U$2, IF(OR($AN78="-",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IF(OR($AP78="-", SUM( IF('CO-PO Mapping'!U$2,$AB$29,0), IF('CO-PO Mapping'!U$3,$AC$29,0), IF('CO-PO Mapping'!U$4,$AD$29,0), IF('CO-PO Mapping'!U$5,$AE$29,0), IF('CO-PO Mapping'!U$6,$AF$29,0), IF('CO-PO Mapping'!U$7,$AG$29,0) )=0), "-", IF( SUM( IF('CO-PO Mapping'!U$2,$AH78*$AB$29,0), IF('CO-PO Mapping'!U$3,$AI78*$AC$29,0), IF('CO-PO Mapping'!U$4,$AJ78*$AD$29,0), IF('CO-PO Mapping'!U$5,$AK78*$AE$29,0), IF('CO-PO Mapping'!U$6,$AL78*$AF$29,0), IF('CO-PO Mapping'!U$7,$AM78*$AG$29,0)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IF('CO-PO Mapping'!U$6, IF(OR($AR78="-",SUM(IF('CO-PO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IF('CO-PO Mapping'!U$7, IF(OR($AS78="-",SUM(IF('CO-PO Mapping'!U$2,$AB$29,0),IF('CO-PO Mapping'!U$3,$AC$29,0),IF('CO-PO Mapping'!U$4,$AD$29,0),IF('CO-PO Mapping'!U$5,$AE$29,0),IF('CO-PO Mapping'!U$6,$AF$29,0),IF('CO-PO Mapping'!U$7,$AG$29,0))=0), "-", IF(SUM(IF('CO-PO Mapping'!U$2,$AH78*$AB$29,0),IF('CO-PO Mapping'!U$3,$AI78*$AC$29,0),IF('CO-PO Mapping'!U$4,$AJ78*$AD$29,0),IF('CO-PO Mapping'!U$5,$AK78*$AE$29,0),IF('CO-PO Mapping'!U$6,$AL78*$AF$29,0),IF('CO-PO Mapping'!U$7,$AM78*$AG$29,0))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8" s="95" t="str">
        <f>IF('CO-PO Mapping'!V$2, IF(OR($AN78="-",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IF(OR($AP78="-", SUM( IF('CO-PO Mapping'!V$2,$AB$29,0), IF('CO-PO Mapping'!V$3,$AC$29,0), IF('CO-PO Mapping'!V$4,$AD$29,0), IF('CO-PO Mapping'!V$5,$AE$29,0), IF('CO-PO Mapping'!V$6,$AF$29,0), IF('CO-PO Mapping'!V$7,$AG$29,0) )=0), "-", IF( SUM( IF('CO-PO Mapping'!V$2,$AH78*$AB$29,0), IF('CO-PO Mapping'!V$3,$AI78*$AC$29,0), IF('CO-PO Mapping'!V$4,$AJ78*$AD$29,0), IF('CO-PO Mapping'!V$5,$AK78*$AE$29,0), IF('CO-PO Mapping'!V$6,$AL78*$AF$29,0), IF('CO-PO Mapping'!V$7,$AM78*$AG$29,0)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IF('CO-PO Mapping'!V$6, IF(OR($AR78="-",SUM(IF('CO-PO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IF('CO-PO Mapping'!V$7, IF(OR($AS78="-",SUM(IF('CO-PO Mapping'!V$2,$AB$29,0),IF('CO-PO Mapping'!V$3,$AC$29,0),IF('CO-PO Mapping'!V$4,$AD$29,0),IF('CO-PO Mapping'!V$5,$AE$29,0),IF('CO-PO Mapping'!V$6,$AF$29,0),IF('CO-PO Mapping'!V$7,$AG$29,0))=0), "-", IF(SUM(IF('CO-PO Mapping'!V$2,$AH78*$AB$29,0),IF('CO-PO Mapping'!V$3,$AI78*$AC$29,0),IF('CO-PO Mapping'!V$4,$AJ78*$AD$29,0),IF('CO-PO Mapping'!V$5,$AK78*$AE$29,0),IF('CO-PO Mapping'!V$6,$AL78*$AF$29,0),IF('CO-PO Mapping'!V$7,$AM78*$AG$29,0))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8" s="95" t="str">
        <f>IF('CO-PO Mapping'!W$2, IF(OR($AN78="-",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IF(OR($AP78="-", SUM( IF('CO-PO Mapping'!W$2,$AB$29,0), IF('CO-PO Mapping'!W$3,$AC$29,0), IF('CO-PO Mapping'!W$4,$AD$29,0), IF('CO-PO Mapping'!W$5,$AE$29,0), IF('CO-PO Mapping'!W$6,$AF$29,0), IF('CO-PO Mapping'!W$7,$AG$29,0) )=0), "-", IF( SUM( IF('CO-PO Mapping'!W$2,$AH78*$AB$29,0), IF('CO-PO Mapping'!W$3,$AI78*$AC$29,0), IF('CO-PO Mapping'!W$4,$AJ78*$AD$29,0), IF('CO-PO Mapping'!W$5,$AK78*$AE$29,0), IF('CO-PO Mapping'!W$6,$AL78*$AF$29,0), IF('CO-PO Mapping'!W$7,$AM78*$AG$29,0)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IF('CO-PO Mapping'!W$6, IF(OR($AR78="-",SUM(IF('CO-PO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IF('CO-PO Mapping'!W$7, IF(OR($AS78="-",SUM(IF('CO-PO Mapping'!W$2,$AB$29,0),IF('CO-PO Mapping'!W$3,$AC$29,0),IF('CO-PO Mapping'!W$4,$AD$29,0),IF('CO-PO Mapping'!W$5,$AE$29,0),IF('CO-PO Mapping'!W$6,$AF$29,0),IF('CO-PO Mapping'!W$7,$AG$29,0))=0), "-", IF(SUM(IF('CO-PO Mapping'!W$2,$AH78*$AB$29,0),IF('CO-PO Mapping'!W$3,$AI78*$AC$29,0),IF('CO-PO Mapping'!W$4,$AJ78*$AD$29,0),IF('CO-PO Mapping'!W$5,$AK78*$AE$29,0),IF('CO-PO Mapping'!W$6,$AL78*$AF$29,0),IF('CO-PO Mapping'!W$7,$AM78*$AG$29,0))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8" s="95" t="str">
        <f>IF('CO-PO Mapping'!X$2, IF(OR($AN78="-",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IF(OR($AP78="-", SUM( IF('CO-PO Mapping'!X$2,$AB$29,0), IF('CO-PO Mapping'!X$3,$AC$29,0), IF('CO-PO Mapping'!X$4,$AD$29,0), IF('CO-PO Mapping'!X$5,$AE$29,0), IF('CO-PO Mapping'!X$6,$AF$29,0), IF('CO-PO Mapping'!X$7,$AG$29,0) )=0), "-", IF( SUM( IF('CO-PO Mapping'!X$2,$AH78*$AB$29,0), IF('CO-PO Mapping'!X$3,$AI78*$AC$29,0), IF('CO-PO Mapping'!X$4,$AJ78*$AD$29,0), IF('CO-PO Mapping'!X$5,$AK78*$AE$29,0), IF('CO-PO Mapping'!X$6,$AL78*$AF$29,0), IF('CO-PO Mapping'!X$7,$AM78*$AG$29,0)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IF('CO-PO Mapping'!X$6, IF(OR($AR78="-",SUM(IF('CO-PO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IF('CO-PO Mapping'!X$7, IF(OR($AS78="-",SUM(IF('CO-PO Mapping'!X$2,$AB$29,0),IF('CO-PO Mapping'!X$3,$AC$29,0),IF('CO-PO Mapping'!X$4,$AD$29,0),IF('CO-PO Mapping'!X$5,$AE$29,0),IF('CO-PO Mapping'!X$6,$AF$29,0),IF('CO-PO Mapping'!X$7,$AG$29,0))=0), "-", IF(SUM(IF('CO-PO Mapping'!X$2,$AH78*$AB$29,0),IF('CO-PO Mapping'!X$3,$AI78*$AC$29,0),IF('CO-PO Mapping'!X$4,$AJ78*$AD$29,0),IF('CO-PO Mapping'!X$5,$AK78*$AE$29,0),IF('CO-PO Mapping'!X$6,$AL78*$AF$29,0),IF('CO-PO Mapping'!X$7,$AM78*$AG$29,0))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8" s="95" t="str">
        <f>IF('CO-PO Mapping'!Y$2, IF(OR($AN78="-",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IF(OR($AP78="-", SUM( IF('CO-PO Mapping'!Y$2,$AB$29,0), IF('CO-PO Mapping'!Y$3,$AC$29,0), IF('CO-PO Mapping'!Y$4,$AD$29,0), IF('CO-PO Mapping'!Y$5,$AE$29,0), IF('CO-PO Mapping'!Y$6,$AF$29,0), IF('CO-PO Mapping'!Y$7,$AG$29,0) )=0), "-", IF( SUM( IF('CO-PO Mapping'!Y$2,$AH78*$AB$29,0), IF('CO-PO Mapping'!Y$3,$AI78*$AC$29,0), IF('CO-PO Mapping'!Y$4,$AJ78*$AD$29,0), IF('CO-PO Mapping'!Y$5,$AK78*$AE$29,0), IF('CO-PO Mapping'!Y$6,$AL78*$AF$29,0), IF('CO-PO Mapping'!Y$7,$AM78*$AG$29,0)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IF('CO-PO Mapping'!Y$6, IF(OR($AR78="-",SUM(IF('CO-PO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IF('CO-PO Mapping'!Y$7, IF(OR($AS78="-",SUM(IF('CO-PO Mapping'!Y$2,$AB$29,0),IF('CO-PO Mapping'!Y$3,$AC$29,0),IF('CO-PO Mapping'!Y$4,$AD$29,0),IF('CO-PO Mapping'!Y$5,$AE$29,0),IF('CO-PO Mapping'!Y$6,$AF$29,0),IF('CO-PO Mapping'!Y$7,$AG$29,0))=0), "-", IF(SUM(IF('CO-PO Mapping'!Y$2,$AH78*$AB$29,0),IF('CO-PO Mapping'!Y$3,$AI78*$AC$29,0),IF('CO-PO Mapping'!Y$4,$AJ78*$AD$29,0),IF('CO-PO Mapping'!Y$5,$AK78*$AE$29,0),IF('CO-PO Mapping'!Y$6,$AL78*$AF$29,0),IF('CO-PO Mapping'!Y$7,$AM78*$AG$29,0))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8" s="95" t="str">
        <f>IF('CO-PO Mapping'!Z$2, IF(OR($AN78="-",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IF(OR($AP78="-", SUM( IF('CO-PO Mapping'!Z$2,$AB$29,0), IF('CO-PO Mapping'!Z$3,$AC$29,0), IF('CO-PO Mapping'!Z$4,$AD$29,0), IF('CO-PO Mapping'!Z$5,$AE$29,0), IF('CO-PO Mapping'!Z$6,$AF$29,0), IF('CO-PO Mapping'!Z$7,$AG$29,0) )=0), "-", IF( SUM( IF('CO-PO Mapping'!Z$2,$AH78*$AB$29,0), IF('CO-PO Mapping'!Z$3,$AI78*$AC$29,0), IF('CO-PO Mapping'!Z$4,$AJ78*$AD$29,0), IF('CO-PO Mapping'!Z$5,$AK78*$AE$29,0), IF('CO-PO Mapping'!Z$6,$AL78*$AF$29,0), IF('CO-PO Mapping'!Z$7,$AM78*$AG$29,0)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IF('CO-PO Mapping'!Z$6, IF(OR($AR78="-",SUM(IF('CO-PO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IF('CO-PO Mapping'!Z$7, IF(OR($AS78="-",SUM(IF('CO-PO Mapping'!Z$2,$AB$29,0),IF('CO-PO Mapping'!Z$3,$AC$29,0),IF('CO-PO Mapping'!Z$4,$AD$29,0),IF('CO-PO Mapping'!Z$5,$AE$29,0),IF('CO-PO Mapping'!Z$6,$AF$29,0),IF('CO-PO Mapping'!Z$7,$AG$29,0))=0), "-", IF(SUM(IF('CO-PO Mapping'!Z$2,$AH78*$AB$29,0),IF('CO-PO Mapping'!Z$3,$AI78*$AC$29,0),IF('CO-PO Mapping'!Z$4,$AJ78*$AD$29,0),IF('CO-PO Mapping'!Z$5,$AK78*$AE$29,0),IF('CO-PO Mapping'!Z$6,$AL78*$AF$29,0),IF('CO-PO Mapping'!Z$7,$AM78*$AG$29,0))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79" spans="1:57" ht="15" customHeight="1">
      <c r="A79" s="87"/>
      <c r="B79" s="84"/>
      <c r="C79" s="74"/>
      <c r="D79" s="74"/>
      <c r="E79" s="75"/>
      <c r="F79" s="75"/>
      <c r="G79" s="75"/>
      <c r="H79" s="103" t="str">
        <f t="shared" si="29"/>
        <v>-</v>
      </c>
      <c r="I79" s="75"/>
      <c r="J79" s="75"/>
      <c r="K79" s="75"/>
      <c r="L79" s="75"/>
      <c r="M79" s="75"/>
      <c r="N79" s="75"/>
      <c r="O79" s="105" t="str">
        <f t="shared" si="30"/>
        <v>-</v>
      </c>
      <c r="P79" s="75"/>
      <c r="Q79" s="75"/>
      <c r="R79" s="75"/>
      <c r="S79" s="75"/>
      <c r="T79" s="75"/>
      <c r="U79" s="75"/>
      <c r="V79" s="104" t="str">
        <f t="shared" si="31"/>
        <v>-</v>
      </c>
      <c r="W79" s="83" t="str">
        <f t="shared" si="28"/>
        <v>-</v>
      </c>
      <c r="X79" s="98" t="str">
        <f t="shared" si="32"/>
        <v>-</v>
      </c>
      <c r="Z79" s="42" t="str">
        <f t="shared" si="26"/>
        <v/>
      </c>
      <c r="AA79" s="43" t="str">
        <f t="shared" si="27"/>
        <v/>
      </c>
      <c r="AB79" s="90">
        <f t="shared" si="11"/>
        <v>0</v>
      </c>
      <c r="AC79" s="90">
        <f t="shared" si="11"/>
        <v>0</v>
      </c>
      <c r="AD79" s="90">
        <f t="shared" si="11"/>
        <v>0</v>
      </c>
      <c r="AE79" s="90">
        <f t="shared" si="11"/>
        <v>0</v>
      </c>
      <c r="AF79" s="90">
        <f t="shared" si="11"/>
        <v>0</v>
      </c>
      <c r="AG79" s="90">
        <f t="shared" si="25"/>
        <v>0</v>
      </c>
      <c r="AH79" s="92">
        <f t="shared" si="12"/>
        <v>0</v>
      </c>
      <c r="AI79" s="92">
        <f t="shared" si="13"/>
        <v>0</v>
      </c>
      <c r="AJ79" s="92">
        <f t="shared" si="14"/>
        <v>0</v>
      </c>
      <c r="AK79" s="92">
        <f t="shared" si="22"/>
        <v>0</v>
      </c>
      <c r="AL79" s="92">
        <f t="shared" si="15"/>
        <v>0</v>
      </c>
      <c r="AM79" s="92">
        <f t="shared" si="16"/>
        <v>0</v>
      </c>
      <c r="AN79" s="93" t="str">
        <f t="shared" si="23"/>
        <v>-</v>
      </c>
      <c r="AO79" s="93" t="str">
        <f t="shared" si="17"/>
        <v>-</v>
      </c>
      <c r="AP79" s="93" t="str">
        <f t="shared" si="18"/>
        <v>-</v>
      </c>
      <c r="AQ79" s="93" t="str">
        <f t="shared" si="19"/>
        <v>-</v>
      </c>
      <c r="AR79" s="93" t="str">
        <f t="shared" si="20"/>
        <v>-</v>
      </c>
      <c r="AS79" s="93" t="str">
        <f t="shared" si="21"/>
        <v>-</v>
      </c>
      <c r="AT79" s="95" t="str">
        <f>IF('CO-PO Mapping'!O$2, IF(OR($AN79="-",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IF(OR($AP79="-", SUM( IF('CO-PO Mapping'!O$2,$AB$29,0), IF('CO-PO Mapping'!O$3,$AC$29,0), IF('CO-PO Mapping'!O$4,$AD$29,0), IF('CO-PO Mapping'!O$5,$AE$29,0), IF('CO-PO Mapping'!O$6,$AF$29,0), IF('CO-PO Mapping'!O$7,$AG$29,0) )=0), "-", IF( SUM( IF('CO-PO Mapping'!O$2,$AH79*$AB$29,0), IF('CO-PO Mapping'!O$3,$AI79*$AC$29,0), IF('CO-PO Mapping'!O$4,$AJ79*$AD$29,0), IF('CO-PO Mapping'!O$5,$AK79*$AE$29,0), IF('CO-PO Mapping'!O$6,$AL79*$AF$29,0), IF('CO-PO Mapping'!O$7,$AM79*$AG$29,0)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IF('CO-PO Mapping'!O$6, IF(OR($AR79="-",SUM(IF('CO-PO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IF('CO-PO Mapping'!O$7, IF(OR($AS79="-",SUM(IF('CO-PO Mapping'!O$2,$AB$29,0),IF('CO-PO Mapping'!O$3,$AC$29,0),IF('CO-PO Mapping'!O$4,$AD$29,0),IF('CO-PO Mapping'!O$5,$AE$29,0),IF('CO-PO Mapping'!O$6,$AF$29,0),IF('CO-PO Mapping'!O$7,$AG$29,0))=0), "-", IF(SUM(IF('CO-PO Mapping'!O$2,$AH79*$AB$29,0),IF('CO-PO Mapping'!O$3,$AI79*$AC$29,0),IF('CO-PO Mapping'!O$4,$AJ79*$AD$29,0),IF('CO-PO Mapping'!O$5,$AK79*$AE$29,0),IF('CO-PO Mapping'!O$6,$AL79*$AF$29,0),IF('CO-PO Mapping'!O$7,$AM79*$AG$29,0))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79" s="95" t="str">
        <f>IF('CO-PO Mapping'!P$2, IF(OR($AN79="-",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IF(OR($AP79="-", SUM( IF('CO-PO Mapping'!P$2,$AB$29,0), IF('CO-PO Mapping'!P$3,$AC$29,0), IF('CO-PO Mapping'!P$4,$AD$29,0), IF('CO-PO Mapping'!P$5,$AE$29,0), IF('CO-PO Mapping'!P$6,$AF$29,0), IF('CO-PO Mapping'!P$7,$AG$29,0) )=0), "-", IF( SUM( IF('CO-PO Mapping'!P$2,$AH79*$AB$29,0), IF('CO-PO Mapping'!P$3,$AI79*$AC$29,0), IF('CO-PO Mapping'!P$4,$AJ79*$AD$29,0), IF('CO-PO Mapping'!P$5,$AK79*$AE$29,0), IF('CO-PO Mapping'!P$6,$AL79*$AF$29,0), IF('CO-PO Mapping'!P$7,$AM79*$AG$29,0)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IF('CO-PO Mapping'!P$6, IF(OR($AR79="-",SUM(IF('CO-PO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IF('CO-PO Mapping'!P$7, IF(OR($AS79="-",SUM(IF('CO-PO Mapping'!P$2,$AB$29,0),IF('CO-PO Mapping'!P$3,$AC$29,0),IF('CO-PO Mapping'!P$4,$AD$29,0),IF('CO-PO Mapping'!P$5,$AE$29,0),IF('CO-PO Mapping'!P$6,$AF$29,0),IF('CO-PO Mapping'!P$7,$AG$29,0))=0), "-", IF(SUM(IF('CO-PO Mapping'!P$2,$AH79*$AB$29,0),IF('CO-PO Mapping'!P$3,$AI79*$AC$29,0),IF('CO-PO Mapping'!P$4,$AJ79*$AD$29,0),IF('CO-PO Mapping'!P$5,$AK79*$AE$29,0),IF('CO-PO Mapping'!P$6,$AL79*$AF$29,0),IF('CO-PO Mapping'!P$7,$AM79*$AG$29,0))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79" s="95" t="str">
        <f>IF('CO-PO Mapping'!Q$2, IF(OR($AN79="-",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IF(OR($AP79="-", SUM( IF('CO-PO Mapping'!Q$2,$AB$29,0), IF('CO-PO Mapping'!Q$3,$AC$29,0), IF('CO-PO Mapping'!Q$4,$AD$29,0), IF('CO-PO Mapping'!Q$5,$AE$29,0), IF('CO-PO Mapping'!Q$6,$AF$29,0), IF('CO-PO Mapping'!Q$7,$AG$29,0) )=0), "-", IF( SUM( IF('CO-PO Mapping'!Q$2,$AH79*$AB$29,0), IF('CO-PO Mapping'!Q$3,$AI79*$AC$29,0), IF('CO-PO Mapping'!Q$4,$AJ79*$AD$29,0), IF('CO-PO Mapping'!Q$5,$AK79*$AE$29,0), IF('CO-PO Mapping'!Q$6,$AL79*$AF$29,0), IF('CO-PO Mapping'!Q$7,$AM79*$AG$29,0)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IF('CO-PO Mapping'!Q$6, IF(OR($AR79="-",SUM(IF('CO-PO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IF('CO-PO Mapping'!Q$7, IF(OR($AS79="-",SUM(IF('CO-PO Mapping'!Q$2,$AB$29,0),IF('CO-PO Mapping'!Q$3,$AC$29,0),IF('CO-PO Mapping'!Q$4,$AD$29,0),IF('CO-PO Mapping'!Q$5,$AE$29,0),IF('CO-PO Mapping'!Q$6,$AF$29,0),IF('CO-PO Mapping'!Q$7,$AG$29,0))=0), "-", IF(SUM(IF('CO-PO Mapping'!Q$2,$AH79*$AB$29,0),IF('CO-PO Mapping'!Q$3,$AI79*$AC$29,0),IF('CO-PO Mapping'!Q$4,$AJ79*$AD$29,0),IF('CO-PO Mapping'!Q$5,$AK79*$AE$29,0),IF('CO-PO Mapping'!Q$6,$AL79*$AF$29,0),IF('CO-PO Mapping'!Q$7,$AM79*$AG$29,0))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79" s="95" t="str">
        <f>IF('CO-PO Mapping'!R$2, IF(OR($AN79="-",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IF(OR($AP79="-", SUM( IF('CO-PO Mapping'!R$2,$AB$29,0), IF('CO-PO Mapping'!R$3,$AC$29,0), IF('CO-PO Mapping'!R$4,$AD$29,0), IF('CO-PO Mapping'!R$5,$AE$29,0), IF('CO-PO Mapping'!R$6,$AF$29,0), IF('CO-PO Mapping'!R$7,$AG$29,0) )=0), "-", IF( SUM( IF('CO-PO Mapping'!R$2,$AH79*$AB$29,0), IF('CO-PO Mapping'!R$3,$AI79*$AC$29,0), IF('CO-PO Mapping'!R$4,$AJ79*$AD$29,0), IF('CO-PO Mapping'!R$5,$AK79*$AE$29,0), IF('CO-PO Mapping'!R$6,$AL79*$AF$29,0), IF('CO-PO Mapping'!R$7,$AM79*$AG$29,0)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IF('CO-PO Mapping'!R$6, IF(OR($AR79="-",SUM(IF('CO-PO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IF('CO-PO Mapping'!R$7, IF(OR($AS79="-",SUM(IF('CO-PO Mapping'!R$2,$AB$29,0),IF('CO-PO Mapping'!R$3,$AC$29,0),IF('CO-PO Mapping'!R$4,$AD$29,0),IF('CO-PO Mapping'!R$5,$AE$29,0),IF('CO-PO Mapping'!R$6,$AF$29,0),IF('CO-PO Mapping'!R$7,$AG$29,0))=0), "-", IF(SUM(IF('CO-PO Mapping'!R$2,$AH79*$AB$29,0),IF('CO-PO Mapping'!R$3,$AI79*$AC$29,0),IF('CO-PO Mapping'!R$4,$AJ79*$AD$29,0),IF('CO-PO Mapping'!R$5,$AK79*$AE$29,0),IF('CO-PO Mapping'!R$6,$AL79*$AF$29,0),IF('CO-PO Mapping'!R$7,$AM79*$AG$29,0))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79" s="95" t="str">
        <f>IF('CO-PO Mapping'!S$2, IF(OR($AN79="-",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IF(OR($AP79="-", SUM( IF('CO-PO Mapping'!S$2,$AB$29,0), IF('CO-PO Mapping'!S$3,$AC$29,0), IF('CO-PO Mapping'!S$4,$AD$29,0), IF('CO-PO Mapping'!S$5,$AE$29,0), IF('CO-PO Mapping'!S$6,$AF$29,0), IF('CO-PO Mapping'!S$7,$AG$29,0) )=0), "-", IF( SUM( IF('CO-PO Mapping'!S$2,$AH79*$AB$29,0), IF('CO-PO Mapping'!S$3,$AI79*$AC$29,0), IF('CO-PO Mapping'!S$4,$AJ79*$AD$29,0), IF('CO-PO Mapping'!S$5,$AK79*$AE$29,0), IF('CO-PO Mapping'!S$6,$AL79*$AF$29,0), IF('CO-PO Mapping'!S$7,$AM79*$AG$29,0)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IF('CO-PO Mapping'!S$6, IF(OR($AR79="-",SUM(IF('CO-PO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IF('CO-PO Mapping'!S$7, IF(OR($AS79="-",SUM(IF('CO-PO Mapping'!S$2,$AB$29,0),IF('CO-PO Mapping'!S$3,$AC$29,0),IF('CO-PO Mapping'!S$4,$AD$29,0),IF('CO-PO Mapping'!S$5,$AE$29,0),IF('CO-PO Mapping'!S$6,$AF$29,0),IF('CO-PO Mapping'!S$7,$AG$29,0))=0), "-", IF(SUM(IF('CO-PO Mapping'!S$2,$AH79*$AB$29,0),IF('CO-PO Mapping'!S$3,$AI79*$AC$29,0),IF('CO-PO Mapping'!S$4,$AJ79*$AD$29,0),IF('CO-PO Mapping'!S$5,$AK79*$AE$29,0),IF('CO-PO Mapping'!S$6,$AL79*$AF$29,0),IF('CO-PO Mapping'!S$7,$AM79*$AG$29,0))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79" s="95" t="str">
        <f>IF('CO-PO Mapping'!T$2, IF(OR($AN79="-",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IF(OR($AP79="-", SUM( IF('CO-PO Mapping'!T$2,$AB$29,0), IF('CO-PO Mapping'!T$3,$AC$29,0), IF('CO-PO Mapping'!T$4,$AD$29,0), IF('CO-PO Mapping'!T$5,$AE$29,0), IF('CO-PO Mapping'!T$6,$AF$29,0), IF('CO-PO Mapping'!T$7,$AG$29,0) )=0), "-", IF( SUM( IF('CO-PO Mapping'!T$2,$AH79*$AB$29,0), IF('CO-PO Mapping'!T$3,$AI79*$AC$29,0), IF('CO-PO Mapping'!T$4,$AJ79*$AD$29,0), IF('CO-PO Mapping'!T$5,$AK79*$AE$29,0), IF('CO-PO Mapping'!T$6,$AL79*$AF$29,0), IF('CO-PO Mapping'!T$7,$AM79*$AG$29,0)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IF('CO-PO Mapping'!T$6, IF(OR($AR79="-",SUM(IF('CO-PO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IF('CO-PO Mapping'!T$7, IF(OR($AS79="-",SUM(IF('CO-PO Mapping'!T$2,$AB$29,0),IF('CO-PO Mapping'!T$3,$AC$29,0),IF('CO-PO Mapping'!T$4,$AD$29,0),IF('CO-PO Mapping'!T$5,$AE$29,0),IF('CO-PO Mapping'!T$6,$AF$29,0),IF('CO-PO Mapping'!T$7,$AG$29,0))=0), "-", IF(SUM(IF('CO-PO Mapping'!T$2,$AH79*$AB$29,0),IF('CO-PO Mapping'!T$3,$AI79*$AC$29,0),IF('CO-PO Mapping'!T$4,$AJ79*$AD$29,0),IF('CO-PO Mapping'!T$5,$AK79*$AE$29,0),IF('CO-PO Mapping'!T$6,$AL79*$AF$29,0),IF('CO-PO Mapping'!T$7,$AM79*$AG$29,0))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79" s="95" t="str">
        <f>IF('CO-PO Mapping'!U$2, IF(OR($AN79="-",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IF(OR($AP79="-", SUM( IF('CO-PO Mapping'!U$2,$AB$29,0), IF('CO-PO Mapping'!U$3,$AC$29,0), IF('CO-PO Mapping'!U$4,$AD$29,0), IF('CO-PO Mapping'!U$5,$AE$29,0), IF('CO-PO Mapping'!U$6,$AF$29,0), IF('CO-PO Mapping'!U$7,$AG$29,0) )=0), "-", IF( SUM( IF('CO-PO Mapping'!U$2,$AH79*$AB$29,0), IF('CO-PO Mapping'!U$3,$AI79*$AC$29,0), IF('CO-PO Mapping'!U$4,$AJ79*$AD$29,0), IF('CO-PO Mapping'!U$5,$AK79*$AE$29,0), IF('CO-PO Mapping'!U$6,$AL79*$AF$29,0), IF('CO-PO Mapping'!U$7,$AM79*$AG$29,0)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IF('CO-PO Mapping'!U$6, IF(OR($AR79="-",SUM(IF('CO-PO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IF('CO-PO Mapping'!U$7, IF(OR($AS79="-",SUM(IF('CO-PO Mapping'!U$2,$AB$29,0),IF('CO-PO Mapping'!U$3,$AC$29,0),IF('CO-PO Mapping'!U$4,$AD$29,0),IF('CO-PO Mapping'!U$5,$AE$29,0),IF('CO-PO Mapping'!U$6,$AF$29,0),IF('CO-PO Mapping'!U$7,$AG$29,0))=0), "-", IF(SUM(IF('CO-PO Mapping'!U$2,$AH79*$AB$29,0),IF('CO-PO Mapping'!U$3,$AI79*$AC$29,0),IF('CO-PO Mapping'!U$4,$AJ79*$AD$29,0),IF('CO-PO Mapping'!U$5,$AK79*$AE$29,0),IF('CO-PO Mapping'!U$6,$AL79*$AF$29,0),IF('CO-PO Mapping'!U$7,$AM79*$AG$29,0))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79" s="95" t="str">
        <f>IF('CO-PO Mapping'!V$2, IF(OR($AN79="-",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IF(OR($AP79="-", SUM( IF('CO-PO Mapping'!V$2,$AB$29,0), IF('CO-PO Mapping'!V$3,$AC$29,0), IF('CO-PO Mapping'!V$4,$AD$29,0), IF('CO-PO Mapping'!V$5,$AE$29,0), IF('CO-PO Mapping'!V$6,$AF$29,0), IF('CO-PO Mapping'!V$7,$AG$29,0) )=0), "-", IF( SUM( IF('CO-PO Mapping'!V$2,$AH79*$AB$29,0), IF('CO-PO Mapping'!V$3,$AI79*$AC$29,0), IF('CO-PO Mapping'!V$4,$AJ79*$AD$29,0), IF('CO-PO Mapping'!V$5,$AK79*$AE$29,0), IF('CO-PO Mapping'!V$6,$AL79*$AF$29,0), IF('CO-PO Mapping'!V$7,$AM79*$AG$29,0)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IF('CO-PO Mapping'!V$6, IF(OR($AR79="-",SUM(IF('CO-PO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IF('CO-PO Mapping'!V$7, IF(OR($AS79="-",SUM(IF('CO-PO Mapping'!V$2,$AB$29,0),IF('CO-PO Mapping'!V$3,$AC$29,0),IF('CO-PO Mapping'!V$4,$AD$29,0),IF('CO-PO Mapping'!V$5,$AE$29,0),IF('CO-PO Mapping'!V$6,$AF$29,0),IF('CO-PO Mapping'!V$7,$AG$29,0))=0), "-", IF(SUM(IF('CO-PO Mapping'!V$2,$AH79*$AB$29,0),IF('CO-PO Mapping'!V$3,$AI79*$AC$29,0),IF('CO-PO Mapping'!V$4,$AJ79*$AD$29,0),IF('CO-PO Mapping'!V$5,$AK79*$AE$29,0),IF('CO-PO Mapping'!V$6,$AL79*$AF$29,0),IF('CO-PO Mapping'!V$7,$AM79*$AG$29,0))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79" s="95" t="str">
        <f>IF('CO-PO Mapping'!W$2, IF(OR($AN79="-",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IF(OR($AP79="-", SUM( IF('CO-PO Mapping'!W$2,$AB$29,0), IF('CO-PO Mapping'!W$3,$AC$29,0), IF('CO-PO Mapping'!W$4,$AD$29,0), IF('CO-PO Mapping'!W$5,$AE$29,0), IF('CO-PO Mapping'!W$6,$AF$29,0), IF('CO-PO Mapping'!W$7,$AG$29,0) )=0), "-", IF( SUM( IF('CO-PO Mapping'!W$2,$AH79*$AB$29,0), IF('CO-PO Mapping'!W$3,$AI79*$AC$29,0), IF('CO-PO Mapping'!W$4,$AJ79*$AD$29,0), IF('CO-PO Mapping'!W$5,$AK79*$AE$29,0), IF('CO-PO Mapping'!W$6,$AL79*$AF$29,0), IF('CO-PO Mapping'!W$7,$AM79*$AG$29,0)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IF('CO-PO Mapping'!W$6, IF(OR($AR79="-",SUM(IF('CO-PO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IF('CO-PO Mapping'!W$7, IF(OR($AS79="-",SUM(IF('CO-PO Mapping'!W$2,$AB$29,0),IF('CO-PO Mapping'!W$3,$AC$29,0),IF('CO-PO Mapping'!W$4,$AD$29,0),IF('CO-PO Mapping'!W$5,$AE$29,0),IF('CO-PO Mapping'!W$6,$AF$29,0),IF('CO-PO Mapping'!W$7,$AG$29,0))=0), "-", IF(SUM(IF('CO-PO Mapping'!W$2,$AH79*$AB$29,0),IF('CO-PO Mapping'!W$3,$AI79*$AC$29,0),IF('CO-PO Mapping'!W$4,$AJ79*$AD$29,0),IF('CO-PO Mapping'!W$5,$AK79*$AE$29,0),IF('CO-PO Mapping'!W$6,$AL79*$AF$29,0),IF('CO-PO Mapping'!W$7,$AM79*$AG$29,0))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79" s="95" t="str">
        <f>IF('CO-PO Mapping'!X$2, IF(OR($AN79="-",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IF(OR($AP79="-", SUM( IF('CO-PO Mapping'!X$2,$AB$29,0), IF('CO-PO Mapping'!X$3,$AC$29,0), IF('CO-PO Mapping'!X$4,$AD$29,0), IF('CO-PO Mapping'!X$5,$AE$29,0), IF('CO-PO Mapping'!X$6,$AF$29,0), IF('CO-PO Mapping'!X$7,$AG$29,0) )=0), "-", IF( SUM( IF('CO-PO Mapping'!X$2,$AH79*$AB$29,0), IF('CO-PO Mapping'!X$3,$AI79*$AC$29,0), IF('CO-PO Mapping'!X$4,$AJ79*$AD$29,0), IF('CO-PO Mapping'!X$5,$AK79*$AE$29,0), IF('CO-PO Mapping'!X$6,$AL79*$AF$29,0), IF('CO-PO Mapping'!X$7,$AM79*$AG$29,0)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IF('CO-PO Mapping'!X$6, IF(OR($AR79="-",SUM(IF('CO-PO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IF('CO-PO Mapping'!X$7, IF(OR($AS79="-",SUM(IF('CO-PO Mapping'!X$2,$AB$29,0),IF('CO-PO Mapping'!X$3,$AC$29,0),IF('CO-PO Mapping'!X$4,$AD$29,0),IF('CO-PO Mapping'!X$5,$AE$29,0),IF('CO-PO Mapping'!X$6,$AF$29,0),IF('CO-PO Mapping'!X$7,$AG$29,0))=0), "-", IF(SUM(IF('CO-PO Mapping'!X$2,$AH79*$AB$29,0),IF('CO-PO Mapping'!X$3,$AI79*$AC$29,0),IF('CO-PO Mapping'!X$4,$AJ79*$AD$29,0),IF('CO-PO Mapping'!X$5,$AK79*$AE$29,0),IF('CO-PO Mapping'!X$6,$AL79*$AF$29,0),IF('CO-PO Mapping'!X$7,$AM79*$AG$29,0))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79" s="95" t="str">
        <f>IF('CO-PO Mapping'!Y$2, IF(OR($AN79="-",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IF(OR($AP79="-", SUM( IF('CO-PO Mapping'!Y$2,$AB$29,0), IF('CO-PO Mapping'!Y$3,$AC$29,0), IF('CO-PO Mapping'!Y$4,$AD$29,0), IF('CO-PO Mapping'!Y$5,$AE$29,0), IF('CO-PO Mapping'!Y$6,$AF$29,0), IF('CO-PO Mapping'!Y$7,$AG$29,0) )=0), "-", IF( SUM( IF('CO-PO Mapping'!Y$2,$AH79*$AB$29,0), IF('CO-PO Mapping'!Y$3,$AI79*$AC$29,0), IF('CO-PO Mapping'!Y$4,$AJ79*$AD$29,0), IF('CO-PO Mapping'!Y$5,$AK79*$AE$29,0), IF('CO-PO Mapping'!Y$6,$AL79*$AF$29,0), IF('CO-PO Mapping'!Y$7,$AM79*$AG$29,0)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IF('CO-PO Mapping'!Y$6, IF(OR($AR79="-",SUM(IF('CO-PO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IF('CO-PO Mapping'!Y$7, IF(OR($AS79="-",SUM(IF('CO-PO Mapping'!Y$2,$AB$29,0),IF('CO-PO Mapping'!Y$3,$AC$29,0),IF('CO-PO Mapping'!Y$4,$AD$29,0),IF('CO-PO Mapping'!Y$5,$AE$29,0),IF('CO-PO Mapping'!Y$6,$AF$29,0),IF('CO-PO Mapping'!Y$7,$AG$29,0))=0), "-", IF(SUM(IF('CO-PO Mapping'!Y$2,$AH79*$AB$29,0),IF('CO-PO Mapping'!Y$3,$AI79*$AC$29,0),IF('CO-PO Mapping'!Y$4,$AJ79*$AD$29,0),IF('CO-PO Mapping'!Y$5,$AK79*$AE$29,0),IF('CO-PO Mapping'!Y$6,$AL79*$AF$29,0),IF('CO-PO Mapping'!Y$7,$AM79*$AG$29,0))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79" s="95" t="str">
        <f>IF('CO-PO Mapping'!Z$2, IF(OR($AN79="-",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IF(OR($AP79="-", SUM( IF('CO-PO Mapping'!Z$2,$AB$29,0), IF('CO-PO Mapping'!Z$3,$AC$29,0), IF('CO-PO Mapping'!Z$4,$AD$29,0), IF('CO-PO Mapping'!Z$5,$AE$29,0), IF('CO-PO Mapping'!Z$6,$AF$29,0), IF('CO-PO Mapping'!Z$7,$AG$29,0) )=0), "-", IF( SUM( IF('CO-PO Mapping'!Z$2,$AH79*$AB$29,0), IF('CO-PO Mapping'!Z$3,$AI79*$AC$29,0), IF('CO-PO Mapping'!Z$4,$AJ79*$AD$29,0), IF('CO-PO Mapping'!Z$5,$AK79*$AE$29,0), IF('CO-PO Mapping'!Z$6,$AL79*$AF$29,0), IF('CO-PO Mapping'!Z$7,$AM79*$AG$29,0)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IF('CO-PO Mapping'!Z$6, IF(OR($AR79="-",SUM(IF('CO-PO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IF('CO-PO Mapping'!Z$7, IF(OR($AS79="-",SUM(IF('CO-PO Mapping'!Z$2,$AB$29,0),IF('CO-PO Mapping'!Z$3,$AC$29,0),IF('CO-PO Mapping'!Z$4,$AD$29,0),IF('CO-PO Mapping'!Z$5,$AE$29,0),IF('CO-PO Mapping'!Z$6,$AF$29,0),IF('CO-PO Mapping'!Z$7,$AG$29,0))=0), "-", IF(SUM(IF('CO-PO Mapping'!Z$2,$AH79*$AB$29,0),IF('CO-PO Mapping'!Z$3,$AI79*$AC$29,0),IF('CO-PO Mapping'!Z$4,$AJ79*$AD$29,0),IF('CO-PO Mapping'!Z$5,$AK79*$AE$29,0),IF('CO-PO Mapping'!Z$6,$AL79*$AF$29,0),IF('CO-PO Mapping'!Z$7,$AM79*$AG$29,0))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0" spans="1:57" ht="15" customHeight="1">
      <c r="A80" s="87"/>
      <c r="B80" s="84"/>
      <c r="C80" s="74"/>
      <c r="D80" s="74"/>
      <c r="E80" s="75"/>
      <c r="F80" s="75"/>
      <c r="G80" s="75"/>
      <c r="H80" s="103" t="str">
        <f t="shared" si="29"/>
        <v>-</v>
      </c>
      <c r="I80" s="75"/>
      <c r="J80" s="75"/>
      <c r="K80" s="75"/>
      <c r="L80" s="75"/>
      <c r="M80" s="75"/>
      <c r="N80" s="75"/>
      <c r="O80" s="105" t="str">
        <f t="shared" si="30"/>
        <v>-</v>
      </c>
      <c r="P80" s="75"/>
      <c r="Q80" s="75"/>
      <c r="R80" s="75"/>
      <c r="S80" s="75"/>
      <c r="T80" s="75"/>
      <c r="U80" s="75"/>
      <c r="V80" s="104" t="str">
        <f t="shared" si="31"/>
        <v>-</v>
      </c>
      <c r="W80" s="83" t="str">
        <f t="shared" si="28"/>
        <v>-</v>
      </c>
      <c r="X80" s="98" t="str">
        <f t="shared" si="32"/>
        <v>-</v>
      </c>
      <c r="Z80" s="42" t="str">
        <f t="shared" si="26"/>
        <v/>
      </c>
      <c r="AA80" s="43" t="str">
        <f t="shared" si="27"/>
        <v/>
      </c>
      <c r="AB80" s="90">
        <f t="shared" si="11"/>
        <v>0</v>
      </c>
      <c r="AC80" s="90">
        <f t="shared" si="11"/>
        <v>0</v>
      </c>
      <c r="AD80" s="90">
        <f t="shared" si="11"/>
        <v>0</v>
      </c>
      <c r="AE80" s="90">
        <f t="shared" si="11"/>
        <v>0</v>
      </c>
      <c r="AF80" s="90">
        <f t="shared" si="11"/>
        <v>0</v>
      </c>
      <c r="AG80" s="90">
        <f t="shared" si="25"/>
        <v>0</v>
      </c>
      <c r="AH80" s="92">
        <f t="shared" si="12"/>
        <v>0</v>
      </c>
      <c r="AI80" s="92">
        <f t="shared" si="13"/>
        <v>0</v>
      </c>
      <c r="AJ80" s="92">
        <f t="shared" si="14"/>
        <v>0</v>
      </c>
      <c r="AK80" s="92">
        <f t="shared" si="22"/>
        <v>0</v>
      </c>
      <c r="AL80" s="92">
        <f t="shared" si="15"/>
        <v>0</v>
      </c>
      <c r="AM80" s="92">
        <f t="shared" si="16"/>
        <v>0</v>
      </c>
      <c r="AN80" s="93" t="str">
        <f t="shared" si="23"/>
        <v>-</v>
      </c>
      <c r="AO80" s="93" t="str">
        <f t="shared" si="17"/>
        <v>-</v>
      </c>
      <c r="AP80" s="93" t="str">
        <f t="shared" si="18"/>
        <v>-</v>
      </c>
      <c r="AQ80" s="93" t="str">
        <f t="shared" si="19"/>
        <v>-</v>
      </c>
      <c r="AR80" s="93" t="str">
        <f t="shared" si="20"/>
        <v>-</v>
      </c>
      <c r="AS80" s="93" t="str">
        <f t="shared" si="21"/>
        <v>-</v>
      </c>
      <c r="AT80" s="95" t="str">
        <f>IF('CO-PO Mapping'!O$2, IF(OR($AN80="-",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IF(OR($AP80="-", SUM( IF('CO-PO Mapping'!O$2,$AB$29,0), IF('CO-PO Mapping'!O$3,$AC$29,0), IF('CO-PO Mapping'!O$4,$AD$29,0), IF('CO-PO Mapping'!O$5,$AE$29,0), IF('CO-PO Mapping'!O$6,$AF$29,0), IF('CO-PO Mapping'!O$7,$AG$29,0) )=0), "-", IF( SUM( IF('CO-PO Mapping'!O$2,$AH80*$AB$29,0), IF('CO-PO Mapping'!O$3,$AI80*$AC$29,0), IF('CO-PO Mapping'!O$4,$AJ80*$AD$29,0), IF('CO-PO Mapping'!O$5,$AK80*$AE$29,0), IF('CO-PO Mapping'!O$6,$AL80*$AF$29,0), IF('CO-PO Mapping'!O$7,$AM80*$AG$29,0)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IF('CO-PO Mapping'!O$6, IF(OR($AR80="-",SUM(IF('CO-PO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IF('CO-PO Mapping'!O$7, IF(OR($AS80="-",SUM(IF('CO-PO Mapping'!O$2,$AB$29,0),IF('CO-PO Mapping'!O$3,$AC$29,0),IF('CO-PO Mapping'!O$4,$AD$29,0),IF('CO-PO Mapping'!O$5,$AE$29,0),IF('CO-PO Mapping'!O$6,$AF$29,0),IF('CO-PO Mapping'!O$7,$AG$29,0))=0), "-", IF(SUM(IF('CO-PO Mapping'!O$2,$AH80*$AB$29,0),IF('CO-PO Mapping'!O$3,$AI80*$AC$29,0),IF('CO-PO Mapping'!O$4,$AJ80*$AD$29,0),IF('CO-PO Mapping'!O$5,$AK80*$AE$29,0),IF('CO-PO Mapping'!O$6,$AL80*$AF$29,0),IF('CO-PO Mapping'!O$7,$AM80*$AG$29,0))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0" s="95" t="str">
        <f>IF('CO-PO Mapping'!P$2, IF(OR($AN80="-",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IF(OR($AP80="-", SUM( IF('CO-PO Mapping'!P$2,$AB$29,0), IF('CO-PO Mapping'!P$3,$AC$29,0), IF('CO-PO Mapping'!P$4,$AD$29,0), IF('CO-PO Mapping'!P$5,$AE$29,0), IF('CO-PO Mapping'!P$6,$AF$29,0), IF('CO-PO Mapping'!P$7,$AG$29,0) )=0), "-", IF( SUM( IF('CO-PO Mapping'!P$2,$AH80*$AB$29,0), IF('CO-PO Mapping'!P$3,$AI80*$AC$29,0), IF('CO-PO Mapping'!P$4,$AJ80*$AD$29,0), IF('CO-PO Mapping'!P$5,$AK80*$AE$29,0), IF('CO-PO Mapping'!P$6,$AL80*$AF$29,0), IF('CO-PO Mapping'!P$7,$AM80*$AG$29,0)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IF('CO-PO Mapping'!P$6, IF(OR($AR80="-",SUM(IF('CO-PO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IF('CO-PO Mapping'!P$7, IF(OR($AS80="-",SUM(IF('CO-PO Mapping'!P$2,$AB$29,0),IF('CO-PO Mapping'!P$3,$AC$29,0),IF('CO-PO Mapping'!P$4,$AD$29,0),IF('CO-PO Mapping'!P$5,$AE$29,0),IF('CO-PO Mapping'!P$6,$AF$29,0),IF('CO-PO Mapping'!P$7,$AG$29,0))=0), "-", IF(SUM(IF('CO-PO Mapping'!P$2,$AH80*$AB$29,0),IF('CO-PO Mapping'!P$3,$AI80*$AC$29,0),IF('CO-PO Mapping'!P$4,$AJ80*$AD$29,0),IF('CO-PO Mapping'!P$5,$AK80*$AE$29,0),IF('CO-PO Mapping'!P$6,$AL80*$AF$29,0),IF('CO-PO Mapping'!P$7,$AM80*$AG$29,0))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0" s="95" t="str">
        <f>IF('CO-PO Mapping'!Q$2, IF(OR($AN80="-",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IF(OR($AP80="-", SUM( IF('CO-PO Mapping'!Q$2,$AB$29,0), IF('CO-PO Mapping'!Q$3,$AC$29,0), IF('CO-PO Mapping'!Q$4,$AD$29,0), IF('CO-PO Mapping'!Q$5,$AE$29,0), IF('CO-PO Mapping'!Q$6,$AF$29,0), IF('CO-PO Mapping'!Q$7,$AG$29,0) )=0), "-", IF( SUM( IF('CO-PO Mapping'!Q$2,$AH80*$AB$29,0), IF('CO-PO Mapping'!Q$3,$AI80*$AC$29,0), IF('CO-PO Mapping'!Q$4,$AJ80*$AD$29,0), IF('CO-PO Mapping'!Q$5,$AK80*$AE$29,0), IF('CO-PO Mapping'!Q$6,$AL80*$AF$29,0), IF('CO-PO Mapping'!Q$7,$AM80*$AG$29,0)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IF('CO-PO Mapping'!Q$6, IF(OR($AR80="-",SUM(IF('CO-PO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IF('CO-PO Mapping'!Q$7, IF(OR($AS80="-",SUM(IF('CO-PO Mapping'!Q$2,$AB$29,0),IF('CO-PO Mapping'!Q$3,$AC$29,0),IF('CO-PO Mapping'!Q$4,$AD$29,0),IF('CO-PO Mapping'!Q$5,$AE$29,0),IF('CO-PO Mapping'!Q$6,$AF$29,0),IF('CO-PO Mapping'!Q$7,$AG$29,0))=0), "-", IF(SUM(IF('CO-PO Mapping'!Q$2,$AH80*$AB$29,0),IF('CO-PO Mapping'!Q$3,$AI80*$AC$29,0),IF('CO-PO Mapping'!Q$4,$AJ80*$AD$29,0),IF('CO-PO Mapping'!Q$5,$AK80*$AE$29,0),IF('CO-PO Mapping'!Q$6,$AL80*$AF$29,0),IF('CO-PO Mapping'!Q$7,$AM80*$AG$29,0))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0" s="95" t="str">
        <f>IF('CO-PO Mapping'!R$2, IF(OR($AN80="-",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IF(OR($AP80="-", SUM( IF('CO-PO Mapping'!R$2,$AB$29,0), IF('CO-PO Mapping'!R$3,$AC$29,0), IF('CO-PO Mapping'!R$4,$AD$29,0), IF('CO-PO Mapping'!R$5,$AE$29,0), IF('CO-PO Mapping'!R$6,$AF$29,0), IF('CO-PO Mapping'!R$7,$AG$29,0) )=0), "-", IF( SUM( IF('CO-PO Mapping'!R$2,$AH80*$AB$29,0), IF('CO-PO Mapping'!R$3,$AI80*$AC$29,0), IF('CO-PO Mapping'!R$4,$AJ80*$AD$29,0), IF('CO-PO Mapping'!R$5,$AK80*$AE$29,0), IF('CO-PO Mapping'!R$6,$AL80*$AF$29,0), IF('CO-PO Mapping'!R$7,$AM80*$AG$29,0)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IF('CO-PO Mapping'!R$6, IF(OR($AR80="-",SUM(IF('CO-PO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IF('CO-PO Mapping'!R$7, IF(OR($AS80="-",SUM(IF('CO-PO Mapping'!R$2,$AB$29,0),IF('CO-PO Mapping'!R$3,$AC$29,0),IF('CO-PO Mapping'!R$4,$AD$29,0),IF('CO-PO Mapping'!R$5,$AE$29,0),IF('CO-PO Mapping'!R$6,$AF$29,0),IF('CO-PO Mapping'!R$7,$AG$29,0))=0), "-", IF(SUM(IF('CO-PO Mapping'!R$2,$AH80*$AB$29,0),IF('CO-PO Mapping'!R$3,$AI80*$AC$29,0),IF('CO-PO Mapping'!R$4,$AJ80*$AD$29,0),IF('CO-PO Mapping'!R$5,$AK80*$AE$29,0),IF('CO-PO Mapping'!R$6,$AL80*$AF$29,0),IF('CO-PO Mapping'!R$7,$AM80*$AG$29,0))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0" s="95" t="str">
        <f>IF('CO-PO Mapping'!S$2, IF(OR($AN80="-",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IF(OR($AP80="-", SUM( IF('CO-PO Mapping'!S$2,$AB$29,0), IF('CO-PO Mapping'!S$3,$AC$29,0), IF('CO-PO Mapping'!S$4,$AD$29,0), IF('CO-PO Mapping'!S$5,$AE$29,0), IF('CO-PO Mapping'!S$6,$AF$29,0), IF('CO-PO Mapping'!S$7,$AG$29,0) )=0), "-", IF( SUM( IF('CO-PO Mapping'!S$2,$AH80*$AB$29,0), IF('CO-PO Mapping'!S$3,$AI80*$AC$29,0), IF('CO-PO Mapping'!S$4,$AJ80*$AD$29,0), IF('CO-PO Mapping'!S$5,$AK80*$AE$29,0), IF('CO-PO Mapping'!S$6,$AL80*$AF$29,0), IF('CO-PO Mapping'!S$7,$AM80*$AG$29,0)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IF('CO-PO Mapping'!S$6, IF(OR($AR80="-",SUM(IF('CO-PO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IF('CO-PO Mapping'!S$7, IF(OR($AS80="-",SUM(IF('CO-PO Mapping'!S$2,$AB$29,0),IF('CO-PO Mapping'!S$3,$AC$29,0),IF('CO-PO Mapping'!S$4,$AD$29,0),IF('CO-PO Mapping'!S$5,$AE$29,0),IF('CO-PO Mapping'!S$6,$AF$29,0),IF('CO-PO Mapping'!S$7,$AG$29,0))=0), "-", IF(SUM(IF('CO-PO Mapping'!S$2,$AH80*$AB$29,0),IF('CO-PO Mapping'!S$3,$AI80*$AC$29,0),IF('CO-PO Mapping'!S$4,$AJ80*$AD$29,0),IF('CO-PO Mapping'!S$5,$AK80*$AE$29,0),IF('CO-PO Mapping'!S$6,$AL80*$AF$29,0),IF('CO-PO Mapping'!S$7,$AM80*$AG$29,0))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0" s="95" t="str">
        <f>IF('CO-PO Mapping'!T$2, IF(OR($AN80="-",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IF(OR($AP80="-", SUM( IF('CO-PO Mapping'!T$2,$AB$29,0), IF('CO-PO Mapping'!T$3,$AC$29,0), IF('CO-PO Mapping'!T$4,$AD$29,0), IF('CO-PO Mapping'!T$5,$AE$29,0), IF('CO-PO Mapping'!T$6,$AF$29,0), IF('CO-PO Mapping'!T$7,$AG$29,0) )=0), "-", IF( SUM( IF('CO-PO Mapping'!T$2,$AH80*$AB$29,0), IF('CO-PO Mapping'!T$3,$AI80*$AC$29,0), IF('CO-PO Mapping'!T$4,$AJ80*$AD$29,0), IF('CO-PO Mapping'!T$5,$AK80*$AE$29,0), IF('CO-PO Mapping'!T$6,$AL80*$AF$29,0), IF('CO-PO Mapping'!T$7,$AM80*$AG$29,0)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IF('CO-PO Mapping'!T$6, IF(OR($AR80="-",SUM(IF('CO-PO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IF('CO-PO Mapping'!T$7, IF(OR($AS80="-",SUM(IF('CO-PO Mapping'!T$2,$AB$29,0),IF('CO-PO Mapping'!T$3,$AC$29,0),IF('CO-PO Mapping'!T$4,$AD$29,0),IF('CO-PO Mapping'!T$5,$AE$29,0),IF('CO-PO Mapping'!T$6,$AF$29,0),IF('CO-PO Mapping'!T$7,$AG$29,0))=0), "-", IF(SUM(IF('CO-PO Mapping'!T$2,$AH80*$AB$29,0),IF('CO-PO Mapping'!T$3,$AI80*$AC$29,0),IF('CO-PO Mapping'!T$4,$AJ80*$AD$29,0),IF('CO-PO Mapping'!T$5,$AK80*$AE$29,0),IF('CO-PO Mapping'!T$6,$AL80*$AF$29,0),IF('CO-PO Mapping'!T$7,$AM80*$AG$29,0))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0" s="95" t="str">
        <f>IF('CO-PO Mapping'!U$2, IF(OR($AN80="-",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IF(OR($AP80="-", SUM( IF('CO-PO Mapping'!U$2,$AB$29,0), IF('CO-PO Mapping'!U$3,$AC$29,0), IF('CO-PO Mapping'!U$4,$AD$29,0), IF('CO-PO Mapping'!U$5,$AE$29,0), IF('CO-PO Mapping'!U$6,$AF$29,0), IF('CO-PO Mapping'!U$7,$AG$29,0) )=0), "-", IF( SUM( IF('CO-PO Mapping'!U$2,$AH80*$AB$29,0), IF('CO-PO Mapping'!U$3,$AI80*$AC$29,0), IF('CO-PO Mapping'!U$4,$AJ80*$AD$29,0), IF('CO-PO Mapping'!U$5,$AK80*$AE$29,0), IF('CO-PO Mapping'!U$6,$AL80*$AF$29,0), IF('CO-PO Mapping'!U$7,$AM80*$AG$29,0)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IF('CO-PO Mapping'!U$6, IF(OR($AR80="-",SUM(IF('CO-PO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IF('CO-PO Mapping'!U$7, IF(OR($AS80="-",SUM(IF('CO-PO Mapping'!U$2,$AB$29,0),IF('CO-PO Mapping'!U$3,$AC$29,0),IF('CO-PO Mapping'!U$4,$AD$29,0),IF('CO-PO Mapping'!U$5,$AE$29,0),IF('CO-PO Mapping'!U$6,$AF$29,0),IF('CO-PO Mapping'!U$7,$AG$29,0))=0), "-", IF(SUM(IF('CO-PO Mapping'!U$2,$AH80*$AB$29,0),IF('CO-PO Mapping'!U$3,$AI80*$AC$29,0),IF('CO-PO Mapping'!U$4,$AJ80*$AD$29,0),IF('CO-PO Mapping'!U$5,$AK80*$AE$29,0),IF('CO-PO Mapping'!U$6,$AL80*$AF$29,0),IF('CO-PO Mapping'!U$7,$AM80*$AG$29,0))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0" s="95" t="str">
        <f>IF('CO-PO Mapping'!V$2, IF(OR($AN80="-",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IF(OR($AP80="-", SUM( IF('CO-PO Mapping'!V$2,$AB$29,0), IF('CO-PO Mapping'!V$3,$AC$29,0), IF('CO-PO Mapping'!V$4,$AD$29,0), IF('CO-PO Mapping'!V$5,$AE$29,0), IF('CO-PO Mapping'!V$6,$AF$29,0), IF('CO-PO Mapping'!V$7,$AG$29,0) )=0), "-", IF( SUM( IF('CO-PO Mapping'!V$2,$AH80*$AB$29,0), IF('CO-PO Mapping'!V$3,$AI80*$AC$29,0), IF('CO-PO Mapping'!V$4,$AJ80*$AD$29,0), IF('CO-PO Mapping'!V$5,$AK80*$AE$29,0), IF('CO-PO Mapping'!V$6,$AL80*$AF$29,0), IF('CO-PO Mapping'!V$7,$AM80*$AG$29,0)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IF('CO-PO Mapping'!V$6, IF(OR($AR80="-",SUM(IF('CO-PO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IF('CO-PO Mapping'!V$7, IF(OR($AS80="-",SUM(IF('CO-PO Mapping'!V$2,$AB$29,0),IF('CO-PO Mapping'!V$3,$AC$29,0),IF('CO-PO Mapping'!V$4,$AD$29,0),IF('CO-PO Mapping'!V$5,$AE$29,0),IF('CO-PO Mapping'!V$6,$AF$29,0),IF('CO-PO Mapping'!V$7,$AG$29,0))=0), "-", IF(SUM(IF('CO-PO Mapping'!V$2,$AH80*$AB$29,0),IF('CO-PO Mapping'!V$3,$AI80*$AC$29,0),IF('CO-PO Mapping'!V$4,$AJ80*$AD$29,0),IF('CO-PO Mapping'!V$5,$AK80*$AE$29,0),IF('CO-PO Mapping'!V$6,$AL80*$AF$29,0),IF('CO-PO Mapping'!V$7,$AM80*$AG$29,0))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0" s="95" t="str">
        <f>IF('CO-PO Mapping'!W$2, IF(OR($AN80="-",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IF(OR($AP80="-", SUM( IF('CO-PO Mapping'!W$2,$AB$29,0), IF('CO-PO Mapping'!W$3,$AC$29,0), IF('CO-PO Mapping'!W$4,$AD$29,0), IF('CO-PO Mapping'!W$5,$AE$29,0), IF('CO-PO Mapping'!W$6,$AF$29,0), IF('CO-PO Mapping'!W$7,$AG$29,0) )=0), "-", IF( SUM( IF('CO-PO Mapping'!W$2,$AH80*$AB$29,0), IF('CO-PO Mapping'!W$3,$AI80*$AC$29,0), IF('CO-PO Mapping'!W$4,$AJ80*$AD$29,0), IF('CO-PO Mapping'!W$5,$AK80*$AE$29,0), IF('CO-PO Mapping'!W$6,$AL80*$AF$29,0), IF('CO-PO Mapping'!W$7,$AM80*$AG$29,0)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IF('CO-PO Mapping'!W$6, IF(OR($AR80="-",SUM(IF('CO-PO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IF('CO-PO Mapping'!W$7, IF(OR($AS80="-",SUM(IF('CO-PO Mapping'!W$2,$AB$29,0),IF('CO-PO Mapping'!W$3,$AC$29,0),IF('CO-PO Mapping'!W$4,$AD$29,0),IF('CO-PO Mapping'!W$5,$AE$29,0),IF('CO-PO Mapping'!W$6,$AF$29,0),IF('CO-PO Mapping'!W$7,$AG$29,0))=0), "-", IF(SUM(IF('CO-PO Mapping'!W$2,$AH80*$AB$29,0),IF('CO-PO Mapping'!W$3,$AI80*$AC$29,0),IF('CO-PO Mapping'!W$4,$AJ80*$AD$29,0),IF('CO-PO Mapping'!W$5,$AK80*$AE$29,0),IF('CO-PO Mapping'!W$6,$AL80*$AF$29,0),IF('CO-PO Mapping'!W$7,$AM80*$AG$29,0))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0" s="95" t="str">
        <f>IF('CO-PO Mapping'!X$2, IF(OR($AN80="-",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IF(OR($AP80="-", SUM( IF('CO-PO Mapping'!X$2,$AB$29,0), IF('CO-PO Mapping'!X$3,$AC$29,0), IF('CO-PO Mapping'!X$4,$AD$29,0), IF('CO-PO Mapping'!X$5,$AE$29,0), IF('CO-PO Mapping'!X$6,$AF$29,0), IF('CO-PO Mapping'!X$7,$AG$29,0) )=0), "-", IF( SUM( IF('CO-PO Mapping'!X$2,$AH80*$AB$29,0), IF('CO-PO Mapping'!X$3,$AI80*$AC$29,0), IF('CO-PO Mapping'!X$4,$AJ80*$AD$29,0), IF('CO-PO Mapping'!X$5,$AK80*$AE$29,0), IF('CO-PO Mapping'!X$6,$AL80*$AF$29,0), IF('CO-PO Mapping'!X$7,$AM80*$AG$29,0)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IF('CO-PO Mapping'!X$6, IF(OR($AR80="-",SUM(IF('CO-PO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IF('CO-PO Mapping'!X$7, IF(OR($AS80="-",SUM(IF('CO-PO Mapping'!X$2,$AB$29,0),IF('CO-PO Mapping'!X$3,$AC$29,0),IF('CO-PO Mapping'!X$4,$AD$29,0),IF('CO-PO Mapping'!X$5,$AE$29,0),IF('CO-PO Mapping'!X$6,$AF$29,0),IF('CO-PO Mapping'!X$7,$AG$29,0))=0), "-", IF(SUM(IF('CO-PO Mapping'!X$2,$AH80*$AB$29,0),IF('CO-PO Mapping'!X$3,$AI80*$AC$29,0),IF('CO-PO Mapping'!X$4,$AJ80*$AD$29,0),IF('CO-PO Mapping'!X$5,$AK80*$AE$29,0),IF('CO-PO Mapping'!X$6,$AL80*$AF$29,0),IF('CO-PO Mapping'!X$7,$AM80*$AG$29,0))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0" s="95" t="str">
        <f>IF('CO-PO Mapping'!Y$2, IF(OR($AN80="-",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IF(OR($AP80="-", SUM( IF('CO-PO Mapping'!Y$2,$AB$29,0), IF('CO-PO Mapping'!Y$3,$AC$29,0), IF('CO-PO Mapping'!Y$4,$AD$29,0), IF('CO-PO Mapping'!Y$5,$AE$29,0), IF('CO-PO Mapping'!Y$6,$AF$29,0), IF('CO-PO Mapping'!Y$7,$AG$29,0) )=0), "-", IF( SUM( IF('CO-PO Mapping'!Y$2,$AH80*$AB$29,0), IF('CO-PO Mapping'!Y$3,$AI80*$AC$29,0), IF('CO-PO Mapping'!Y$4,$AJ80*$AD$29,0), IF('CO-PO Mapping'!Y$5,$AK80*$AE$29,0), IF('CO-PO Mapping'!Y$6,$AL80*$AF$29,0), IF('CO-PO Mapping'!Y$7,$AM80*$AG$29,0)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IF('CO-PO Mapping'!Y$6, IF(OR($AR80="-",SUM(IF('CO-PO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IF('CO-PO Mapping'!Y$7, IF(OR($AS80="-",SUM(IF('CO-PO Mapping'!Y$2,$AB$29,0),IF('CO-PO Mapping'!Y$3,$AC$29,0),IF('CO-PO Mapping'!Y$4,$AD$29,0),IF('CO-PO Mapping'!Y$5,$AE$29,0),IF('CO-PO Mapping'!Y$6,$AF$29,0),IF('CO-PO Mapping'!Y$7,$AG$29,0))=0), "-", IF(SUM(IF('CO-PO Mapping'!Y$2,$AH80*$AB$29,0),IF('CO-PO Mapping'!Y$3,$AI80*$AC$29,0),IF('CO-PO Mapping'!Y$4,$AJ80*$AD$29,0),IF('CO-PO Mapping'!Y$5,$AK80*$AE$29,0),IF('CO-PO Mapping'!Y$6,$AL80*$AF$29,0),IF('CO-PO Mapping'!Y$7,$AM80*$AG$29,0))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0" s="95" t="str">
        <f>IF('CO-PO Mapping'!Z$2, IF(OR($AN80="-",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IF(OR($AP80="-", SUM( IF('CO-PO Mapping'!Z$2,$AB$29,0), IF('CO-PO Mapping'!Z$3,$AC$29,0), IF('CO-PO Mapping'!Z$4,$AD$29,0), IF('CO-PO Mapping'!Z$5,$AE$29,0), IF('CO-PO Mapping'!Z$6,$AF$29,0), IF('CO-PO Mapping'!Z$7,$AG$29,0) )=0), "-", IF( SUM( IF('CO-PO Mapping'!Z$2,$AH80*$AB$29,0), IF('CO-PO Mapping'!Z$3,$AI80*$AC$29,0), IF('CO-PO Mapping'!Z$4,$AJ80*$AD$29,0), IF('CO-PO Mapping'!Z$5,$AK80*$AE$29,0), IF('CO-PO Mapping'!Z$6,$AL80*$AF$29,0), IF('CO-PO Mapping'!Z$7,$AM80*$AG$29,0)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IF('CO-PO Mapping'!Z$6, IF(OR($AR80="-",SUM(IF('CO-PO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IF('CO-PO Mapping'!Z$7, IF(OR($AS80="-",SUM(IF('CO-PO Mapping'!Z$2,$AB$29,0),IF('CO-PO Mapping'!Z$3,$AC$29,0),IF('CO-PO Mapping'!Z$4,$AD$29,0),IF('CO-PO Mapping'!Z$5,$AE$29,0),IF('CO-PO Mapping'!Z$6,$AF$29,0),IF('CO-PO Mapping'!Z$7,$AG$29,0))=0), "-", IF(SUM(IF('CO-PO Mapping'!Z$2,$AH80*$AB$29,0),IF('CO-PO Mapping'!Z$3,$AI80*$AC$29,0),IF('CO-PO Mapping'!Z$4,$AJ80*$AD$29,0),IF('CO-PO Mapping'!Z$5,$AK80*$AE$29,0),IF('CO-PO Mapping'!Z$6,$AL80*$AF$29,0),IF('CO-PO Mapping'!Z$7,$AM80*$AG$29,0))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1" spans="1:57" ht="15" customHeight="1">
      <c r="A81" s="87"/>
      <c r="B81" s="84"/>
      <c r="C81" s="74"/>
      <c r="D81" s="74"/>
      <c r="E81" s="75"/>
      <c r="F81" s="75"/>
      <c r="G81" s="75"/>
      <c r="H81" s="103" t="str">
        <f t="shared" si="29"/>
        <v>-</v>
      </c>
      <c r="I81" s="75"/>
      <c r="J81" s="75"/>
      <c r="K81" s="75"/>
      <c r="L81" s="75"/>
      <c r="M81" s="75"/>
      <c r="N81" s="75"/>
      <c r="O81" s="105" t="str">
        <f t="shared" si="30"/>
        <v>-</v>
      </c>
      <c r="P81" s="75"/>
      <c r="Q81" s="75"/>
      <c r="R81" s="75"/>
      <c r="S81" s="75"/>
      <c r="T81" s="75"/>
      <c r="U81" s="75"/>
      <c r="V81" s="104" t="str">
        <f t="shared" si="31"/>
        <v>-</v>
      </c>
      <c r="W81" s="83" t="str">
        <f t="shared" si="28"/>
        <v>-</v>
      </c>
      <c r="X81" s="98" t="str">
        <f t="shared" si="32"/>
        <v>-</v>
      </c>
      <c r="Z81" s="42" t="str">
        <f t="shared" si="26"/>
        <v/>
      </c>
      <c r="AA81" s="43" t="str">
        <f t="shared" si="27"/>
        <v/>
      </c>
      <c r="AB81" s="90">
        <f t="shared" si="11"/>
        <v>0</v>
      </c>
      <c r="AC81" s="90">
        <f t="shared" si="11"/>
        <v>0</v>
      </c>
      <c r="AD81" s="90">
        <f t="shared" si="11"/>
        <v>0</v>
      </c>
      <c r="AE81" s="90">
        <f t="shared" si="11"/>
        <v>0</v>
      </c>
      <c r="AF81" s="90">
        <f t="shared" si="11"/>
        <v>0</v>
      </c>
      <c r="AG81" s="90">
        <f t="shared" si="25"/>
        <v>0</v>
      </c>
      <c r="AH81" s="92">
        <f t="shared" si="12"/>
        <v>0</v>
      </c>
      <c r="AI81" s="92">
        <f t="shared" si="13"/>
        <v>0</v>
      </c>
      <c r="AJ81" s="92">
        <f t="shared" si="14"/>
        <v>0</v>
      </c>
      <c r="AK81" s="92">
        <f t="shared" si="22"/>
        <v>0</v>
      </c>
      <c r="AL81" s="92">
        <f t="shared" si="15"/>
        <v>0</v>
      </c>
      <c r="AM81" s="92">
        <f>IF($AG$29=0,0,AG81*100/$AG$29)</f>
        <v>0</v>
      </c>
      <c r="AN81" s="93" t="str">
        <f t="shared" si="23"/>
        <v>-</v>
      </c>
      <c r="AO81" s="93" t="str">
        <f t="shared" si="17"/>
        <v>-</v>
      </c>
      <c r="AP81" s="93" t="str">
        <f t="shared" si="18"/>
        <v>-</v>
      </c>
      <c r="AQ81" s="93" t="str">
        <f t="shared" si="19"/>
        <v>-</v>
      </c>
      <c r="AR81" s="93" t="str">
        <f t="shared" si="20"/>
        <v>-</v>
      </c>
      <c r="AS81" s="93" t="str">
        <f t="shared" si="21"/>
        <v>-</v>
      </c>
      <c r="AT81" s="95" t="str">
        <f>IF('CO-PO Mapping'!O$2, IF(OR($AN81="-",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IF(OR($AP81="-", SUM( IF('CO-PO Mapping'!O$2,$AB$29,0), IF('CO-PO Mapping'!O$3,$AC$29,0), IF('CO-PO Mapping'!O$4,$AD$29,0), IF('CO-PO Mapping'!O$5,$AE$29,0), IF('CO-PO Mapping'!O$6,$AF$29,0), IF('CO-PO Mapping'!O$7,$AG$29,0) )=0), "-", IF( SUM( IF('CO-PO Mapping'!O$2,$AH81*$AB$29,0), IF('CO-PO Mapping'!O$3,$AI81*$AC$29,0), IF('CO-PO Mapping'!O$4,$AJ81*$AD$29,0), IF('CO-PO Mapping'!O$5,$AK81*$AE$29,0), IF('CO-PO Mapping'!O$6,$AL81*$AF$29,0), IF('CO-PO Mapping'!O$7,$AM81*$AG$29,0)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IF('CO-PO Mapping'!O$6, IF(OR($AR81="-",SUM(IF('CO-PO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IF('CO-PO Mapping'!O$7, IF(OR($AS81="-",SUM(IF('CO-PO Mapping'!O$2,$AB$29,0),IF('CO-PO Mapping'!O$3,$AC$29,0),IF('CO-PO Mapping'!O$4,$AD$29,0),IF('CO-PO Mapping'!O$5,$AE$29,0),IF('CO-PO Mapping'!O$6,$AF$29,0),IF('CO-PO Mapping'!O$7,$AG$29,0))=0), "-", IF(SUM(IF('CO-PO Mapping'!O$2,$AH81*$AB$29,0),IF('CO-PO Mapping'!O$3,$AI81*$AC$29,0),IF('CO-PO Mapping'!O$4,$AJ81*$AD$29,0),IF('CO-PO Mapping'!O$5,$AK81*$AE$29,0),IF('CO-PO Mapping'!O$6,$AL81*$AF$29,0),IF('CO-PO Mapping'!O$7,$AM81*$AG$29,0))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1" s="95" t="str">
        <f>IF('CO-PO Mapping'!P$2, IF(OR($AN81="-",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IF(OR($AP81="-", SUM( IF('CO-PO Mapping'!P$2,$AB$29,0), IF('CO-PO Mapping'!P$3,$AC$29,0), IF('CO-PO Mapping'!P$4,$AD$29,0), IF('CO-PO Mapping'!P$5,$AE$29,0), IF('CO-PO Mapping'!P$6,$AF$29,0), IF('CO-PO Mapping'!P$7,$AG$29,0) )=0), "-", IF( SUM( IF('CO-PO Mapping'!P$2,$AH81*$AB$29,0), IF('CO-PO Mapping'!P$3,$AI81*$AC$29,0), IF('CO-PO Mapping'!P$4,$AJ81*$AD$29,0), IF('CO-PO Mapping'!P$5,$AK81*$AE$29,0), IF('CO-PO Mapping'!P$6,$AL81*$AF$29,0), IF('CO-PO Mapping'!P$7,$AM81*$AG$29,0)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IF('CO-PO Mapping'!P$6, IF(OR($AR81="-",SUM(IF('CO-PO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IF('CO-PO Mapping'!P$7, IF(OR($AS81="-",SUM(IF('CO-PO Mapping'!P$2,$AB$29,0),IF('CO-PO Mapping'!P$3,$AC$29,0),IF('CO-PO Mapping'!P$4,$AD$29,0),IF('CO-PO Mapping'!P$5,$AE$29,0),IF('CO-PO Mapping'!P$6,$AF$29,0),IF('CO-PO Mapping'!P$7,$AG$29,0))=0), "-", IF(SUM(IF('CO-PO Mapping'!P$2,$AH81*$AB$29,0),IF('CO-PO Mapping'!P$3,$AI81*$AC$29,0),IF('CO-PO Mapping'!P$4,$AJ81*$AD$29,0),IF('CO-PO Mapping'!P$5,$AK81*$AE$29,0),IF('CO-PO Mapping'!P$6,$AL81*$AF$29,0),IF('CO-PO Mapping'!P$7,$AM81*$AG$29,0))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1" s="95" t="str">
        <f>IF('CO-PO Mapping'!Q$2, IF(OR($AN81="-",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IF(OR($AP81="-", SUM( IF('CO-PO Mapping'!Q$2,$AB$29,0), IF('CO-PO Mapping'!Q$3,$AC$29,0), IF('CO-PO Mapping'!Q$4,$AD$29,0), IF('CO-PO Mapping'!Q$5,$AE$29,0), IF('CO-PO Mapping'!Q$6,$AF$29,0), IF('CO-PO Mapping'!Q$7,$AG$29,0) )=0), "-", IF( SUM( IF('CO-PO Mapping'!Q$2,$AH81*$AB$29,0), IF('CO-PO Mapping'!Q$3,$AI81*$AC$29,0), IF('CO-PO Mapping'!Q$4,$AJ81*$AD$29,0), IF('CO-PO Mapping'!Q$5,$AK81*$AE$29,0), IF('CO-PO Mapping'!Q$6,$AL81*$AF$29,0), IF('CO-PO Mapping'!Q$7,$AM81*$AG$29,0)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IF('CO-PO Mapping'!Q$6, IF(OR($AR81="-",SUM(IF('CO-PO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IF('CO-PO Mapping'!Q$7, IF(OR($AS81="-",SUM(IF('CO-PO Mapping'!Q$2,$AB$29,0),IF('CO-PO Mapping'!Q$3,$AC$29,0),IF('CO-PO Mapping'!Q$4,$AD$29,0),IF('CO-PO Mapping'!Q$5,$AE$29,0),IF('CO-PO Mapping'!Q$6,$AF$29,0),IF('CO-PO Mapping'!Q$7,$AG$29,0))=0), "-", IF(SUM(IF('CO-PO Mapping'!Q$2,$AH81*$AB$29,0),IF('CO-PO Mapping'!Q$3,$AI81*$AC$29,0),IF('CO-PO Mapping'!Q$4,$AJ81*$AD$29,0),IF('CO-PO Mapping'!Q$5,$AK81*$AE$29,0),IF('CO-PO Mapping'!Q$6,$AL81*$AF$29,0),IF('CO-PO Mapping'!Q$7,$AM81*$AG$29,0))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1" s="95" t="str">
        <f>IF('CO-PO Mapping'!R$2, IF(OR($AN81="-",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IF(OR($AP81="-", SUM( IF('CO-PO Mapping'!R$2,$AB$29,0), IF('CO-PO Mapping'!R$3,$AC$29,0), IF('CO-PO Mapping'!R$4,$AD$29,0), IF('CO-PO Mapping'!R$5,$AE$29,0), IF('CO-PO Mapping'!R$6,$AF$29,0), IF('CO-PO Mapping'!R$7,$AG$29,0) )=0), "-", IF( SUM( IF('CO-PO Mapping'!R$2,$AH81*$AB$29,0), IF('CO-PO Mapping'!R$3,$AI81*$AC$29,0), IF('CO-PO Mapping'!R$4,$AJ81*$AD$29,0), IF('CO-PO Mapping'!R$5,$AK81*$AE$29,0), IF('CO-PO Mapping'!R$6,$AL81*$AF$29,0), IF('CO-PO Mapping'!R$7,$AM81*$AG$29,0)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IF('CO-PO Mapping'!R$6, IF(OR($AR81="-",SUM(IF('CO-PO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IF('CO-PO Mapping'!R$7, IF(OR($AS81="-",SUM(IF('CO-PO Mapping'!R$2,$AB$29,0),IF('CO-PO Mapping'!R$3,$AC$29,0),IF('CO-PO Mapping'!R$4,$AD$29,0),IF('CO-PO Mapping'!R$5,$AE$29,0),IF('CO-PO Mapping'!R$6,$AF$29,0),IF('CO-PO Mapping'!R$7,$AG$29,0))=0), "-", IF(SUM(IF('CO-PO Mapping'!R$2,$AH81*$AB$29,0),IF('CO-PO Mapping'!R$3,$AI81*$AC$29,0),IF('CO-PO Mapping'!R$4,$AJ81*$AD$29,0),IF('CO-PO Mapping'!R$5,$AK81*$AE$29,0),IF('CO-PO Mapping'!R$6,$AL81*$AF$29,0),IF('CO-PO Mapping'!R$7,$AM81*$AG$29,0))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1" s="95" t="str">
        <f>IF('CO-PO Mapping'!S$2, IF(OR($AN81="-",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IF(OR($AP81="-", SUM( IF('CO-PO Mapping'!S$2,$AB$29,0), IF('CO-PO Mapping'!S$3,$AC$29,0), IF('CO-PO Mapping'!S$4,$AD$29,0), IF('CO-PO Mapping'!S$5,$AE$29,0), IF('CO-PO Mapping'!S$6,$AF$29,0), IF('CO-PO Mapping'!S$7,$AG$29,0) )=0), "-", IF( SUM( IF('CO-PO Mapping'!S$2,$AH81*$AB$29,0), IF('CO-PO Mapping'!S$3,$AI81*$AC$29,0), IF('CO-PO Mapping'!S$4,$AJ81*$AD$29,0), IF('CO-PO Mapping'!S$5,$AK81*$AE$29,0), IF('CO-PO Mapping'!S$6,$AL81*$AF$29,0), IF('CO-PO Mapping'!S$7,$AM81*$AG$29,0)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IF('CO-PO Mapping'!S$6, IF(OR($AR81="-",SUM(IF('CO-PO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IF('CO-PO Mapping'!S$7, IF(OR($AS81="-",SUM(IF('CO-PO Mapping'!S$2,$AB$29,0),IF('CO-PO Mapping'!S$3,$AC$29,0),IF('CO-PO Mapping'!S$4,$AD$29,0),IF('CO-PO Mapping'!S$5,$AE$29,0),IF('CO-PO Mapping'!S$6,$AF$29,0),IF('CO-PO Mapping'!S$7,$AG$29,0))=0), "-", IF(SUM(IF('CO-PO Mapping'!S$2,$AH81*$AB$29,0),IF('CO-PO Mapping'!S$3,$AI81*$AC$29,0),IF('CO-PO Mapping'!S$4,$AJ81*$AD$29,0),IF('CO-PO Mapping'!S$5,$AK81*$AE$29,0),IF('CO-PO Mapping'!S$6,$AL81*$AF$29,0),IF('CO-PO Mapping'!S$7,$AM81*$AG$29,0))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1" s="95" t="str">
        <f>IF('CO-PO Mapping'!T$2, IF(OR($AN81="-",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IF(OR($AP81="-", SUM( IF('CO-PO Mapping'!T$2,$AB$29,0), IF('CO-PO Mapping'!T$3,$AC$29,0), IF('CO-PO Mapping'!T$4,$AD$29,0), IF('CO-PO Mapping'!T$5,$AE$29,0), IF('CO-PO Mapping'!T$6,$AF$29,0), IF('CO-PO Mapping'!T$7,$AG$29,0) )=0), "-", IF( SUM( IF('CO-PO Mapping'!T$2,$AH81*$AB$29,0), IF('CO-PO Mapping'!T$3,$AI81*$AC$29,0), IF('CO-PO Mapping'!T$4,$AJ81*$AD$29,0), IF('CO-PO Mapping'!T$5,$AK81*$AE$29,0), IF('CO-PO Mapping'!T$6,$AL81*$AF$29,0), IF('CO-PO Mapping'!T$7,$AM81*$AG$29,0)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IF('CO-PO Mapping'!T$6, IF(OR($AR81="-",SUM(IF('CO-PO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IF('CO-PO Mapping'!T$7, IF(OR($AS81="-",SUM(IF('CO-PO Mapping'!T$2,$AB$29,0),IF('CO-PO Mapping'!T$3,$AC$29,0),IF('CO-PO Mapping'!T$4,$AD$29,0),IF('CO-PO Mapping'!T$5,$AE$29,0),IF('CO-PO Mapping'!T$6,$AF$29,0),IF('CO-PO Mapping'!T$7,$AG$29,0))=0), "-", IF(SUM(IF('CO-PO Mapping'!T$2,$AH81*$AB$29,0),IF('CO-PO Mapping'!T$3,$AI81*$AC$29,0),IF('CO-PO Mapping'!T$4,$AJ81*$AD$29,0),IF('CO-PO Mapping'!T$5,$AK81*$AE$29,0),IF('CO-PO Mapping'!T$6,$AL81*$AF$29,0),IF('CO-PO Mapping'!T$7,$AM81*$AG$29,0))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1" s="95" t="str">
        <f>IF('CO-PO Mapping'!U$2, IF(OR($AN81="-",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IF(OR($AP81="-", SUM( IF('CO-PO Mapping'!U$2,$AB$29,0), IF('CO-PO Mapping'!U$3,$AC$29,0), IF('CO-PO Mapping'!U$4,$AD$29,0), IF('CO-PO Mapping'!U$5,$AE$29,0), IF('CO-PO Mapping'!U$6,$AF$29,0), IF('CO-PO Mapping'!U$7,$AG$29,0) )=0), "-", IF( SUM( IF('CO-PO Mapping'!U$2,$AH81*$AB$29,0), IF('CO-PO Mapping'!U$3,$AI81*$AC$29,0), IF('CO-PO Mapping'!U$4,$AJ81*$AD$29,0), IF('CO-PO Mapping'!U$5,$AK81*$AE$29,0), IF('CO-PO Mapping'!U$6,$AL81*$AF$29,0), IF('CO-PO Mapping'!U$7,$AM81*$AG$29,0)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IF('CO-PO Mapping'!U$6, IF(OR($AR81="-",SUM(IF('CO-PO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IF('CO-PO Mapping'!U$7, IF(OR($AS81="-",SUM(IF('CO-PO Mapping'!U$2,$AB$29,0),IF('CO-PO Mapping'!U$3,$AC$29,0),IF('CO-PO Mapping'!U$4,$AD$29,0),IF('CO-PO Mapping'!U$5,$AE$29,0),IF('CO-PO Mapping'!U$6,$AF$29,0),IF('CO-PO Mapping'!U$7,$AG$29,0))=0), "-", IF(SUM(IF('CO-PO Mapping'!U$2,$AH81*$AB$29,0),IF('CO-PO Mapping'!U$3,$AI81*$AC$29,0),IF('CO-PO Mapping'!U$4,$AJ81*$AD$29,0),IF('CO-PO Mapping'!U$5,$AK81*$AE$29,0),IF('CO-PO Mapping'!U$6,$AL81*$AF$29,0),IF('CO-PO Mapping'!U$7,$AM81*$AG$29,0))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1" s="95" t="str">
        <f>IF('CO-PO Mapping'!V$2, IF(OR($AN81="-",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IF(OR($AP81="-", SUM( IF('CO-PO Mapping'!V$2,$AB$29,0), IF('CO-PO Mapping'!V$3,$AC$29,0), IF('CO-PO Mapping'!V$4,$AD$29,0), IF('CO-PO Mapping'!V$5,$AE$29,0), IF('CO-PO Mapping'!V$6,$AF$29,0), IF('CO-PO Mapping'!V$7,$AG$29,0) )=0), "-", IF( SUM( IF('CO-PO Mapping'!V$2,$AH81*$AB$29,0), IF('CO-PO Mapping'!V$3,$AI81*$AC$29,0), IF('CO-PO Mapping'!V$4,$AJ81*$AD$29,0), IF('CO-PO Mapping'!V$5,$AK81*$AE$29,0), IF('CO-PO Mapping'!V$6,$AL81*$AF$29,0), IF('CO-PO Mapping'!V$7,$AM81*$AG$29,0)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IF('CO-PO Mapping'!V$6, IF(OR($AR81="-",SUM(IF('CO-PO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IF('CO-PO Mapping'!V$7, IF(OR($AS81="-",SUM(IF('CO-PO Mapping'!V$2,$AB$29,0),IF('CO-PO Mapping'!V$3,$AC$29,0),IF('CO-PO Mapping'!V$4,$AD$29,0),IF('CO-PO Mapping'!V$5,$AE$29,0),IF('CO-PO Mapping'!V$6,$AF$29,0),IF('CO-PO Mapping'!V$7,$AG$29,0))=0), "-", IF(SUM(IF('CO-PO Mapping'!V$2,$AH81*$AB$29,0),IF('CO-PO Mapping'!V$3,$AI81*$AC$29,0),IF('CO-PO Mapping'!V$4,$AJ81*$AD$29,0),IF('CO-PO Mapping'!V$5,$AK81*$AE$29,0),IF('CO-PO Mapping'!V$6,$AL81*$AF$29,0),IF('CO-PO Mapping'!V$7,$AM81*$AG$29,0))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1" s="95" t="str">
        <f>IF('CO-PO Mapping'!W$2, IF(OR($AN81="-",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IF(OR($AP81="-", SUM( IF('CO-PO Mapping'!W$2,$AB$29,0), IF('CO-PO Mapping'!W$3,$AC$29,0), IF('CO-PO Mapping'!W$4,$AD$29,0), IF('CO-PO Mapping'!W$5,$AE$29,0), IF('CO-PO Mapping'!W$6,$AF$29,0), IF('CO-PO Mapping'!W$7,$AG$29,0) )=0), "-", IF( SUM( IF('CO-PO Mapping'!W$2,$AH81*$AB$29,0), IF('CO-PO Mapping'!W$3,$AI81*$AC$29,0), IF('CO-PO Mapping'!W$4,$AJ81*$AD$29,0), IF('CO-PO Mapping'!W$5,$AK81*$AE$29,0), IF('CO-PO Mapping'!W$6,$AL81*$AF$29,0), IF('CO-PO Mapping'!W$7,$AM81*$AG$29,0)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IF('CO-PO Mapping'!W$6, IF(OR($AR81="-",SUM(IF('CO-PO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IF('CO-PO Mapping'!W$7, IF(OR($AS81="-",SUM(IF('CO-PO Mapping'!W$2,$AB$29,0),IF('CO-PO Mapping'!W$3,$AC$29,0),IF('CO-PO Mapping'!W$4,$AD$29,0),IF('CO-PO Mapping'!W$5,$AE$29,0),IF('CO-PO Mapping'!W$6,$AF$29,0),IF('CO-PO Mapping'!W$7,$AG$29,0))=0), "-", IF(SUM(IF('CO-PO Mapping'!W$2,$AH81*$AB$29,0),IF('CO-PO Mapping'!W$3,$AI81*$AC$29,0),IF('CO-PO Mapping'!W$4,$AJ81*$AD$29,0),IF('CO-PO Mapping'!W$5,$AK81*$AE$29,0),IF('CO-PO Mapping'!W$6,$AL81*$AF$29,0),IF('CO-PO Mapping'!W$7,$AM81*$AG$29,0))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1" s="95" t="str">
        <f>IF('CO-PO Mapping'!X$2, IF(OR($AN81="-",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IF(OR($AP81="-", SUM( IF('CO-PO Mapping'!X$2,$AB$29,0), IF('CO-PO Mapping'!X$3,$AC$29,0), IF('CO-PO Mapping'!X$4,$AD$29,0), IF('CO-PO Mapping'!X$5,$AE$29,0), IF('CO-PO Mapping'!X$6,$AF$29,0), IF('CO-PO Mapping'!X$7,$AG$29,0) )=0), "-", IF( SUM( IF('CO-PO Mapping'!X$2,$AH81*$AB$29,0), IF('CO-PO Mapping'!X$3,$AI81*$AC$29,0), IF('CO-PO Mapping'!X$4,$AJ81*$AD$29,0), IF('CO-PO Mapping'!X$5,$AK81*$AE$29,0), IF('CO-PO Mapping'!X$6,$AL81*$AF$29,0), IF('CO-PO Mapping'!X$7,$AM81*$AG$29,0)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IF('CO-PO Mapping'!X$6, IF(OR($AR81="-",SUM(IF('CO-PO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IF('CO-PO Mapping'!X$7, IF(OR($AS81="-",SUM(IF('CO-PO Mapping'!X$2,$AB$29,0),IF('CO-PO Mapping'!X$3,$AC$29,0),IF('CO-PO Mapping'!X$4,$AD$29,0),IF('CO-PO Mapping'!X$5,$AE$29,0),IF('CO-PO Mapping'!X$6,$AF$29,0),IF('CO-PO Mapping'!X$7,$AG$29,0))=0), "-", IF(SUM(IF('CO-PO Mapping'!X$2,$AH81*$AB$29,0),IF('CO-PO Mapping'!X$3,$AI81*$AC$29,0),IF('CO-PO Mapping'!X$4,$AJ81*$AD$29,0),IF('CO-PO Mapping'!X$5,$AK81*$AE$29,0),IF('CO-PO Mapping'!X$6,$AL81*$AF$29,0),IF('CO-PO Mapping'!X$7,$AM81*$AG$29,0))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1" s="95" t="str">
        <f>IF('CO-PO Mapping'!Y$2, IF(OR($AN81="-",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IF(OR($AP81="-", SUM( IF('CO-PO Mapping'!Y$2,$AB$29,0), IF('CO-PO Mapping'!Y$3,$AC$29,0), IF('CO-PO Mapping'!Y$4,$AD$29,0), IF('CO-PO Mapping'!Y$5,$AE$29,0), IF('CO-PO Mapping'!Y$6,$AF$29,0), IF('CO-PO Mapping'!Y$7,$AG$29,0) )=0), "-", IF( SUM( IF('CO-PO Mapping'!Y$2,$AH81*$AB$29,0), IF('CO-PO Mapping'!Y$3,$AI81*$AC$29,0), IF('CO-PO Mapping'!Y$4,$AJ81*$AD$29,0), IF('CO-PO Mapping'!Y$5,$AK81*$AE$29,0), IF('CO-PO Mapping'!Y$6,$AL81*$AF$29,0), IF('CO-PO Mapping'!Y$7,$AM81*$AG$29,0)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IF('CO-PO Mapping'!Y$6, IF(OR($AR81="-",SUM(IF('CO-PO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IF('CO-PO Mapping'!Y$7, IF(OR($AS81="-",SUM(IF('CO-PO Mapping'!Y$2,$AB$29,0),IF('CO-PO Mapping'!Y$3,$AC$29,0),IF('CO-PO Mapping'!Y$4,$AD$29,0),IF('CO-PO Mapping'!Y$5,$AE$29,0),IF('CO-PO Mapping'!Y$6,$AF$29,0),IF('CO-PO Mapping'!Y$7,$AG$29,0))=0), "-", IF(SUM(IF('CO-PO Mapping'!Y$2,$AH81*$AB$29,0),IF('CO-PO Mapping'!Y$3,$AI81*$AC$29,0),IF('CO-PO Mapping'!Y$4,$AJ81*$AD$29,0),IF('CO-PO Mapping'!Y$5,$AK81*$AE$29,0),IF('CO-PO Mapping'!Y$6,$AL81*$AF$29,0),IF('CO-PO Mapping'!Y$7,$AM81*$AG$29,0))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1" s="95" t="str">
        <f>IF('CO-PO Mapping'!Z$2, IF(OR($AN81="-",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IF(OR($AP81="-", SUM( IF('CO-PO Mapping'!Z$2,$AB$29,0), IF('CO-PO Mapping'!Z$3,$AC$29,0), IF('CO-PO Mapping'!Z$4,$AD$29,0), IF('CO-PO Mapping'!Z$5,$AE$29,0), IF('CO-PO Mapping'!Z$6,$AF$29,0), IF('CO-PO Mapping'!Z$7,$AG$29,0) )=0), "-", IF( SUM( IF('CO-PO Mapping'!Z$2,$AH81*$AB$29,0), IF('CO-PO Mapping'!Z$3,$AI81*$AC$29,0), IF('CO-PO Mapping'!Z$4,$AJ81*$AD$29,0), IF('CO-PO Mapping'!Z$5,$AK81*$AE$29,0), IF('CO-PO Mapping'!Z$6,$AL81*$AF$29,0), IF('CO-PO Mapping'!Z$7,$AM81*$AG$29,0)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IF('CO-PO Mapping'!Z$6, IF(OR($AR81="-",SUM(IF('CO-PO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IF('CO-PO Mapping'!Z$7, IF(OR($AS81="-",SUM(IF('CO-PO Mapping'!Z$2,$AB$29,0),IF('CO-PO Mapping'!Z$3,$AC$29,0),IF('CO-PO Mapping'!Z$4,$AD$29,0),IF('CO-PO Mapping'!Z$5,$AE$29,0),IF('CO-PO Mapping'!Z$6,$AF$29,0),IF('CO-PO Mapping'!Z$7,$AG$29,0))=0), "-", IF(SUM(IF('CO-PO Mapping'!Z$2,$AH81*$AB$29,0),IF('CO-PO Mapping'!Z$3,$AI81*$AC$29,0),IF('CO-PO Mapping'!Z$4,$AJ81*$AD$29,0),IF('CO-PO Mapping'!Z$5,$AK81*$AE$29,0),IF('CO-PO Mapping'!Z$6,$AL81*$AF$29,0),IF('CO-PO Mapping'!Z$7,$AM81*$AG$29,0))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2" spans="1:57" ht="15" customHeight="1">
      <c r="A82" s="87"/>
      <c r="B82" s="84"/>
      <c r="C82" s="74"/>
      <c r="D82" s="74"/>
      <c r="E82" s="75"/>
      <c r="F82" s="75"/>
      <c r="G82" s="75"/>
      <c r="H82" s="103" t="str">
        <f t="shared" si="29"/>
        <v>-</v>
      </c>
      <c r="I82" s="75"/>
      <c r="J82" s="75"/>
      <c r="K82" s="75"/>
      <c r="L82" s="75"/>
      <c r="M82" s="75"/>
      <c r="N82" s="75"/>
      <c r="O82" s="105" t="str">
        <f t="shared" si="30"/>
        <v>-</v>
      </c>
      <c r="P82" s="75"/>
      <c r="Q82" s="75"/>
      <c r="R82" s="75"/>
      <c r="S82" s="75"/>
      <c r="T82" s="75"/>
      <c r="U82" s="75"/>
      <c r="V82" s="104" t="str">
        <f t="shared" si="31"/>
        <v>-</v>
      </c>
      <c r="W82" s="83" t="str">
        <f t="shared" si="28"/>
        <v>-</v>
      </c>
      <c r="X82" s="98" t="str">
        <f t="shared" si="32"/>
        <v>-</v>
      </c>
      <c r="Z82" s="42" t="str">
        <f t="shared" si="26"/>
        <v/>
      </c>
      <c r="AA82" s="43" t="str">
        <f t="shared" si="27"/>
        <v/>
      </c>
      <c r="AB82" s="90">
        <f t="shared" si="11"/>
        <v>0</v>
      </c>
      <c r="AC82" s="90">
        <f t="shared" si="11"/>
        <v>0</v>
      </c>
      <c r="AD82" s="90">
        <f t="shared" si="11"/>
        <v>0</v>
      </c>
      <c r="AE82" s="90">
        <f t="shared" si="11"/>
        <v>0</v>
      </c>
      <c r="AF82" s="90">
        <f t="shared" si="11"/>
        <v>0</v>
      </c>
      <c r="AG82" s="90">
        <f t="shared" si="25"/>
        <v>0</v>
      </c>
      <c r="AH82" s="92">
        <f t="shared" si="12"/>
        <v>0</v>
      </c>
      <c r="AI82" s="92">
        <f t="shared" si="13"/>
        <v>0</v>
      </c>
      <c r="AJ82" s="92">
        <f t="shared" si="14"/>
        <v>0</v>
      </c>
      <c r="AK82" s="92">
        <f t="shared" si="22"/>
        <v>0</v>
      </c>
      <c r="AL82" s="92">
        <f t="shared" si="15"/>
        <v>0</v>
      </c>
      <c r="AM82" s="92">
        <f t="shared" si="16"/>
        <v>0</v>
      </c>
      <c r="AN82" s="93" t="str">
        <f t="shared" si="23"/>
        <v>-</v>
      </c>
      <c r="AO82" s="93" t="str">
        <f t="shared" si="17"/>
        <v>-</v>
      </c>
      <c r="AP82" s="93" t="str">
        <f t="shared" si="18"/>
        <v>-</v>
      </c>
      <c r="AQ82" s="93" t="str">
        <f t="shared" si="19"/>
        <v>-</v>
      </c>
      <c r="AR82" s="93" t="str">
        <f t="shared" si="20"/>
        <v>-</v>
      </c>
      <c r="AS82" s="93" t="str">
        <f t="shared" si="21"/>
        <v>-</v>
      </c>
      <c r="AT82" s="95" t="str">
        <f>IF('CO-PO Mapping'!O$2, IF(OR($AN82="-",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IF(OR($AP82="-", SUM( IF('CO-PO Mapping'!O$2,$AB$29,0), IF('CO-PO Mapping'!O$3,$AC$29,0), IF('CO-PO Mapping'!O$4,$AD$29,0), IF('CO-PO Mapping'!O$5,$AE$29,0), IF('CO-PO Mapping'!O$6,$AF$29,0), IF('CO-PO Mapping'!O$7,$AG$29,0) )=0), "-", IF( SUM( IF('CO-PO Mapping'!O$2,$AH82*$AB$29,0), IF('CO-PO Mapping'!O$3,$AI82*$AC$29,0), IF('CO-PO Mapping'!O$4,$AJ82*$AD$29,0), IF('CO-PO Mapping'!O$5,$AK82*$AE$29,0), IF('CO-PO Mapping'!O$6,$AL82*$AF$29,0), IF('CO-PO Mapping'!O$7,$AM82*$AG$29,0)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IF('CO-PO Mapping'!O$6, IF(OR($AR82="-",SUM(IF('CO-PO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IF('CO-PO Mapping'!O$7, IF(OR($AS82="-",SUM(IF('CO-PO Mapping'!O$2,$AB$29,0),IF('CO-PO Mapping'!O$3,$AC$29,0),IF('CO-PO Mapping'!O$4,$AD$29,0),IF('CO-PO Mapping'!O$5,$AE$29,0),IF('CO-PO Mapping'!O$6,$AF$29,0),IF('CO-PO Mapping'!O$7,$AG$29,0))=0), "-", IF(SUM(IF('CO-PO Mapping'!O$2,$AH82*$AB$29,0),IF('CO-PO Mapping'!O$3,$AI82*$AC$29,0),IF('CO-PO Mapping'!O$4,$AJ82*$AD$29,0),IF('CO-PO Mapping'!O$5,$AK82*$AE$29,0),IF('CO-PO Mapping'!O$6,$AL82*$AF$29,0),IF('CO-PO Mapping'!O$7,$AM82*$AG$29,0))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2" s="95" t="str">
        <f>IF('CO-PO Mapping'!P$2, IF(OR($AN82="-",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IF(OR($AP82="-", SUM( IF('CO-PO Mapping'!P$2,$AB$29,0), IF('CO-PO Mapping'!P$3,$AC$29,0), IF('CO-PO Mapping'!P$4,$AD$29,0), IF('CO-PO Mapping'!P$5,$AE$29,0), IF('CO-PO Mapping'!P$6,$AF$29,0), IF('CO-PO Mapping'!P$7,$AG$29,0) )=0), "-", IF( SUM( IF('CO-PO Mapping'!P$2,$AH82*$AB$29,0), IF('CO-PO Mapping'!P$3,$AI82*$AC$29,0), IF('CO-PO Mapping'!P$4,$AJ82*$AD$29,0), IF('CO-PO Mapping'!P$5,$AK82*$AE$29,0), IF('CO-PO Mapping'!P$6,$AL82*$AF$29,0), IF('CO-PO Mapping'!P$7,$AM82*$AG$29,0)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IF('CO-PO Mapping'!P$6, IF(OR($AR82="-",SUM(IF('CO-PO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IF('CO-PO Mapping'!P$7, IF(OR($AS82="-",SUM(IF('CO-PO Mapping'!P$2,$AB$29,0),IF('CO-PO Mapping'!P$3,$AC$29,0),IF('CO-PO Mapping'!P$4,$AD$29,0),IF('CO-PO Mapping'!P$5,$AE$29,0),IF('CO-PO Mapping'!P$6,$AF$29,0),IF('CO-PO Mapping'!P$7,$AG$29,0))=0), "-", IF(SUM(IF('CO-PO Mapping'!P$2,$AH82*$AB$29,0),IF('CO-PO Mapping'!P$3,$AI82*$AC$29,0),IF('CO-PO Mapping'!P$4,$AJ82*$AD$29,0),IF('CO-PO Mapping'!P$5,$AK82*$AE$29,0),IF('CO-PO Mapping'!P$6,$AL82*$AF$29,0),IF('CO-PO Mapping'!P$7,$AM82*$AG$29,0))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2" s="95" t="str">
        <f>IF('CO-PO Mapping'!Q$2, IF(OR($AN82="-",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IF(OR($AP82="-", SUM( IF('CO-PO Mapping'!Q$2,$AB$29,0), IF('CO-PO Mapping'!Q$3,$AC$29,0), IF('CO-PO Mapping'!Q$4,$AD$29,0), IF('CO-PO Mapping'!Q$5,$AE$29,0), IF('CO-PO Mapping'!Q$6,$AF$29,0), IF('CO-PO Mapping'!Q$7,$AG$29,0) )=0), "-", IF( SUM( IF('CO-PO Mapping'!Q$2,$AH82*$AB$29,0), IF('CO-PO Mapping'!Q$3,$AI82*$AC$29,0), IF('CO-PO Mapping'!Q$4,$AJ82*$AD$29,0), IF('CO-PO Mapping'!Q$5,$AK82*$AE$29,0), IF('CO-PO Mapping'!Q$6,$AL82*$AF$29,0), IF('CO-PO Mapping'!Q$7,$AM82*$AG$29,0)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IF('CO-PO Mapping'!Q$6, IF(OR($AR82="-",SUM(IF('CO-PO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IF('CO-PO Mapping'!Q$7, IF(OR($AS82="-",SUM(IF('CO-PO Mapping'!Q$2,$AB$29,0),IF('CO-PO Mapping'!Q$3,$AC$29,0),IF('CO-PO Mapping'!Q$4,$AD$29,0),IF('CO-PO Mapping'!Q$5,$AE$29,0),IF('CO-PO Mapping'!Q$6,$AF$29,0),IF('CO-PO Mapping'!Q$7,$AG$29,0))=0), "-", IF(SUM(IF('CO-PO Mapping'!Q$2,$AH82*$AB$29,0),IF('CO-PO Mapping'!Q$3,$AI82*$AC$29,0),IF('CO-PO Mapping'!Q$4,$AJ82*$AD$29,0),IF('CO-PO Mapping'!Q$5,$AK82*$AE$29,0),IF('CO-PO Mapping'!Q$6,$AL82*$AF$29,0),IF('CO-PO Mapping'!Q$7,$AM82*$AG$29,0))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2" s="95" t="str">
        <f>IF('CO-PO Mapping'!R$2, IF(OR($AN82="-",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IF(OR($AP82="-", SUM( IF('CO-PO Mapping'!R$2,$AB$29,0), IF('CO-PO Mapping'!R$3,$AC$29,0), IF('CO-PO Mapping'!R$4,$AD$29,0), IF('CO-PO Mapping'!R$5,$AE$29,0), IF('CO-PO Mapping'!R$6,$AF$29,0), IF('CO-PO Mapping'!R$7,$AG$29,0) )=0), "-", IF( SUM( IF('CO-PO Mapping'!R$2,$AH82*$AB$29,0), IF('CO-PO Mapping'!R$3,$AI82*$AC$29,0), IF('CO-PO Mapping'!R$4,$AJ82*$AD$29,0), IF('CO-PO Mapping'!R$5,$AK82*$AE$29,0), IF('CO-PO Mapping'!R$6,$AL82*$AF$29,0), IF('CO-PO Mapping'!R$7,$AM82*$AG$29,0)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IF('CO-PO Mapping'!R$6, IF(OR($AR82="-",SUM(IF('CO-PO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IF('CO-PO Mapping'!R$7, IF(OR($AS82="-",SUM(IF('CO-PO Mapping'!R$2,$AB$29,0),IF('CO-PO Mapping'!R$3,$AC$29,0),IF('CO-PO Mapping'!R$4,$AD$29,0),IF('CO-PO Mapping'!R$5,$AE$29,0),IF('CO-PO Mapping'!R$6,$AF$29,0),IF('CO-PO Mapping'!R$7,$AG$29,0))=0), "-", IF(SUM(IF('CO-PO Mapping'!R$2,$AH82*$AB$29,0),IF('CO-PO Mapping'!R$3,$AI82*$AC$29,0),IF('CO-PO Mapping'!R$4,$AJ82*$AD$29,0),IF('CO-PO Mapping'!R$5,$AK82*$AE$29,0),IF('CO-PO Mapping'!R$6,$AL82*$AF$29,0),IF('CO-PO Mapping'!R$7,$AM82*$AG$29,0))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2" s="95" t="str">
        <f>IF('CO-PO Mapping'!S$2, IF(OR($AN82="-",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IF(OR($AP82="-", SUM( IF('CO-PO Mapping'!S$2,$AB$29,0), IF('CO-PO Mapping'!S$3,$AC$29,0), IF('CO-PO Mapping'!S$4,$AD$29,0), IF('CO-PO Mapping'!S$5,$AE$29,0), IF('CO-PO Mapping'!S$6,$AF$29,0), IF('CO-PO Mapping'!S$7,$AG$29,0) )=0), "-", IF( SUM( IF('CO-PO Mapping'!S$2,$AH82*$AB$29,0), IF('CO-PO Mapping'!S$3,$AI82*$AC$29,0), IF('CO-PO Mapping'!S$4,$AJ82*$AD$29,0), IF('CO-PO Mapping'!S$5,$AK82*$AE$29,0), IF('CO-PO Mapping'!S$6,$AL82*$AF$29,0), IF('CO-PO Mapping'!S$7,$AM82*$AG$29,0)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IF('CO-PO Mapping'!S$6, IF(OR($AR82="-",SUM(IF('CO-PO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IF('CO-PO Mapping'!S$7, IF(OR($AS82="-",SUM(IF('CO-PO Mapping'!S$2,$AB$29,0),IF('CO-PO Mapping'!S$3,$AC$29,0),IF('CO-PO Mapping'!S$4,$AD$29,0),IF('CO-PO Mapping'!S$5,$AE$29,0),IF('CO-PO Mapping'!S$6,$AF$29,0),IF('CO-PO Mapping'!S$7,$AG$29,0))=0), "-", IF(SUM(IF('CO-PO Mapping'!S$2,$AH82*$AB$29,0),IF('CO-PO Mapping'!S$3,$AI82*$AC$29,0),IF('CO-PO Mapping'!S$4,$AJ82*$AD$29,0),IF('CO-PO Mapping'!S$5,$AK82*$AE$29,0),IF('CO-PO Mapping'!S$6,$AL82*$AF$29,0),IF('CO-PO Mapping'!S$7,$AM82*$AG$29,0))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2" s="95" t="str">
        <f>IF('CO-PO Mapping'!T$2, IF(OR($AN82="-",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IF(OR($AP82="-", SUM( IF('CO-PO Mapping'!T$2,$AB$29,0), IF('CO-PO Mapping'!T$3,$AC$29,0), IF('CO-PO Mapping'!T$4,$AD$29,0), IF('CO-PO Mapping'!T$5,$AE$29,0), IF('CO-PO Mapping'!T$6,$AF$29,0), IF('CO-PO Mapping'!T$7,$AG$29,0) )=0), "-", IF( SUM( IF('CO-PO Mapping'!T$2,$AH82*$AB$29,0), IF('CO-PO Mapping'!T$3,$AI82*$AC$29,0), IF('CO-PO Mapping'!T$4,$AJ82*$AD$29,0), IF('CO-PO Mapping'!T$5,$AK82*$AE$29,0), IF('CO-PO Mapping'!T$6,$AL82*$AF$29,0), IF('CO-PO Mapping'!T$7,$AM82*$AG$29,0)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IF('CO-PO Mapping'!T$6, IF(OR($AR82="-",SUM(IF('CO-PO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IF('CO-PO Mapping'!T$7, IF(OR($AS82="-",SUM(IF('CO-PO Mapping'!T$2,$AB$29,0),IF('CO-PO Mapping'!T$3,$AC$29,0),IF('CO-PO Mapping'!T$4,$AD$29,0),IF('CO-PO Mapping'!T$5,$AE$29,0),IF('CO-PO Mapping'!T$6,$AF$29,0),IF('CO-PO Mapping'!T$7,$AG$29,0))=0), "-", IF(SUM(IF('CO-PO Mapping'!T$2,$AH82*$AB$29,0),IF('CO-PO Mapping'!T$3,$AI82*$AC$29,0),IF('CO-PO Mapping'!T$4,$AJ82*$AD$29,0),IF('CO-PO Mapping'!T$5,$AK82*$AE$29,0),IF('CO-PO Mapping'!T$6,$AL82*$AF$29,0),IF('CO-PO Mapping'!T$7,$AM82*$AG$29,0))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2" s="95" t="str">
        <f>IF('CO-PO Mapping'!U$2, IF(OR($AN82="-",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IF(OR($AP82="-", SUM( IF('CO-PO Mapping'!U$2,$AB$29,0), IF('CO-PO Mapping'!U$3,$AC$29,0), IF('CO-PO Mapping'!U$4,$AD$29,0), IF('CO-PO Mapping'!U$5,$AE$29,0), IF('CO-PO Mapping'!U$6,$AF$29,0), IF('CO-PO Mapping'!U$7,$AG$29,0) )=0), "-", IF( SUM( IF('CO-PO Mapping'!U$2,$AH82*$AB$29,0), IF('CO-PO Mapping'!U$3,$AI82*$AC$29,0), IF('CO-PO Mapping'!U$4,$AJ82*$AD$29,0), IF('CO-PO Mapping'!U$5,$AK82*$AE$29,0), IF('CO-PO Mapping'!U$6,$AL82*$AF$29,0), IF('CO-PO Mapping'!U$7,$AM82*$AG$29,0)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IF('CO-PO Mapping'!U$6, IF(OR($AR82="-",SUM(IF('CO-PO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IF('CO-PO Mapping'!U$7, IF(OR($AS82="-",SUM(IF('CO-PO Mapping'!U$2,$AB$29,0),IF('CO-PO Mapping'!U$3,$AC$29,0),IF('CO-PO Mapping'!U$4,$AD$29,0),IF('CO-PO Mapping'!U$5,$AE$29,0),IF('CO-PO Mapping'!U$6,$AF$29,0),IF('CO-PO Mapping'!U$7,$AG$29,0))=0), "-", IF(SUM(IF('CO-PO Mapping'!U$2,$AH82*$AB$29,0),IF('CO-PO Mapping'!U$3,$AI82*$AC$29,0),IF('CO-PO Mapping'!U$4,$AJ82*$AD$29,0),IF('CO-PO Mapping'!U$5,$AK82*$AE$29,0),IF('CO-PO Mapping'!U$6,$AL82*$AF$29,0),IF('CO-PO Mapping'!U$7,$AM82*$AG$29,0))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2" s="95" t="str">
        <f>IF('CO-PO Mapping'!V$2, IF(OR($AN82="-",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IF(OR($AP82="-", SUM( IF('CO-PO Mapping'!V$2,$AB$29,0), IF('CO-PO Mapping'!V$3,$AC$29,0), IF('CO-PO Mapping'!V$4,$AD$29,0), IF('CO-PO Mapping'!V$5,$AE$29,0), IF('CO-PO Mapping'!V$6,$AF$29,0), IF('CO-PO Mapping'!V$7,$AG$29,0) )=0), "-", IF( SUM( IF('CO-PO Mapping'!V$2,$AH82*$AB$29,0), IF('CO-PO Mapping'!V$3,$AI82*$AC$29,0), IF('CO-PO Mapping'!V$4,$AJ82*$AD$29,0), IF('CO-PO Mapping'!V$5,$AK82*$AE$29,0), IF('CO-PO Mapping'!V$6,$AL82*$AF$29,0), IF('CO-PO Mapping'!V$7,$AM82*$AG$29,0)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IF('CO-PO Mapping'!V$6, IF(OR($AR82="-",SUM(IF('CO-PO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IF('CO-PO Mapping'!V$7, IF(OR($AS82="-",SUM(IF('CO-PO Mapping'!V$2,$AB$29,0),IF('CO-PO Mapping'!V$3,$AC$29,0),IF('CO-PO Mapping'!V$4,$AD$29,0),IF('CO-PO Mapping'!V$5,$AE$29,0),IF('CO-PO Mapping'!V$6,$AF$29,0),IF('CO-PO Mapping'!V$7,$AG$29,0))=0), "-", IF(SUM(IF('CO-PO Mapping'!V$2,$AH82*$AB$29,0),IF('CO-PO Mapping'!V$3,$AI82*$AC$29,0),IF('CO-PO Mapping'!V$4,$AJ82*$AD$29,0),IF('CO-PO Mapping'!V$5,$AK82*$AE$29,0),IF('CO-PO Mapping'!V$6,$AL82*$AF$29,0),IF('CO-PO Mapping'!V$7,$AM82*$AG$29,0))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2" s="95" t="str">
        <f>IF('CO-PO Mapping'!W$2, IF(OR($AN82="-",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IF(OR($AP82="-", SUM( IF('CO-PO Mapping'!W$2,$AB$29,0), IF('CO-PO Mapping'!W$3,$AC$29,0), IF('CO-PO Mapping'!W$4,$AD$29,0), IF('CO-PO Mapping'!W$5,$AE$29,0), IF('CO-PO Mapping'!W$6,$AF$29,0), IF('CO-PO Mapping'!W$7,$AG$29,0) )=0), "-", IF( SUM( IF('CO-PO Mapping'!W$2,$AH82*$AB$29,0), IF('CO-PO Mapping'!W$3,$AI82*$AC$29,0), IF('CO-PO Mapping'!W$4,$AJ82*$AD$29,0), IF('CO-PO Mapping'!W$5,$AK82*$AE$29,0), IF('CO-PO Mapping'!W$6,$AL82*$AF$29,0), IF('CO-PO Mapping'!W$7,$AM82*$AG$29,0)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IF('CO-PO Mapping'!W$6, IF(OR($AR82="-",SUM(IF('CO-PO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IF('CO-PO Mapping'!W$7, IF(OR($AS82="-",SUM(IF('CO-PO Mapping'!W$2,$AB$29,0),IF('CO-PO Mapping'!W$3,$AC$29,0),IF('CO-PO Mapping'!W$4,$AD$29,0),IF('CO-PO Mapping'!W$5,$AE$29,0),IF('CO-PO Mapping'!W$6,$AF$29,0),IF('CO-PO Mapping'!W$7,$AG$29,0))=0), "-", IF(SUM(IF('CO-PO Mapping'!W$2,$AH82*$AB$29,0),IF('CO-PO Mapping'!W$3,$AI82*$AC$29,0),IF('CO-PO Mapping'!W$4,$AJ82*$AD$29,0),IF('CO-PO Mapping'!W$5,$AK82*$AE$29,0),IF('CO-PO Mapping'!W$6,$AL82*$AF$29,0),IF('CO-PO Mapping'!W$7,$AM82*$AG$29,0))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2" s="95" t="str">
        <f>IF('CO-PO Mapping'!X$2, IF(OR($AN82="-",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IF(OR($AP82="-", SUM( IF('CO-PO Mapping'!X$2,$AB$29,0), IF('CO-PO Mapping'!X$3,$AC$29,0), IF('CO-PO Mapping'!X$4,$AD$29,0), IF('CO-PO Mapping'!X$5,$AE$29,0), IF('CO-PO Mapping'!X$6,$AF$29,0), IF('CO-PO Mapping'!X$7,$AG$29,0) )=0), "-", IF( SUM( IF('CO-PO Mapping'!X$2,$AH82*$AB$29,0), IF('CO-PO Mapping'!X$3,$AI82*$AC$29,0), IF('CO-PO Mapping'!X$4,$AJ82*$AD$29,0), IF('CO-PO Mapping'!X$5,$AK82*$AE$29,0), IF('CO-PO Mapping'!X$6,$AL82*$AF$29,0), IF('CO-PO Mapping'!X$7,$AM82*$AG$29,0)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IF('CO-PO Mapping'!X$6, IF(OR($AR82="-",SUM(IF('CO-PO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IF('CO-PO Mapping'!X$7, IF(OR($AS82="-",SUM(IF('CO-PO Mapping'!X$2,$AB$29,0),IF('CO-PO Mapping'!X$3,$AC$29,0),IF('CO-PO Mapping'!X$4,$AD$29,0),IF('CO-PO Mapping'!X$5,$AE$29,0),IF('CO-PO Mapping'!X$6,$AF$29,0),IF('CO-PO Mapping'!X$7,$AG$29,0))=0), "-", IF(SUM(IF('CO-PO Mapping'!X$2,$AH82*$AB$29,0),IF('CO-PO Mapping'!X$3,$AI82*$AC$29,0),IF('CO-PO Mapping'!X$4,$AJ82*$AD$29,0),IF('CO-PO Mapping'!X$5,$AK82*$AE$29,0),IF('CO-PO Mapping'!X$6,$AL82*$AF$29,0),IF('CO-PO Mapping'!X$7,$AM82*$AG$29,0))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2" s="95" t="str">
        <f>IF('CO-PO Mapping'!Y$2, IF(OR($AN82="-",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IF(OR($AP82="-", SUM( IF('CO-PO Mapping'!Y$2,$AB$29,0), IF('CO-PO Mapping'!Y$3,$AC$29,0), IF('CO-PO Mapping'!Y$4,$AD$29,0), IF('CO-PO Mapping'!Y$5,$AE$29,0), IF('CO-PO Mapping'!Y$6,$AF$29,0), IF('CO-PO Mapping'!Y$7,$AG$29,0) )=0), "-", IF( SUM( IF('CO-PO Mapping'!Y$2,$AH82*$AB$29,0), IF('CO-PO Mapping'!Y$3,$AI82*$AC$29,0), IF('CO-PO Mapping'!Y$4,$AJ82*$AD$29,0), IF('CO-PO Mapping'!Y$5,$AK82*$AE$29,0), IF('CO-PO Mapping'!Y$6,$AL82*$AF$29,0), IF('CO-PO Mapping'!Y$7,$AM82*$AG$29,0)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IF('CO-PO Mapping'!Y$6, IF(OR($AR82="-",SUM(IF('CO-PO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IF('CO-PO Mapping'!Y$7, IF(OR($AS82="-",SUM(IF('CO-PO Mapping'!Y$2,$AB$29,0),IF('CO-PO Mapping'!Y$3,$AC$29,0),IF('CO-PO Mapping'!Y$4,$AD$29,0),IF('CO-PO Mapping'!Y$5,$AE$29,0),IF('CO-PO Mapping'!Y$6,$AF$29,0),IF('CO-PO Mapping'!Y$7,$AG$29,0))=0), "-", IF(SUM(IF('CO-PO Mapping'!Y$2,$AH82*$AB$29,0),IF('CO-PO Mapping'!Y$3,$AI82*$AC$29,0),IF('CO-PO Mapping'!Y$4,$AJ82*$AD$29,0),IF('CO-PO Mapping'!Y$5,$AK82*$AE$29,0),IF('CO-PO Mapping'!Y$6,$AL82*$AF$29,0),IF('CO-PO Mapping'!Y$7,$AM82*$AG$29,0))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2" s="95" t="str">
        <f>IF('CO-PO Mapping'!Z$2, IF(OR($AN82="-",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IF(OR($AP82="-", SUM( IF('CO-PO Mapping'!Z$2,$AB$29,0), IF('CO-PO Mapping'!Z$3,$AC$29,0), IF('CO-PO Mapping'!Z$4,$AD$29,0), IF('CO-PO Mapping'!Z$5,$AE$29,0), IF('CO-PO Mapping'!Z$6,$AF$29,0), IF('CO-PO Mapping'!Z$7,$AG$29,0) )=0), "-", IF( SUM( IF('CO-PO Mapping'!Z$2,$AH82*$AB$29,0), IF('CO-PO Mapping'!Z$3,$AI82*$AC$29,0), IF('CO-PO Mapping'!Z$4,$AJ82*$AD$29,0), IF('CO-PO Mapping'!Z$5,$AK82*$AE$29,0), IF('CO-PO Mapping'!Z$6,$AL82*$AF$29,0), IF('CO-PO Mapping'!Z$7,$AM82*$AG$29,0)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IF('CO-PO Mapping'!Z$6, IF(OR($AR82="-",SUM(IF('CO-PO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IF('CO-PO Mapping'!Z$7, IF(OR($AS82="-",SUM(IF('CO-PO Mapping'!Z$2,$AB$29,0),IF('CO-PO Mapping'!Z$3,$AC$29,0),IF('CO-PO Mapping'!Z$4,$AD$29,0),IF('CO-PO Mapping'!Z$5,$AE$29,0),IF('CO-PO Mapping'!Z$6,$AF$29,0),IF('CO-PO Mapping'!Z$7,$AG$29,0))=0), "-", IF(SUM(IF('CO-PO Mapping'!Z$2,$AH82*$AB$29,0),IF('CO-PO Mapping'!Z$3,$AI82*$AC$29,0),IF('CO-PO Mapping'!Z$4,$AJ82*$AD$29,0),IF('CO-PO Mapping'!Z$5,$AK82*$AE$29,0),IF('CO-PO Mapping'!Z$6,$AL82*$AF$29,0),IF('CO-PO Mapping'!Z$7,$AM82*$AG$29,0))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3" spans="1:57" ht="15" customHeight="1">
      <c r="A83" s="87"/>
      <c r="B83" s="84"/>
      <c r="C83" s="74"/>
      <c r="D83" s="74"/>
      <c r="E83" s="75"/>
      <c r="F83" s="75"/>
      <c r="G83" s="75"/>
      <c r="H83" s="103" t="str">
        <f t="shared" si="29"/>
        <v>-</v>
      </c>
      <c r="I83" s="75"/>
      <c r="J83" s="75"/>
      <c r="K83" s="75"/>
      <c r="L83" s="75"/>
      <c r="M83" s="75"/>
      <c r="N83" s="75"/>
      <c r="O83" s="105" t="str">
        <f t="shared" si="30"/>
        <v>-</v>
      </c>
      <c r="P83" s="75"/>
      <c r="Q83" s="75"/>
      <c r="R83" s="75"/>
      <c r="S83" s="75"/>
      <c r="T83" s="75"/>
      <c r="U83" s="75"/>
      <c r="V83" s="104" t="str">
        <f t="shared" si="31"/>
        <v>-</v>
      </c>
      <c r="W83" s="83" t="str">
        <f t="shared" si="28"/>
        <v>-</v>
      </c>
      <c r="X83" s="98" t="str">
        <f t="shared" si="32"/>
        <v>-</v>
      </c>
      <c r="Z83" s="42" t="str">
        <f t="shared" si="26"/>
        <v/>
      </c>
      <c r="AA83" s="43" t="str">
        <f t="shared" si="27"/>
        <v/>
      </c>
      <c r="AB83" s="90">
        <f t="shared" si="11"/>
        <v>0</v>
      </c>
      <c r="AC83" s="90">
        <f t="shared" si="11"/>
        <v>0</v>
      </c>
      <c r="AD83" s="90">
        <f t="shared" si="11"/>
        <v>0</v>
      </c>
      <c r="AE83" s="90">
        <f t="shared" si="11"/>
        <v>0</v>
      </c>
      <c r="AF83" s="90">
        <f t="shared" si="11"/>
        <v>0</v>
      </c>
      <c r="AG83" s="90">
        <f t="shared" si="25"/>
        <v>0</v>
      </c>
      <c r="AH83" s="92">
        <f t="shared" si="12"/>
        <v>0</v>
      </c>
      <c r="AI83" s="92">
        <f t="shared" si="13"/>
        <v>0</v>
      </c>
      <c r="AJ83" s="92">
        <f t="shared" si="14"/>
        <v>0</v>
      </c>
      <c r="AK83" s="92">
        <f t="shared" si="22"/>
        <v>0</v>
      </c>
      <c r="AL83" s="92">
        <f t="shared" si="15"/>
        <v>0</v>
      </c>
      <c r="AM83" s="92">
        <f t="shared" si="16"/>
        <v>0</v>
      </c>
      <c r="AN83" s="93" t="str">
        <f t="shared" si="23"/>
        <v>-</v>
      </c>
      <c r="AO83" s="93" t="str">
        <f t="shared" si="17"/>
        <v>-</v>
      </c>
      <c r="AP83" s="93" t="str">
        <f t="shared" si="18"/>
        <v>-</v>
      </c>
      <c r="AQ83" s="93" t="str">
        <f t="shared" si="19"/>
        <v>-</v>
      </c>
      <c r="AR83" s="93" t="str">
        <f t="shared" si="20"/>
        <v>-</v>
      </c>
      <c r="AS83" s="93" t="str">
        <f t="shared" si="21"/>
        <v>-</v>
      </c>
      <c r="AT83" s="95" t="str">
        <f>IF('CO-PO Mapping'!O$2, IF(OR($AN83="-",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IF(OR($AP83="-", SUM( IF('CO-PO Mapping'!O$2,$AB$29,0), IF('CO-PO Mapping'!O$3,$AC$29,0), IF('CO-PO Mapping'!O$4,$AD$29,0), IF('CO-PO Mapping'!O$5,$AE$29,0), IF('CO-PO Mapping'!O$6,$AF$29,0), IF('CO-PO Mapping'!O$7,$AG$29,0) )=0), "-", IF( SUM( IF('CO-PO Mapping'!O$2,$AH83*$AB$29,0), IF('CO-PO Mapping'!O$3,$AI83*$AC$29,0), IF('CO-PO Mapping'!O$4,$AJ83*$AD$29,0), IF('CO-PO Mapping'!O$5,$AK83*$AE$29,0), IF('CO-PO Mapping'!O$6,$AL83*$AF$29,0), IF('CO-PO Mapping'!O$7,$AM83*$AG$29,0)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IF('CO-PO Mapping'!O$6, IF(OR($AR83="-",SUM(IF('CO-PO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IF('CO-PO Mapping'!O$7, IF(OR($AS83="-",SUM(IF('CO-PO Mapping'!O$2,$AB$29,0),IF('CO-PO Mapping'!O$3,$AC$29,0),IF('CO-PO Mapping'!O$4,$AD$29,0),IF('CO-PO Mapping'!O$5,$AE$29,0),IF('CO-PO Mapping'!O$6,$AF$29,0),IF('CO-PO Mapping'!O$7,$AG$29,0))=0), "-", IF(SUM(IF('CO-PO Mapping'!O$2,$AH83*$AB$29,0),IF('CO-PO Mapping'!O$3,$AI83*$AC$29,0),IF('CO-PO Mapping'!O$4,$AJ83*$AD$29,0),IF('CO-PO Mapping'!O$5,$AK83*$AE$29,0),IF('CO-PO Mapping'!O$6,$AL83*$AF$29,0),IF('CO-PO Mapping'!O$7,$AM83*$AG$29,0))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3" s="95" t="str">
        <f>IF('CO-PO Mapping'!P$2, IF(OR($AN83="-",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IF(OR($AP83="-", SUM( IF('CO-PO Mapping'!P$2,$AB$29,0), IF('CO-PO Mapping'!P$3,$AC$29,0), IF('CO-PO Mapping'!P$4,$AD$29,0), IF('CO-PO Mapping'!P$5,$AE$29,0), IF('CO-PO Mapping'!P$6,$AF$29,0), IF('CO-PO Mapping'!P$7,$AG$29,0) )=0), "-", IF( SUM( IF('CO-PO Mapping'!P$2,$AH83*$AB$29,0), IF('CO-PO Mapping'!P$3,$AI83*$AC$29,0), IF('CO-PO Mapping'!P$4,$AJ83*$AD$29,0), IF('CO-PO Mapping'!P$5,$AK83*$AE$29,0), IF('CO-PO Mapping'!P$6,$AL83*$AF$29,0), IF('CO-PO Mapping'!P$7,$AM83*$AG$29,0)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IF('CO-PO Mapping'!P$6, IF(OR($AR83="-",SUM(IF('CO-PO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IF('CO-PO Mapping'!P$7, IF(OR($AS83="-",SUM(IF('CO-PO Mapping'!P$2,$AB$29,0),IF('CO-PO Mapping'!P$3,$AC$29,0),IF('CO-PO Mapping'!P$4,$AD$29,0),IF('CO-PO Mapping'!P$5,$AE$29,0),IF('CO-PO Mapping'!P$6,$AF$29,0),IF('CO-PO Mapping'!P$7,$AG$29,0))=0), "-", IF(SUM(IF('CO-PO Mapping'!P$2,$AH83*$AB$29,0),IF('CO-PO Mapping'!P$3,$AI83*$AC$29,0),IF('CO-PO Mapping'!P$4,$AJ83*$AD$29,0),IF('CO-PO Mapping'!P$5,$AK83*$AE$29,0),IF('CO-PO Mapping'!P$6,$AL83*$AF$29,0),IF('CO-PO Mapping'!P$7,$AM83*$AG$29,0))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3" s="95" t="str">
        <f>IF('CO-PO Mapping'!Q$2, IF(OR($AN83="-",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IF(OR($AP83="-", SUM( IF('CO-PO Mapping'!Q$2,$AB$29,0), IF('CO-PO Mapping'!Q$3,$AC$29,0), IF('CO-PO Mapping'!Q$4,$AD$29,0), IF('CO-PO Mapping'!Q$5,$AE$29,0), IF('CO-PO Mapping'!Q$6,$AF$29,0), IF('CO-PO Mapping'!Q$7,$AG$29,0) )=0), "-", IF( SUM( IF('CO-PO Mapping'!Q$2,$AH83*$AB$29,0), IF('CO-PO Mapping'!Q$3,$AI83*$AC$29,0), IF('CO-PO Mapping'!Q$4,$AJ83*$AD$29,0), IF('CO-PO Mapping'!Q$5,$AK83*$AE$29,0), IF('CO-PO Mapping'!Q$6,$AL83*$AF$29,0), IF('CO-PO Mapping'!Q$7,$AM83*$AG$29,0)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IF('CO-PO Mapping'!Q$6, IF(OR($AR83="-",SUM(IF('CO-PO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IF('CO-PO Mapping'!Q$7, IF(OR($AS83="-",SUM(IF('CO-PO Mapping'!Q$2,$AB$29,0),IF('CO-PO Mapping'!Q$3,$AC$29,0),IF('CO-PO Mapping'!Q$4,$AD$29,0),IF('CO-PO Mapping'!Q$5,$AE$29,0),IF('CO-PO Mapping'!Q$6,$AF$29,0),IF('CO-PO Mapping'!Q$7,$AG$29,0))=0), "-", IF(SUM(IF('CO-PO Mapping'!Q$2,$AH83*$AB$29,0),IF('CO-PO Mapping'!Q$3,$AI83*$AC$29,0),IF('CO-PO Mapping'!Q$4,$AJ83*$AD$29,0),IF('CO-PO Mapping'!Q$5,$AK83*$AE$29,0),IF('CO-PO Mapping'!Q$6,$AL83*$AF$29,0),IF('CO-PO Mapping'!Q$7,$AM83*$AG$29,0))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3" s="95" t="str">
        <f>IF('CO-PO Mapping'!R$2, IF(OR($AN83="-",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IF(OR($AP83="-", SUM( IF('CO-PO Mapping'!R$2,$AB$29,0), IF('CO-PO Mapping'!R$3,$AC$29,0), IF('CO-PO Mapping'!R$4,$AD$29,0), IF('CO-PO Mapping'!R$5,$AE$29,0), IF('CO-PO Mapping'!R$6,$AF$29,0), IF('CO-PO Mapping'!R$7,$AG$29,0) )=0), "-", IF( SUM( IF('CO-PO Mapping'!R$2,$AH83*$AB$29,0), IF('CO-PO Mapping'!R$3,$AI83*$AC$29,0), IF('CO-PO Mapping'!R$4,$AJ83*$AD$29,0), IF('CO-PO Mapping'!R$5,$AK83*$AE$29,0), IF('CO-PO Mapping'!R$6,$AL83*$AF$29,0), IF('CO-PO Mapping'!R$7,$AM83*$AG$29,0)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IF('CO-PO Mapping'!R$6, IF(OR($AR83="-",SUM(IF('CO-PO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IF('CO-PO Mapping'!R$7, IF(OR($AS83="-",SUM(IF('CO-PO Mapping'!R$2,$AB$29,0),IF('CO-PO Mapping'!R$3,$AC$29,0),IF('CO-PO Mapping'!R$4,$AD$29,0),IF('CO-PO Mapping'!R$5,$AE$29,0),IF('CO-PO Mapping'!R$6,$AF$29,0),IF('CO-PO Mapping'!R$7,$AG$29,0))=0), "-", IF(SUM(IF('CO-PO Mapping'!R$2,$AH83*$AB$29,0),IF('CO-PO Mapping'!R$3,$AI83*$AC$29,0),IF('CO-PO Mapping'!R$4,$AJ83*$AD$29,0),IF('CO-PO Mapping'!R$5,$AK83*$AE$29,0),IF('CO-PO Mapping'!R$6,$AL83*$AF$29,0),IF('CO-PO Mapping'!R$7,$AM83*$AG$29,0))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3" s="95" t="str">
        <f>IF('CO-PO Mapping'!S$2, IF(OR($AN83="-",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IF(OR($AP83="-", SUM( IF('CO-PO Mapping'!S$2,$AB$29,0), IF('CO-PO Mapping'!S$3,$AC$29,0), IF('CO-PO Mapping'!S$4,$AD$29,0), IF('CO-PO Mapping'!S$5,$AE$29,0), IF('CO-PO Mapping'!S$6,$AF$29,0), IF('CO-PO Mapping'!S$7,$AG$29,0) )=0), "-", IF( SUM( IF('CO-PO Mapping'!S$2,$AH83*$AB$29,0), IF('CO-PO Mapping'!S$3,$AI83*$AC$29,0), IF('CO-PO Mapping'!S$4,$AJ83*$AD$29,0), IF('CO-PO Mapping'!S$5,$AK83*$AE$29,0), IF('CO-PO Mapping'!S$6,$AL83*$AF$29,0), IF('CO-PO Mapping'!S$7,$AM83*$AG$29,0)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IF('CO-PO Mapping'!S$6, IF(OR($AR83="-",SUM(IF('CO-PO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IF('CO-PO Mapping'!S$7, IF(OR($AS83="-",SUM(IF('CO-PO Mapping'!S$2,$AB$29,0),IF('CO-PO Mapping'!S$3,$AC$29,0),IF('CO-PO Mapping'!S$4,$AD$29,0),IF('CO-PO Mapping'!S$5,$AE$29,0),IF('CO-PO Mapping'!S$6,$AF$29,0),IF('CO-PO Mapping'!S$7,$AG$29,0))=0), "-", IF(SUM(IF('CO-PO Mapping'!S$2,$AH83*$AB$29,0),IF('CO-PO Mapping'!S$3,$AI83*$AC$29,0),IF('CO-PO Mapping'!S$4,$AJ83*$AD$29,0),IF('CO-PO Mapping'!S$5,$AK83*$AE$29,0),IF('CO-PO Mapping'!S$6,$AL83*$AF$29,0),IF('CO-PO Mapping'!S$7,$AM83*$AG$29,0))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3" s="95" t="str">
        <f>IF('CO-PO Mapping'!T$2, IF(OR($AN83="-",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IF(OR($AP83="-", SUM( IF('CO-PO Mapping'!T$2,$AB$29,0), IF('CO-PO Mapping'!T$3,$AC$29,0), IF('CO-PO Mapping'!T$4,$AD$29,0), IF('CO-PO Mapping'!T$5,$AE$29,0), IF('CO-PO Mapping'!T$6,$AF$29,0), IF('CO-PO Mapping'!T$7,$AG$29,0) )=0), "-", IF( SUM( IF('CO-PO Mapping'!T$2,$AH83*$AB$29,0), IF('CO-PO Mapping'!T$3,$AI83*$AC$29,0), IF('CO-PO Mapping'!T$4,$AJ83*$AD$29,0), IF('CO-PO Mapping'!T$5,$AK83*$AE$29,0), IF('CO-PO Mapping'!T$6,$AL83*$AF$29,0), IF('CO-PO Mapping'!T$7,$AM83*$AG$29,0)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IF('CO-PO Mapping'!T$6, IF(OR($AR83="-",SUM(IF('CO-PO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IF('CO-PO Mapping'!T$7, IF(OR($AS83="-",SUM(IF('CO-PO Mapping'!T$2,$AB$29,0),IF('CO-PO Mapping'!T$3,$AC$29,0),IF('CO-PO Mapping'!T$4,$AD$29,0),IF('CO-PO Mapping'!T$5,$AE$29,0),IF('CO-PO Mapping'!T$6,$AF$29,0),IF('CO-PO Mapping'!T$7,$AG$29,0))=0), "-", IF(SUM(IF('CO-PO Mapping'!T$2,$AH83*$AB$29,0),IF('CO-PO Mapping'!T$3,$AI83*$AC$29,0),IF('CO-PO Mapping'!T$4,$AJ83*$AD$29,0),IF('CO-PO Mapping'!T$5,$AK83*$AE$29,0),IF('CO-PO Mapping'!T$6,$AL83*$AF$29,0),IF('CO-PO Mapping'!T$7,$AM83*$AG$29,0))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3" s="95" t="str">
        <f>IF('CO-PO Mapping'!U$2, IF(OR($AN83="-",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IF(OR($AP83="-", SUM( IF('CO-PO Mapping'!U$2,$AB$29,0), IF('CO-PO Mapping'!U$3,$AC$29,0), IF('CO-PO Mapping'!U$4,$AD$29,0), IF('CO-PO Mapping'!U$5,$AE$29,0), IF('CO-PO Mapping'!U$6,$AF$29,0), IF('CO-PO Mapping'!U$7,$AG$29,0) )=0), "-", IF( SUM( IF('CO-PO Mapping'!U$2,$AH83*$AB$29,0), IF('CO-PO Mapping'!U$3,$AI83*$AC$29,0), IF('CO-PO Mapping'!U$4,$AJ83*$AD$29,0), IF('CO-PO Mapping'!U$5,$AK83*$AE$29,0), IF('CO-PO Mapping'!U$6,$AL83*$AF$29,0), IF('CO-PO Mapping'!U$7,$AM83*$AG$29,0)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IF('CO-PO Mapping'!U$6, IF(OR($AR83="-",SUM(IF('CO-PO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IF('CO-PO Mapping'!U$7, IF(OR($AS83="-",SUM(IF('CO-PO Mapping'!U$2,$AB$29,0),IF('CO-PO Mapping'!U$3,$AC$29,0),IF('CO-PO Mapping'!U$4,$AD$29,0),IF('CO-PO Mapping'!U$5,$AE$29,0),IF('CO-PO Mapping'!U$6,$AF$29,0),IF('CO-PO Mapping'!U$7,$AG$29,0))=0), "-", IF(SUM(IF('CO-PO Mapping'!U$2,$AH83*$AB$29,0),IF('CO-PO Mapping'!U$3,$AI83*$AC$29,0),IF('CO-PO Mapping'!U$4,$AJ83*$AD$29,0),IF('CO-PO Mapping'!U$5,$AK83*$AE$29,0),IF('CO-PO Mapping'!U$6,$AL83*$AF$29,0),IF('CO-PO Mapping'!U$7,$AM83*$AG$29,0))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3" s="95" t="str">
        <f>IF('CO-PO Mapping'!V$2, IF(OR($AN83="-",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IF(OR($AP83="-", SUM( IF('CO-PO Mapping'!V$2,$AB$29,0), IF('CO-PO Mapping'!V$3,$AC$29,0), IF('CO-PO Mapping'!V$4,$AD$29,0), IF('CO-PO Mapping'!V$5,$AE$29,0), IF('CO-PO Mapping'!V$6,$AF$29,0), IF('CO-PO Mapping'!V$7,$AG$29,0) )=0), "-", IF( SUM( IF('CO-PO Mapping'!V$2,$AH83*$AB$29,0), IF('CO-PO Mapping'!V$3,$AI83*$AC$29,0), IF('CO-PO Mapping'!V$4,$AJ83*$AD$29,0), IF('CO-PO Mapping'!V$5,$AK83*$AE$29,0), IF('CO-PO Mapping'!V$6,$AL83*$AF$29,0), IF('CO-PO Mapping'!V$7,$AM83*$AG$29,0)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IF('CO-PO Mapping'!V$6, IF(OR($AR83="-",SUM(IF('CO-PO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IF('CO-PO Mapping'!V$7, IF(OR($AS83="-",SUM(IF('CO-PO Mapping'!V$2,$AB$29,0),IF('CO-PO Mapping'!V$3,$AC$29,0),IF('CO-PO Mapping'!V$4,$AD$29,0),IF('CO-PO Mapping'!V$5,$AE$29,0),IF('CO-PO Mapping'!V$6,$AF$29,0),IF('CO-PO Mapping'!V$7,$AG$29,0))=0), "-", IF(SUM(IF('CO-PO Mapping'!V$2,$AH83*$AB$29,0),IF('CO-PO Mapping'!V$3,$AI83*$AC$29,0),IF('CO-PO Mapping'!V$4,$AJ83*$AD$29,0),IF('CO-PO Mapping'!V$5,$AK83*$AE$29,0),IF('CO-PO Mapping'!V$6,$AL83*$AF$29,0),IF('CO-PO Mapping'!V$7,$AM83*$AG$29,0))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3" s="95" t="str">
        <f>IF('CO-PO Mapping'!W$2, IF(OR($AN83="-",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IF(OR($AP83="-", SUM( IF('CO-PO Mapping'!W$2,$AB$29,0), IF('CO-PO Mapping'!W$3,$AC$29,0), IF('CO-PO Mapping'!W$4,$AD$29,0), IF('CO-PO Mapping'!W$5,$AE$29,0), IF('CO-PO Mapping'!W$6,$AF$29,0), IF('CO-PO Mapping'!W$7,$AG$29,0) )=0), "-", IF( SUM( IF('CO-PO Mapping'!W$2,$AH83*$AB$29,0), IF('CO-PO Mapping'!W$3,$AI83*$AC$29,0), IF('CO-PO Mapping'!W$4,$AJ83*$AD$29,0), IF('CO-PO Mapping'!W$5,$AK83*$AE$29,0), IF('CO-PO Mapping'!W$6,$AL83*$AF$29,0), IF('CO-PO Mapping'!W$7,$AM83*$AG$29,0)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IF('CO-PO Mapping'!W$6, IF(OR($AR83="-",SUM(IF('CO-PO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IF('CO-PO Mapping'!W$7, IF(OR($AS83="-",SUM(IF('CO-PO Mapping'!W$2,$AB$29,0),IF('CO-PO Mapping'!W$3,$AC$29,0),IF('CO-PO Mapping'!W$4,$AD$29,0),IF('CO-PO Mapping'!W$5,$AE$29,0),IF('CO-PO Mapping'!W$6,$AF$29,0),IF('CO-PO Mapping'!W$7,$AG$29,0))=0), "-", IF(SUM(IF('CO-PO Mapping'!W$2,$AH83*$AB$29,0),IF('CO-PO Mapping'!W$3,$AI83*$AC$29,0),IF('CO-PO Mapping'!W$4,$AJ83*$AD$29,0),IF('CO-PO Mapping'!W$5,$AK83*$AE$29,0),IF('CO-PO Mapping'!W$6,$AL83*$AF$29,0),IF('CO-PO Mapping'!W$7,$AM83*$AG$29,0))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3" s="95" t="str">
        <f>IF('CO-PO Mapping'!X$2, IF(OR($AN83="-",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IF(OR($AP83="-", SUM( IF('CO-PO Mapping'!X$2,$AB$29,0), IF('CO-PO Mapping'!X$3,$AC$29,0), IF('CO-PO Mapping'!X$4,$AD$29,0), IF('CO-PO Mapping'!X$5,$AE$29,0), IF('CO-PO Mapping'!X$6,$AF$29,0), IF('CO-PO Mapping'!X$7,$AG$29,0) )=0), "-", IF( SUM( IF('CO-PO Mapping'!X$2,$AH83*$AB$29,0), IF('CO-PO Mapping'!X$3,$AI83*$AC$29,0), IF('CO-PO Mapping'!X$4,$AJ83*$AD$29,0), IF('CO-PO Mapping'!X$5,$AK83*$AE$29,0), IF('CO-PO Mapping'!X$6,$AL83*$AF$29,0), IF('CO-PO Mapping'!X$7,$AM83*$AG$29,0)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IF('CO-PO Mapping'!X$6, IF(OR($AR83="-",SUM(IF('CO-PO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IF('CO-PO Mapping'!X$7, IF(OR($AS83="-",SUM(IF('CO-PO Mapping'!X$2,$AB$29,0),IF('CO-PO Mapping'!X$3,$AC$29,0),IF('CO-PO Mapping'!X$4,$AD$29,0),IF('CO-PO Mapping'!X$5,$AE$29,0),IF('CO-PO Mapping'!X$6,$AF$29,0),IF('CO-PO Mapping'!X$7,$AG$29,0))=0), "-", IF(SUM(IF('CO-PO Mapping'!X$2,$AH83*$AB$29,0),IF('CO-PO Mapping'!X$3,$AI83*$AC$29,0),IF('CO-PO Mapping'!X$4,$AJ83*$AD$29,0),IF('CO-PO Mapping'!X$5,$AK83*$AE$29,0),IF('CO-PO Mapping'!X$6,$AL83*$AF$29,0),IF('CO-PO Mapping'!X$7,$AM83*$AG$29,0))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3" s="95" t="str">
        <f>IF('CO-PO Mapping'!Y$2, IF(OR($AN83="-",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IF(OR($AP83="-", SUM( IF('CO-PO Mapping'!Y$2,$AB$29,0), IF('CO-PO Mapping'!Y$3,$AC$29,0), IF('CO-PO Mapping'!Y$4,$AD$29,0), IF('CO-PO Mapping'!Y$5,$AE$29,0), IF('CO-PO Mapping'!Y$6,$AF$29,0), IF('CO-PO Mapping'!Y$7,$AG$29,0) )=0), "-", IF( SUM( IF('CO-PO Mapping'!Y$2,$AH83*$AB$29,0), IF('CO-PO Mapping'!Y$3,$AI83*$AC$29,0), IF('CO-PO Mapping'!Y$4,$AJ83*$AD$29,0), IF('CO-PO Mapping'!Y$5,$AK83*$AE$29,0), IF('CO-PO Mapping'!Y$6,$AL83*$AF$29,0), IF('CO-PO Mapping'!Y$7,$AM83*$AG$29,0)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IF('CO-PO Mapping'!Y$6, IF(OR($AR83="-",SUM(IF('CO-PO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IF('CO-PO Mapping'!Y$7, IF(OR($AS83="-",SUM(IF('CO-PO Mapping'!Y$2,$AB$29,0),IF('CO-PO Mapping'!Y$3,$AC$29,0),IF('CO-PO Mapping'!Y$4,$AD$29,0),IF('CO-PO Mapping'!Y$5,$AE$29,0),IF('CO-PO Mapping'!Y$6,$AF$29,0),IF('CO-PO Mapping'!Y$7,$AG$29,0))=0), "-", IF(SUM(IF('CO-PO Mapping'!Y$2,$AH83*$AB$29,0),IF('CO-PO Mapping'!Y$3,$AI83*$AC$29,0),IF('CO-PO Mapping'!Y$4,$AJ83*$AD$29,0),IF('CO-PO Mapping'!Y$5,$AK83*$AE$29,0),IF('CO-PO Mapping'!Y$6,$AL83*$AF$29,0),IF('CO-PO Mapping'!Y$7,$AM83*$AG$29,0))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3" s="95" t="str">
        <f>IF('CO-PO Mapping'!Z$2, IF(OR($AN83="-",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IF(OR($AP83="-", SUM( IF('CO-PO Mapping'!Z$2,$AB$29,0), IF('CO-PO Mapping'!Z$3,$AC$29,0), IF('CO-PO Mapping'!Z$4,$AD$29,0), IF('CO-PO Mapping'!Z$5,$AE$29,0), IF('CO-PO Mapping'!Z$6,$AF$29,0), IF('CO-PO Mapping'!Z$7,$AG$29,0) )=0), "-", IF( SUM( IF('CO-PO Mapping'!Z$2,$AH83*$AB$29,0), IF('CO-PO Mapping'!Z$3,$AI83*$AC$29,0), IF('CO-PO Mapping'!Z$4,$AJ83*$AD$29,0), IF('CO-PO Mapping'!Z$5,$AK83*$AE$29,0), IF('CO-PO Mapping'!Z$6,$AL83*$AF$29,0), IF('CO-PO Mapping'!Z$7,$AM83*$AG$29,0)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IF('CO-PO Mapping'!Z$6, IF(OR($AR83="-",SUM(IF('CO-PO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IF('CO-PO Mapping'!Z$7, IF(OR($AS83="-",SUM(IF('CO-PO Mapping'!Z$2,$AB$29,0),IF('CO-PO Mapping'!Z$3,$AC$29,0),IF('CO-PO Mapping'!Z$4,$AD$29,0),IF('CO-PO Mapping'!Z$5,$AE$29,0),IF('CO-PO Mapping'!Z$6,$AF$29,0),IF('CO-PO Mapping'!Z$7,$AG$29,0))=0), "-", IF(SUM(IF('CO-PO Mapping'!Z$2,$AH83*$AB$29,0),IF('CO-PO Mapping'!Z$3,$AI83*$AC$29,0),IF('CO-PO Mapping'!Z$4,$AJ83*$AD$29,0),IF('CO-PO Mapping'!Z$5,$AK83*$AE$29,0),IF('CO-PO Mapping'!Z$6,$AL83*$AF$29,0),IF('CO-PO Mapping'!Z$7,$AM83*$AG$29,0))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4" spans="1:57" ht="15" customHeight="1">
      <c r="A84" s="88"/>
      <c r="B84" s="85"/>
      <c r="C84" s="74"/>
      <c r="D84" s="74"/>
      <c r="E84" s="75"/>
      <c r="F84" s="75"/>
      <c r="G84" s="75"/>
      <c r="H84" s="103" t="str">
        <f t="shared" si="29"/>
        <v>-</v>
      </c>
      <c r="I84" s="75"/>
      <c r="J84" s="75"/>
      <c r="K84" s="75"/>
      <c r="L84" s="75"/>
      <c r="M84" s="75"/>
      <c r="N84" s="75"/>
      <c r="O84" s="105" t="str">
        <f t="shared" si="30"/>
        <v>-</v>
      </c>
      <c r="P84" s="75"/>
      <c r="Q84" s="75"/>
      <c r="R84" s="75"/>
      <c r="S84" s="75"/>
      <c r="T84" s="75"/>
      <c r="U84" s="75"/>
      <c r="V84" s="104" t="str">
        <f t="shared" si="31"/>
        <v>-</v>
      </c>
      <c r="W84" s="83" t="str">
        <f t="shared" si="28"/>
        <v>-</v>
      </c>
      <c r="X84" s="98" t="str">
        <f t="shared" si="32"/>
        <v>-</v>
      </c>
      <c r="Z84" s="42" t="str">
        <f t="shared" si="26"/>
        <v/>
      </c>
      <c r="AA84" s="43" t="str">
        <f t="shared" si="27"/>
        <v/>
      </c>
      <c r="AB84" s="90">
        <f t="shared" si="11"/>
        <v>0</v>
      </c>
      <c r="AC84" s="90">
        <f t="shared" si="11"/>
        <v>0</v>
      </c>
      <c r="AD84" s="90">
        <f t="shared" si="11"/>
        <v>0</v>
      </c>
      <c r="AE84" s="90">
        <f t="shared" si="11"/>
        <v>0</v>
      </c>
      <c r="AF84" s="90">
        <f t="shared" si="11"/>
        <v>0</v>
      </c>
      <c r="AG84" s="90">
        <f t="shared" si="25"/>
        <v>0</v>
      </c>
      <c r="AH84" s="92">
        <f t="shared" si="12"/>
        <v>0</v>
      </c>
      <c r="AI84" s="92">
        <f t="shared" si="13"/>
        <v>0</v>
      </c>
      <c r="AJ84" s="92">
        <f t="shared" si="14"/>
        <v>0</v>
      </c>
      <c r="AK84" s="92">
        <f t="shared" si="22"/>
        <v>0</v>
      </c>
      <c r="AL84" s="92">
        <f t="shared" si="15"/>
        <v>0</v>
      </c>
      <c r="AM84" s="92">
        <f t="shared" si="16"/>
        <v>0</v>
      </c>
      <c r="AN84" s="93" t="str">
        <f t="shared" si="23"/>
        <v>-</v>
      </c>
      <c r="AO84" s="93" t="str">
        <f t="shared" si="17"/>
        <v>-</v>
      </c>
      <c r="AP84" s="93" t="str">
        <f t="shared" si="18"/>
        <v>-</v>
      </c>
      <c r="AQ84" s="93" t="str">
        <f t="shared" si="19"/>
        <v>-</v>
      </c>
      <c r="AR84" s="93" t="str">
        <f t="shared" si="20"/>
        <v>-</v>
      </c>
      <c r="AS84" s="93" t="str">
        <f>IF(OR($Z84="",AND(AM84=0,$Z84="")),"-",IF(AM84&gt;=$AQ$27,"Y","N"))</f>
        <v>-</v>
      </c>
      <c r="AT84" s="95" t="str">
        <f>IF('CO-PO Mapping'!O$2, IF(OR($AN84="-",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IF(OR($AP84="-", SUM( IF('CO-PO Mapping'!O$2,$AB$29,0), IF('CO-PO Mapping'!O$3,$AC$29,0), IF('CO-PO Mapping'!O$4,$AD$29,0), IF('CO-PO Mapping'!O$5,$AE$29,0), IF('CO-PO Mapping'!O$6,$AF$29,0), IF('CO-PO Mapping'!O$7,$AG$29,0) )=0), "-", IF( SUM( IF('CO-PO Mapping'!O$2,$AH84*$AB$29,0), IF('CO-PO Mapping'!O$3,$AI84*$AC$29,0), IF('CO-PO Mapping'!O$4,$AJ84*$AD$29,0), IF('CO-PO Mapping'!O$5,$AK84*$AE$29,0), IF('CO-PO Mapping'!O$6,$AL84*$AF$29,0), IF('CO-PO Mapping'!O$7,$AM84*$AG$29,0)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IF('CO-PO Mapping'!O$6, IF(OR($AR84="-",SUM(IF('CO-PO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IF('CO-PO Mapping'!O$7, IF(OR($AS84="-",SUM(IF('CO-PO Mapping'!O$2,$AB$29,0),IF('CO-PO Mapping'!O$3,$AC$29,0),IF('CO-PO Mapping'!O$4,$AD$29,0),IF('CO-PO Mapping'!O$5,$AE$29,0),IF('CO-PO Mapping'!O$6,$AF$29,0),IF('CO-PO Mapping'!O$7,$AG$29,0))=0), "-", IF(SUM(IF('CO-PO Mapping'!O$2,$AH84*$AB$29,0),IF('CO-PO Mapping'!O$3,$AI84*$AC$29,0),IF('CO-PO Mapping'!O$4,$AJ84*$AD$29,0),IF('CO-PO Mapping'!O$5,$AK84*$AE$29,0),IF('CO-PO Mapping'!O$6,$AL84*$AF$29,0),IF('CO-PO Mapping'!O$7,$AM84*$AG$29,0))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4" s="95" t="str">
        <f>IF('CO-PO Mapping'!P$2, IF(OR($AN84="-",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IF(OR($AP84="-", SUM( IF('CO-PO Mapping'!P$2,$AB$29,0), IF('CO-PO Mapping'!P$3,$AC$29,0), IF('CO-PO Mapping'!P$4,$AD$29,0), IF('CO-PO Mapping'!P$5,$AE$29,0), IF('CO-PO Mapping'!P$6,$AF$29,0), IF('CO-PO Mapping'!P$7,$AG$29,0) )=0), "-", IF( SUM( IF('CO-PO Mapping'!P$2,$AH84*$AB$29,0), IF('CO-PO Mapping'!P$3,$AI84*$AC$29,0), IF('CO-PO Mapping'!P$4,$AJ84*$AD$29,0), IF('CO-PO Mapping'!P$5,$AK84*$AE$29,0), IF('CO-PO Mapping'!P$6,$AL84*$AF$29,0), IF('CO-PO Mapping'!P$7,$AM84*$AG$29,0)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IF('CO-PO Mapping'!P$6, IF(OR($AR84="-",SUM(IF('CO-PO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IF('CO-PO Mapping'!P$7, IF(OR($AS84="-",SUM(IF('CO-PO Mapping'!P$2,$AB$29,0),IF('CO-PO Mapping'!P$3,$AC$29,0),IF('CO-PO Mapping'!P$4,$AD$29,0),IF('CO-PO Mapping'!P$5,$AE$29,0),IF('CO-PO Mapping'!P$6,$AF$29,0),IF('CO-PO Mapping'!P$7,$AG$29,0))=0), "-", IF(SUM(IF('CO-PO Mapping'!P$2,$AH84*$AB$29,0),IF('CO-PO Mapping'!P$3,$AI84*$AC$29,0),IF('CO-PO Mapping'!P$4,$AJ84*$AD$29,0),IF('CO-PO Mapping'!P$5,$AK84*$AE$29,0),IF('CO-PO Mapping'!P$6,$AL84*$AF$29,0),IF('CO-PO Mapping'!P$7,$AM84*$AG$29,0))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4" s="95" t="str">
        <f>IF('CO-PO Mapping'!Q$2, IF(OR($AN84="-",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IF(OR($AP84="-", SUM( IF('CO-PO Mapping'!Q$2,$AB$29,0), IF('CO-PO Mapping'!Q$3,$AC$29,0), IF('CO-PO Mapping'!Q$4,$AD$29,0), IF('CO-PO Mapping'!Q$5,$AE$29,0), IF('CO-PO Mapping'!Q$6,$AF$29,0), IF('CO-PO Mapping'!Q$7,$AG$29,0) )=0), "-", IF( SUM( IF('CO-PO Mapping'!Q$2,$AH84*$AB$29,0), IF('CO-PO Mapping'!Q$3,$AI84*$AC$29,0), IF('CO-PO Mapping'!Q$4,$AJ84*$AD$29,0), IF('CO-PO Mapping'!Q$5,$AK84*$AE$29,0), IF('CO-PO Mapping'!Q$6,$AL84*$AF$29,0), IF('CO-PO Mapping'!Q$7,$AM84*$AG$29,0)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IF('CO-PO Mapping'!Q$6, IF(OR($AR84="-",SUM(IF('CO-PO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IF('CO-PO Mapping'!Q$7, IF(OR($AS84="-",SUM(IF('CO-PO Mapping'!Q$2,$AB$29,0),IF('CO-PO Mapping'!Q$3,$AC$29,0),IF('CO-PO Mapping'!Q$4,$AD$29,0),IF('CO-PO Mapping'!Q$5,$AE$29,0),IF('CO-PO Mapping'!Q$6,$AF$29,0),IF('CO-PO Mapping'!Q$7,$AG$29,0))=0), "-", IF(SUM(IF('CO-PO Mapping'!Q$2,$AH84*$AB$29,0),IF('CO-PO Mapping'!Q$3,$AI84*$AC$29,0),IF('CO-PO Mapping'!Q$4,$AJ84*$AD$29,0),IF('CO-PO Mapping'!Q$5,$AK84*$AE$29,0),IF('CO-PO Mapping'!Q$6,$AL84*$AF$29,0),IF('CO-PO Mapping'!Q$7,$AM84*$AG$29,0))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4" s="95" t="str">
        <f>IF('CO-PO Mapping'!R$2, IF(OR($AN84="-",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IF(OR($AP84="-", SUM( IF('CO-PO Mapping'!R$2,$AB$29,0), IF('CO-PO Mapping'!R$3,$AC$29,0), IF('CO-PO Mapping'!R$4,$AD$29,0), IF('CO-PO Mapping'!R$5,$AE$29,0), IF('CO-PO Mapping'!R$6,$AF$29,0), IF('CO-PO Mapping'!R$7,$AG$29,0) )=0), "-", IF( SUM( IF('CO-PO Mapping'!R$2,$AH84*$AB$29,0), IF('CO-PO Mapping'!R$3,$AI84*$AC$29,0), IF('CO-PO Mapping'!R$4,$AJ84*$AD$29,0), IF('CO-PO Mapping'!R$5,$AK84*$AE$29,0), IF('CO-PO Mapping'!R$6,$AL84*$AF$29,0), IF('CO-PO Mapping'!R$7,$AM84*$AG$29,0)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IF('CO-PO Mapping'!R$6, IF(OR($AR84="-",SUM(IF('CO-PO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IF('CO-PO Mapping'!R$7, IF(OR($AS84="-",SUM(IF('CO-PO Mapping'!R$2,$AB$29,0),IF('CO-PO Mapping'!R$3,$AC$29,0),IF('CO-PO Mapping'!R$4,$AD$29,0),IF('CO-PO Mapping'!R$5,$AE$29,0),IF('CO-PO Mapping'!R$6,$AF$29,0),IF('CO-PO Mapping'!R$7,$AG$29,0))=0), "-", IF(SUM(IF('CO-PO Mapping'!R$2,$AH84*$AB$29,0),IF('CO-PO Mapping'!R$3,$AI84*$AC$29,0),IF('CO-PO Mapping'!R$4,$AJ84*$AD$29,0),IF('CO-PO Mapping'!R$5,$AK84*$AE$29,0),IF('CO-PO Mapping'!R$6,$AL84*$AF$29,0),IF('CO-PO Mapping'!R$7,$AM84*$AG$29,0))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4" s="95" t="str">
        <f>IF('CO-PO Mapping'!S$2, IF(OR($AN84="-",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IF(OR($AP84="-", SUM( IF('CO-PO Mapping'!S$2,$AB$29,0), IF('CO-PO Mapping'!S$3,$AC$29,0), IF('CO-PO Mapping'!S$4,$AD$29,0), IF('CO-PO Mapping'!S$5,$AE$29,0), IF('CO-PO Mapping'!S$6,$AF$29,0), IF('CO-PO Mapping'!S$7,$AG$29,0) )=0), "-", IF( SUM( IF('CO-PO Mapping'!S$2,$AH84*$AB$29,0), IF('CO-PO Mapping'!S$3,$AI84*$AC$29,0), IF('CO-PO Mapping'!S$4,$AJ84*$AD$29,0), IF('CO-PO Mapping'!S$5,$AK84*$AE$29,0), IF('CO-PO Mapping'!S$6,$AL84*$AF$29,0), IF('CO-PO Mapping'!S$7,$AM84*$AG$29,0)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IF('CO-PO Mapping'!S$6, IF(OR($AR84="-",SUM(IF('CO-PO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IF('CO-PO Mapping'!S$7, IF(OR($AS84="-",SUM(IF('CO-PO Mapping'!S$2,$AB$29,0),IF('CO-PO Mapping'!S$3,$AC$29,0),IF('CO-PO Mapping'!S$4,$AD$29,0),IF('CO-PO Mapping'!S$5,$AE$29,0),IF('CO-PO Mapping'!S$6,$AF$29,0),IF('CO-PO Mapping'!S$7,$AG$29,0))=0), "-", IF(SUM(IF('CO-PO Mapping'!S$2,$AH84*$AB$29,0),IF('CO-PO Mapping'!S$3,$AI84*$AC$29,0),IF('CO-PO Mapping'!S$4,$AJ84*$AD$29,0),IF('CO-PO Mapping'!S$5,$AK84*$AE$29,0),IF('CO-PO Mapping'!S$6,$AL84*$AF$29,0),IF('CO-PO Mapping'!S$7,$AM84*$AG$29,0))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4" s="95" t="str">
        <f>IF('CO-PO Mapping'!T$2, IF(OR($AN84="-",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IF(OR($AP84="-", SUM( IF('CO-PO Mapping'!T$2,$AB$29,0), IF('CO-PO Mapping'!T$3,$AC$29,0), IF('CO-PO Mapping'!T$4,$AD$29,0), IF('CO-PO Mapping'!T$5,$AE$29,0), IF('CO-PO Mapping'!T$6,$AF$29,0), IF('CO-PO Mapping'!T$7,$AG$29,0) )=0), "-", IF( SUM( IF('CO-PO Mapping'!T$2,$AH84*$AB$29,0), IF('CO-PO Mapping'!T$3,$AI84*$AC$29,0), IF('CO-PO Mapping'!T$4,$AJ84*$AD$29,0), IF('CO-PO Mapping'!T$5,$AK84*$AE$29,0), IF('CO-PO Mapping'!T$6,$AL84*$AF$29,0), IF('CO-PO Mapping'!T$7,$AM84*$AG$29,0)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IF('CO-PO Mapping'!T$6, IF(OR($AR84="-",SUM(IF('CO-PO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IF('CO-PO Mapping'!T$7, IF(OR($AS84="-",SUM(IF('CO-PO Mapping'!T$2,$AB$29,0),IF('CO-PO Mapping'!T$3,$AC$29,0),IF('CO-PO Mapping'!T$4,$AD$29,0),IF('CO-PO Mapping'!T$5,$AE$29,0),IF('CO-PO Mapping'!T$6,$AF$29,0),IF('CO-PO Mapping'!T$7,$AG$29,0))=0), "-", IF(SUM(IF('CO-PO Mapping'!T$2,$AH84*$AB$29,0),IF('CO-PO Mapping'!T$3,$AI84*$AC$29,0),IF('CO-PO Mapping'!T$4,$AJ84*$AD$29,0),IF('CO-PO Mapping'!T$5,$AK84*$AE$29,0),IF('CO-PO Mapping'!T$6,$AL84*$AF$29,0),IF('CO-PO Mapping'!T$7,$AM84*$AG$29,0))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4" s="95" t="str">
        <f>IF('CO-PO Mapping'!U$2, IF(OR($AN84="-",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IF(OR($AP84="-", SUM( IF('CO-PO Mapping'!U$2,$AB$29,0), IF('CO-PO Mapping'!U$3,$AC$29,0), IF('CO-PO Mapping'!U$4,$AD$29,0), IF('CO-PO Mapping'!U$5,$AE$29,0), IF('CO-PO Mapping'!U$6,$AF$29,0), IF('CO-PO Mapping'!U$7,$AG$29,0) )=0), "-", IF( SUM( IF('CO-PO Mapping'!U$2,$AH84*$AB$29,0), IF('CO-PO Mapping'!U$3,$AI84*$AC$29,0), IF('CO-PO Mapping'!U$4,$AJ84*$AD$29,0), IF('CO-PO Mapping'!U$5,$AK84*$AE$29,0), IF('CO-PO Mapping'!U$6,$AL84*$AF$29,0), IF('CO-PO Mapping'!U$7,$AM84*$AG$29,0)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IF('CO-PO Mapping'!U$6, IF(OR($AR84="-",SUM(IF('CO-PO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IF('CO-PO Mapping'!U$7, IF(OR($AS84="-",SUM(IF('CO-PO Mapping'!U$2,$AB$29,0),IF('CO-PO Mapping'!U$3,$AC$29,0),IF('CO-PO Mapping'!U$4,$AD$29,0),IF('CO-PO Mapping'!U$5,$AE$29,0),IF('CO-PO Mapping'!U$6,$AF$29,0),IF('CO-PO Mapping'!U$7,$AG$29,0))=0), "-", IF(SUM(IF('CO-PO Mapping'!U$2,$AH84*$AB$29,0),IF('CO-PO Mapping'!U$3,$AI84*$AC$29,0),IF('CO-PO Mapping'!U$4,$AJ84*$AD$29,0),IF('CO-PO Mapping'!U$5,$AK84*$AE$29,0),IF('CO-PO Mapping'!U$6,$AL84*$AF$29,0),IF('CO-PO Mapping'!U$7,$AM84*$AG$29,0))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4" s="95" t="str">
        <f>IF('CO-PO Mapping'!V$2, IF(OR($AN84="-",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IF(OR($AP84="-", SUM( IF('CO-PO Mapping'!V$2,$AB$29,0), IF('CO-PO Mapping'!V$3,$AC$29,0), IF('CO-PO Mapping'!V$4,$AD$29,0), IF('CO-PO Mapping'!V$5,$AE$29,0), IF('CO-PO Mapping'!V$6,$AF$29,0), IF('CO-PO Mapping'!V$7,$AG$29,0) )=0), "-", IF( SUM( IF('CO-PO Mapping'!V$2,$AH84*$AB$29,0), IF('CO-PO Mapping'!V$3,$AI84*$AC$29,0), IF('CO-PO Mapping'!V$4,$AJ84*$AD$29,0), IF('CO-PO Mapping'!V$5,$AK84*$AE$29,0), IF('CO-PO Mapping'!V$6,$AL84*$AF$29,0), IF('CO-PO Mapping'!V$7,$AM84*$AG$29,0)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IF('CO-PO Mapping'!V$6, IF(OR($AR84="-",SUM(IF('CO-PO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IF('CO-PO Mapping'!V$7, IF(OR($AS84="-",SUM(IF('CO-PO Mapping'!V$2,$AB$29,0),IF('CO-PO Mapping'!V$3,$AC$29,0),IF('CO-PO Mapping'!V$4,$AD$29,0),IF('CO-PO Mapping'!V$5,$AE$29,0),IF('CO-PO Mapping'!V$6,$AF$29,0),IF('CO-PO Mapping'!V$7,$AG$29,0))=0), "-", IF(SUM(IF('CO-PO Mapping'!V$2,$AH84*$AB$29,0),IF('CO-PO Mapping'!V$3,$AI84*$AC$29,0),IF('CO-PO Mapping'!V$4,$AJ84*$AD$29,0),IF('CO-PO Mapping'!V$5,$AK84*$AE$29,0),IF('CO-PO Mapping'!V$6,$AL84*$AF$29,0),IF('CO-PO Mapping'!V$7,$AM84*$AG$29,0))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4" s="95" t="str">
        <f>IF('CO-PO Mapping'!W$2, IF(OR($AN84="-",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IF(OR($AP84="-", SUM( IF('CO-PO Mapping'!W$2,$AB$29,0), IF('CO-PO Mapping'!W$3,$AC$29,0), IF('CO-PO Mapping'!W$4,$AD$29,0), IF('CO-PO Mapping'!W$5,$AE$29,0), IF('CO-PO Mapping'!W$6,$AF$29,0), IF('CO-PO Mapping'!W$7,$AG$29,0) )=0), "-", IF( SUM( IF('CO-PO Mapping'!W$2,$AH84*$AB$29,0), IF('CO-PO Mapping'!W$3,$AI84*$AC$29,0), IF('CO-PO Mapping'!W$4,$AJ84*$AD$29,0), IF('CO-PO Mapping'!W$5,$AK84*$AE$29,0), IF('CO-PO Mapping'!W$6,$AL84*$AF$29,0), IF('CO-PO Mapping'!W$7,$AM84*$AG$29,0)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IF('CO-PO Mapping'!W$6, IF(OR($AR84="-",SUM(IF('CO-PO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IF('CO-PO Mapping'!W$7, IF(OR($AS84="-",SUM(IF('CO-PO Mapping'!W$2,$AB$29,0),IF('CO-PO Mapping'!W$3,$AC$29,0),IF('CO-PO Mapping'!W$4,$AD$29,0),IF('CO-PO Mapping'!W$5,$AE$29,0),IF('CO-PO Mapping'!W$6,$AF$29,0),IF('CO-PO Mapping'!W$7,$AG$29,0))=0), "-", IF(SUM(IF('CO-PO Mapping'!W$2,$AH84*$AB$29,0),IF('CO-PO Mapping'!W$3,$AI84*$AC$29,0),IF('CO-PO Mapping'!W$4,$AJ84*$AD$29,0),IF('CO-PO Mapping'!W$5,$AK84*$AE$29,0),IF('CO-PO Mapping'!W$6,$AL84*$AF$29,0),IF('CO-PO Mapping'!W$7,$AM84*$AG$29,0))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4" s="95" t="str">
        <f>IF('CO-PO Mapping'!X$2, IF(OR($AN84="-",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IF(OR($AP84="-", SUM( IF('CO-PO Mapping'!X$2,$AB$29,0), IF('CO-PO Mapping'!X$3,$AC$29,0), IF('CO-PO Mapping'!X$4,$AD$29,0), IF('CO-PO Mapping'!X$5,$AE$29,0), IF('CO-PO Mapping'!X$6,$AF$29,0), IF('CO-PO Mapping'!X$7,$AG$29,0) )=0), "-", IF( SUM( IF('CO-PO Mapping'!X$2,$AH84*$AB$29,0), IF('CO-PO Mapping'!X$3,$AI84*$AC$29,0), IF('CO-PO Mapping'!X$4,$AJ84*$AD$29,0), IF('CO-PO Mapping'!X$5,$AK84*$AE$29,0), IF('CO-PO Mapping'!X$6,$AL84*$AF$29,0), IF('CO-PO Mapping'!X$7,$AM84*$AG$29,0)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IF('CO-PO Mapping'!X$6, IF(OR($AR84="-",SUM(IF('CO-PO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IF('CO-PO Mapping'!X$7, IF(OR($AS84="-",SUM(IF('CO-PO Mapping'!X$2,$AB$29,0),IF('CO-PO Mapping'!X$3,$AC$29,0),IF('CO-PO Mapping'!X$4,$AD$29,0),IF('CO-PO Mapping'!X$5,$AE$29,0),IF('CO-PO Mapping'!X$6,$AF$29,0),IF('CO-PO Mapping'!X$7,$AG$29,0))=0), "-", IF(SUM(IF('CO-PO Mapping'!X$2,$AH84*$AB$29,0),IF('CO-PO Mapping'!X$3,$AI84*$AC$29,0),IF('CO-PO Mapping'!X$4,$AJ84*$AD$29,0),IF('CO-PO Mapping'!X$5,$AK84*$AE$29,0),IF('CO-PO Mapping'!X$6,$AL84*$AF$29,0),IF('CO-PO Mapping'!X$7,$AM84*$AG$29,0))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4" s="95" t="str">
        <f>IF('CO-PO Mapping'!Y$2, IF(OR($AN84="-",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IF(OR($AP84="-", SUM( IF('CO-PO Mapping'!Y$2,$AB$29,0), IF('CO-PO Mapping'!Y$3,$AC$29,0), IF('CO-PO Mapping'!Y$4,$AD$29,0), IF('CO-PO Mapping'!Y$5,$AE$29,0), IF('CO-PO Mapping'!Y$6,$AF$29,0), IF('CO-PO Mapping'!Y$7,$AG$29,0) )=0), "-", IF( SUM( IF('CO-PO Mapping'!Y$2,$AH84*$AB$29,0), IF('CO-PO Mapping'!Y$3,$AI84*$AC$29,0), IF('CO-PO Mapping'!Y$4,$AJ84*$AD$29,0), IF('CO-PO Mapping'!Y$5,$AK84*$AE$29,0), IF('CO-PO Mapping'!Y$6,$AL84*$AF$29,0), IF('CO-PO Mapping'!Y$7,$AM84*$AG$29,0)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IF('CO-PO Mapping'!Y$6, IF(OR($AR84="-",SUM(IF('CO-PO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IF('CO-PO Mapping'!Y$7, IF(OR($AS84="-",SUM(IF('CO-PO Mapping'!Y$2,$AB$29,0),IF('CO-PO Mapping'!Y$3,$AC$29,0),IF('CO-PO Mapping'!Y$4,$AD$29,0),IF('CO-PO Mapping'!Y$5,$AE$29,0),IF('CO-PO Mapping'!Y$6,$AF$29,0),IF('CO-PO Mapping'!Y$7,$AG$29,0))=0), "-", IF(SUM(IF('CO-PO Mapping'!Y$2,$AH84*$AB$29,0),IF('CO-PO Mapping'!Y$3,$AI84*$AC$29,0),IF('CO-PO Mapping'!Y$4,$AJ84*$AD$29,0),IF('CO-PO Mapping'!Y$5,$AK84*$AE$29,0),IF('CO-PO Mapping'!Y$6,$AL84*$AF$29,0),IF('CO-PO Mapping'!Y$7,$AM84*$AG$29,0))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4" s="95" t="str">
        <f>IF('CO-PO Mapping'!Z$2, IF(OR($AN84="-",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IF(OR($AP84="-", SUM( IF('CO-PO Mapping'!Z$2,$AB$29,0), IF('CO-PO Mapping'!Z$3,$AC$29,0), IF('CO-PO Mapping'!Z$4,$AD$29,0), IF('CO-PO Mapping'!Z$5,$AE$29,0), IF('CO-PO Mapping'!Z$6,$AF$29,0), IF('CO-PO Mapping'!Z$7,$AG$29,0) )=0), "-", IF( SUM( IF('CO-PO Mapping'!Z$2,$AH84*$AB$29,0), IF('CO-PO Mapping'!Z$3,$AI84*$AC$29,0), IF('CO-PO Mapping'!Z$4,$AJ84*$AD$29,0), IF('CO-PO Mapping'!Z$5,$AK84*$AE$29,0), IF('CO-PO Mapping'!Z$6,$AL84*$AF$29,0), IF('CO-PO Mapping'!Z$7,$AM84*$AG$29,0)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IF('CO-PO Mapping'!Z$6, IF(OR($AR84="-",SUM(IF('CO-PO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IF('CO-PO Mapping'!Z$7, IF(OR($AS84="-",SUM(IF('CO-PO Mapping'!Z$2,$AB$29,0),IF('CO-PO Mapping'!Z$3,$AC$29,0),IF('CO-PO Mapping'!Z$4,$AD$29,0),IF('CO-PO Mapping'!Z$5,$AE$29,0),IF('CO-PO Mapping'!Z$6,$AF$29,0),IF('CO-PO Mapping'!Z$7,$AG$29,0))=0), "-", IF(SUM(IF('CO-PO Mapping'!Z$2,$AH84*$AB$29,0),IF('CO-PO Mapping'!Z$3,$AI84*$AC$29,0),IF('CO-PO Mapping'!Z$4,$AJ84*$AD$29,0),IF('CO-PO Mapping'!Z$5,$AK84*$AE$29,0),IF('CO-PO Mapping'!Z$6,$AL84*$AF$29,0),IF('CO-PO Mapping'!Z$7,$AM84*$AG$29,0))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5" spans="1:57" ht="15" customHeight="1">
      <c r="A85" s="88"/>
      <c r="B85" s="85"/>
      <c r="C85" s="74"/>
      <c r="D85" s="74"/>
      <c r="E85" s="75"/>
      <c r="F85" s="75"/>
      <c r="G85" s="75"/>
      <c r="H85" s="103" t="str">
        <f t="shared" si="29"/>
        <v>-</v>
      </c>
      <c r="I85" s="75"/>
      <c r="J85" s="75"/>
      <c r="K85" s="75"/>
      <c r="L85" s="75"/>
      <c r="M85" s="75"/>
      <c r="N85" s="75"/>
      <c r="O85" s="105" t="str">
        <f t="shared" si="30"/>
        <v>-</v>
      </c>
      <c r="P85" s="75"/>
      <c r="Q85" s="75"/>
      <c r="R85" s="75"/>
      <c r="S85" s="75"/>
      <c r="T85" s="75"/>
      <c r="U85" s="75"/>
      <c r="V85" s="104" t="str">
        <f t="shared" si="31"/>
        <v>-</v>
      </c>
      <c r="W85" s="83" t="str">
        <f t="shared" si="28"/>
        <v>-</v>
      </c>
      <c r="X85" s="98" t="str">
        <f t="shared" si="32"/>
        <v>-</v>
      </c>
      <c r="Z85" s="42" t="str">
        <f t="shared" si="26"/>
        <v/>
      </c>
      <c r="AA85" s="43" t="str">
        <f t="shared" si="27"/>
        <v/>
      </c>
      <c r="AB85" s="90">
        <f t="shared" si="11"/>
        <v>0</v>
      </c>
      <c r="AC85" s="90">
        <f t="shared" si="11"/>
        <v>0</v>
      </c>
      <c r="AD85" s="90">
        <f t="shared" si="11"/>
        <v>0</v>
      </c>
      <c r="AE85" s="90">
        <f t="shared" si="11"/>
        <v>0</v>
      </c>
      <c r="AF85" s="90">
        <f t="shared" si="11"/>
        <v>0</v>
      </c>
      <c r="AG85" s="90">
        <f t="shared" si="25"/>
        <v>0</v>
      </c>
      <c r="AH85" s="92">
        <f t="shared" si="12"/>
        <v>0</v>
      </c>
      <c r="AI85" s="92">
        <f t="shared" si="13"/>
        <v>0</v>
      </c>
      <c r="AJ85" s="92">
        <f t="shared" si="14"/>
        <v>0</v>
      </c>
      <c r="AK85" s="92">
        <f t="shared" si="22"/>
        <v>0</v>
      </c>
      <c r="AL85" s="92">
        <f t="shared" si="15"/>
        <v>0</v>
      </c>
      <c r="AM85" s="92">
        <f t="shared" si="16"/>
        <v>0</v>
      </c>
      <c r="AN85" s="93" t="str">
        <f t="shared" si="23"/>
        <v>-</v>
      </c>
      <c r="AO85" s="93" t="str">
        <f t="shared" si="17"/>
        <v>-</v>
      </c>
      <c r="AP85" s="93" t="str">
        <f t="shared" si="18"/>
        <v>-</v>
      </c>
      <c r="AQ85" s="93" t="str">
        <f t="shared" si="19"/>
        <v>-</v>
      </c>
      <c r="AR85" s="93" t="str">
        <f t="shared" si="20"/>
        <v>-</v>
      </c>
      <c r="AS85" s="93" t="str">
        <f t="shared" si="21"/>
        <v>-</v>
      </c>
      <c r="AT85" s="95" t="str">
        <f>IF('CO-PO Mapping'!O$2, IF(OR($AN85="-",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IF(OR($AP85="-", SUM( IF('CO-PO Mapping'!O$2,$AB$29,0), IF('CO-PO Mapping'!O$3,$AC$29,0), IF('CO-PO Mapping'!O$4,$AD$29,0), IF('CO-PO Mapping'!O$5,$AE$29,0), IF('CO-PO Mapping'!O$6,$AF$29,0), IF('CO-PO Mapping'!O$7,$AG$29,0) )=0), "-", IF( SUM( IF('CO-PO Mapping'!O$2,$AH85*$AB$29,0), IF('CO-PO Mapping'!O$3,$AI85*$AC$29,0), IF('CO-PO Mapping'!O$4,$AJ85*$AD$29,0), IF('CO-PO Mapping'!O$5,$AK85*$AE$29,0), IF('CO-PO Mapping'!O$6,$AL85*$AF$29,0), IF('CO-PO Mapping'!O$7,$AM85*$AG$29,0)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IF('CO-PO Mapping'!O$6, IF(OR($AR85="-",SUM(IF('CO-PO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IF('CO-PO Mapping'!O$7, IF(OR($AS85="-",SUM(IF('CO-PO Mapping'!O$2,$AB$29,0),IF('CO-PO Mapping'!O$3,$AC$29,0),IF('CO-PO Mapping'!O$4,$AD$29,0),IF('CO-PO Mapping'!O$5,$AE$29,0),IF('CO-PO Mapping'!O$6,$AF$29,0),IF('CO-PO Mapping'!O$7,$AG$29,0))=0), "-", IF(SUM(IF('CO-PO Mapping'!O$2,$AH85*$AB$29,0),IF('CO-PO Mapping'!O$3,$AI85*$AC$29,0),IF('CO-PO Mapping'!O$4,$AJ85*$AD$29,0),IF('CO-PO Mapping'!O$5,$AK85*$AE$29,0),IF('CO-PO Mapping'!O$6,$AL85*$AF$29,0),IF('CO-PO Mapping'!O$7,$AM85*$AG$29,0))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5" s="95" t="str">
        <f>IF('CO-PO Mapping'!P$2, IF(OR($AN85="-",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IF(OR($AP85="-", SUM( IF('CO-PO Mapping'!P$2,$AB$29,0), IF('CO-PO Mapping'!P$3,$AC$29,0), IF('CO-PO Mapping'!P$4,$AD$29,0), IF('CO-PO Mapping'!P$5,$AE$29,0), IF('CO-PO Mapping'!P$6,$AF$29,0), IF('CO-PO Mapping'!P$7,$AG$29,0) )=0), "-", IF( SUM( IF('CO-PO Mapping'!P$2,$AH85*$AB$29,0), IF('CO-PO Mapping'!P$3,$AI85*$AC$29,0), IF('CO-PO Mapping'!P$4,$AJ85*$AD$29,0), IF('CO-PO Mapping'!P$5,$AK85*$AE$29,0), IF('CO-PO Mapping'!P$6,$AL85*$AF$29,0), IF('CO-PO Mapping'!P$7,$AM85*$AG$29,0)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IF('CO-PO Mapping'!P$6, IF(OR($AR85="-",SUM(IF('CO-PO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IF('CO-PO Mapping'!P$7, IF(OR($AS85="-",SUM(IF('CO-PO Mapping'!P$2,$AB$29,0),IF('CO-PO Mapping'!P$3,$AC$29,0),IF('CO-PO Mapping'!P$4,$AD$29,0),IF('CO-PO Mapping'!P$5,$AE$29,0),IF('CO-PO Mapping'!P$6,$AF$29,0),IF('CO-PO Mapping'!P$7,$AG$29,0))=0), "-", IF(SUM(IF('CO-PO Mapping'!P$2,$AH85*$AB$29,0),IF('CO-PO Mapping'!P$3,$AI85*$AC$29,0),IF('CO-PO Mapping'!P$4,$AJ85*$AD$29,0),IF('CO-PO Mapping'!P$5,$AK85*$AE$29,0),IF('CO-PO Mapping'!P$6,$AL85*$AF$29,0),IF('CO-PO Mapping'!P$7,$AM85*$AG$29,0))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5" s="95" t="str">
        <f>IF('CO-PO Mapping'!Q$2, IF(OR($AN85="-",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IF(OR($AP85="-", SUM( IF('CO-PO Mapping'!Q$2,$AB$29,0), IF('CO-PO Mapping'!Q$3,$AC$29,0), IF('CO-PO Mapping'!Q$4,$AD$29,0), IF('CO-PO Mapping'!Q$5,$AE$29,0), IF('CO-PO Mapping'!Q$6,$AF$29,0), IF('CO-PO Mapping'!Q$7,$AG$29,0) )=0), "-", IF( SUM( IF('CO-PO Mapping'!Q$2,$AH85*$AB$29,0), IF('CO-PO Mapping'!Q$3,$AI85*$AC$29,0), IF('CO-PO Mapping'!Q$4,$AJ85*$AD$29,0), IF('CO-PO Mapping'!Q$5,$AK85*$AE$29,0), IF('CO-PO Mapping'!Q$6,$AL85*$AF$29,0), IF('CO-PO Mapping'!Q$7,$AM85*$AG$29,0)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IF('CO-PO Mapping'!Q$6, IF(OR($AR85="-",SUM(IF('CO-PO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IF('CO-PO Mapping'!Q$7, IF(OR($AS85="-",SUM(IF('CO-PO Mapping'!Q$2,$AB$29,0),IF('CO-PO Mapping'!Q$3,$AC$29,0),IF('CO-PO Mapping'!Q$4,$AD$29,0),IF('CO-PO Mapping'!Q$5,$AE$29,0),IF('CO-PO Mapping'!Q$6,$AF$29,0),IF('CO-PO Mapping'!Q$7,$AG$29,0))=0), "-", IF(SUM(IF('CO-PO Mapping'!Q$2,$AH85*$AB$29,0),IF('CO-PO Mapping'!Q$3,$AI85*$AC$29,0),IF('CO-PO Mapping'!Q$4,$AJ85*$AD$29,0),IF('CO-PO Mapping'!Q$5,$AK85*$AE$29,0),IF('CO-PO Mapping'!Q$6,$AL85*$AF$29,0),IF('CO-PO Mapping'!Q$7,$AM85*$AG$29,0))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5" s="95" t="str">
        <f>IF('CO-PO Mapping'!R$2, IF(OR($AN85="-",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IF(OR($AP85="-", SUM( IF('CO-PO Mapping'!R$2,$AB$29,0), IF('CO-PO Mapping'!R$3,$AC$29,0), IF('CO-PO Mapping'!R$4,$AD$29,0), IF('CO-PO Mapping'!R$5,$AE$29,0), IF('CO-PO Mapping'!R$6,$AF$29,0), IF('CO-PO Mapping'!R$7,$AG$29,0) )=0), "-", IF( SUM( IF('CO-PO Mapping'!R$2,$AH85*$AB$29,0), IF('CO-PO Mapping'!R$3,$AI85*$AC$29,0), IF('CO-PO Mapping'!R$4,$AJ85*$AD$29,0), IF('CO-PO Mapping'!R$5,$AK85*$AE$29,0), IF('CO-PO Mapping'!R$6,$AL85*$AF$29,0), IF('CO-PO Mapping'!R$7,$AM85*$AG$29,0)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IF('CO-PO Mapping'!R$6, IF(OR($AR85="-",SUM(IF('CO-PO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IF('CO-PO Mapping'!R$7, IF(OR($AS85="-",SUM(IF('CO-PO Mapping'!R$2,$AB$29,0),IF('CO-PO Mapping'!R$3,$AC$29,0),IF('CO-PO Mapping'!R$4,$AD$29,0),IF('CO-PO Mapping'!R$5,$AE$29,0),IF('CO-PO Mapping'!R$6,$AF$29,0),IF('CO-PO Mapping'!R$7,$AG$29,0))=0), "-", IF(SUM(IF('CO-PO Mapping'!R$2,$AH85*$AB$29,0),IF('CO-PO Mapping'!R$3,$AI85*$AC$29,0),IF('CO-PO Mapping'!R$4,$AJ85*$AD$29,0),IF('CO-PO Mapping'!R$5,$AK85*$AE$29,0),IF('CO-PO Mapping'!R$6,$AL85*$AF$29,0),IF('CO-PO Mapping'!R$7,$AM85*$AG$29,0))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5" s="95" t="str">
        <f>IF('CO-PO Mapping'!S$2, IF(OR($AN85="-",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IF(OR($AP85="-", SUM( IF('CO-PO Mapping'!S$2,$AB$29,0), IF('CO-PO Mapping'!S$3,$AC$29,0), IF('CO-PO Mapping'!S$4,$AD$29,0), IF('CO-PO Mapping'!S$5,$AE$29,0), IF('CO-PO Mapping'!S$6,$AF$29,0), IF('CO-PO Mapping'!S$7,$AG$29,0) )=0), "-", IF( SUM( IF('CO-PO Mapping'!S$2,$AH85*$AB$29,0), IF('CO-PO Mapping'!S$3,$AI85*$AC$29,0), IF('CO-PO Mapping'!S$4,$AJ85*$AD$29,0), IF('CO-PO Mapping'!S$5,$AK85*$AE$29,0), IF('CO-PO Mapping'!S$6,$AL85*$AF$29,0), IF('CO-PO Mapping'!S$7,$AM85*$AG$29,0)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IF('CO-PO Mapping'!S$6, IF(OR($AR85="-",SUM(IF('CO-PO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IF('CO-PO Mapping'!S$7, IF(OR($AS85="-",SUM(IF('CO-PO Mapping'!S$2,$AB$29,0),IF('CO-PO Mapping'!S$3,$AC$29,0),IF('CO-PO Mapping'!S$4,$AD$29,0),IF('CO-PO Mapping'!S$5,$AE$29,0),IF('CO-PO Mapping'!S$6,$AF$29,0),IF('CO-PO Mapping'!S$7,$AG$29,0))=0), "-", IF(SUM(IF('CO-PO Mapping'!S$2,$AH85*$AB$29,0),IF('CO-PO Mapping'!S$3,$AI85*$AC$29,0),IF('CO-PO Mapping'!S$4,$AJ85*$AD$29,0),IF('CO-PO Mapping'!S$5,$AK85*$AE$29,0),IF('CO-PO Mapping'!S$6,$AL85*$AF$29,0),IF('CO-PO Mapping'!S$7,$AM85*$AG$29,0))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5" s="95" t="str">
        <f>IF('CO-PO Mapping'!T$2, IF(OR($AN85="-",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IF(OR($AP85="-", SUM( IF('CO-PO Mapping'!T$2,$AB$29,0), IF('CO-PO Mapping'!T$3,$AC$29,0), IF('CO-PO Mapping'!T$4,$AD$29,0), IF('CO-PO Mapping'!T$5,$AE$29,0), IF('CO-PO Mapping'!T$6,$AF$29,0), IF('CO-PO Mapping'!T$7,$AG$29,0) )=0), "-", IF( SUM( IF('CO-PO Mapping'!T$2,$AH85*$AB$29,0), IF('CO-PO Mapping'!T$3,$AI85*$AC$29,0), IF('CO-PO Mapping'!T$4,$AJ85*$AD$29,0), IF('CO-PO Mapping'!T$5,$AK85*$AE$29,0), IF('CO-PO Mapping'!T$6,$AL85*$AF$29,0), IF('CO-PO Mapping'!T$7,$AM85*$AG$29,0)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IF('CO-PO Mapping'!T$6, IF(OR($AR85="-",SUM(IF('CO-PO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IF('CO-PO Mapping'!T$7, IF(OR($AS85="-",SUM(IF('CO-PO Mapping'!T$2,$AB$29,0),IF('CO-PO Mapping'!T$3,$AC$29,0),IF('CO-PO Mapping'!T$4,$AD$29,0),IF('CO-PO Mapping'!T$5,$AE$29,0),IF('CO-PO Mapping'!T$6,$AF$29,0),IF('CO-PO Mapping'!T$7,$AG$29,0))=0), "-", IF(SUM(IF('CO-PO Mapping'!T$2,$AH85*$AB$29,0),IF('CO-PO Mapping'!T$3,$AI85*$AC$29,0),IF('CO-PO Mapping'!T$4,$AJ85*$AD$29,0),IF('CO-PO Mapping'!T$5,$AK85*$AE$29,0),IF('CO-PO Mapping'!T$6,$AL85*$AF$29,0),IF('CO-PO Mapping'!T$7,$AM85*$AG$29,0))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5" s="95" t="str">
        <f>IF('CO-PO Mapping'!U$2, IF(OR($AN85="-",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IF(OR($AP85="-", SUM( IF('CO-PO Mapping'!U$2,$AB$29,0), IF('CO-PO Mapping'!U$3,$AC$29,0), IF('CO-PO Mapping'!U$4,$AD$29,0), IF('CO-PO Mapping'!U$5,$AE$29,0), IF('CO-PO Mapping'!U$6,$AF$29,0), IF('CO-PO Mapping'!U$7,$AG$29,0) )=0), "-", IF( SUM( IF('CO-PO Mapping'!U$2,$AH85*$AB$29,0), IF('CO-PO Mapping'!U$3,$AI85*$AC$29,0), IF('CO-PO Mapping'!U$4,$AJ85*$AD$29,0), IF('CO-PO Mapping'!U$5,$AK85*$AE$29,0), IF('CO-PO Mapping'!U$6,$AL85*$AF$29,0), IF('CO-PO Mapping'!U$7,$AM85*$AG$29,0)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IF('CO-PO Mapping'!U$6, IF(OR($AR85="-",SUM(IF('CO-PO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IF('CO-PO Mapping'!U$7, IF(OR($AS85="-",SUM(IF('CO-PO Mapping'!U$2,$AB$29,0),IF('CO-PO Mapping'!U$3,$AC$29,0),IF('CO-PO Mapping'!U$4,$AD$29,0),IF('CO-PO Mapping'!U$5,$AE$29,0),IF('CO-PO Mapping'!U$6,$AF$29,0),IF('CO-PO Mapping'!U$7,$AG$29,0))=0), "-", IF(SUM(IF('CO-PO Mapping'!U$2,$AH85*$AB$29,0),IF('CO-PO Mapping'!U$3,$AI85*$AC$29,0),IF('CO-PO Mapping'!U$4,$AJ85*$AD$29,0),IF('CO-PO Mapping'!U$5,$AK85*$AE$29,0),IF('CO-PO Mapping'!U$6,$AL85*$AF$29,0),IF('CO-PO Mapping'!U$7,$AM85*$AG$29,0))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5" s="95" t="str">
        <f>IF('CO-PO Mapping'!V$2, IF(OR($AN85="-",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IF(OR($AP85="-", SUM( IF('CO-PO Mapping'!V$2,$AB$29,0), IF('CO-PO Mapping'!V$3,$AC$29,0), IF('CO-PO Mapping'!V$4,$AD$29,0), IF('CO-PO Mapping'!V$5,$AE$29,0), IF('CO-PO Mapping'!V$6,$AF$29,0), IF('CO-PO Mapping'!V$7,$AG$29,0) )=0), "-", IF( SUM( IF('CO-PO Mapping'!V$2,$AH85*$AB$29,0), IF('CO-PO Mapping'!V$3,$AI85*$AC$29,0), IF('CO-PO Mapping'!V$4,$AJ85*$AD$29,0), IF('CO-PO Mapping'!V$5,$AK85*$AE$29,0), IF('CO-PO Mapping'!V$6,$AL85*$AF$29,0), IF('CO-PO Mapping'!V$7,$AM85*$AG$29,0)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IF('CO-PO Mapping'!V$6, IF(OR($AR85="-",SUM(IF('CO-PO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IF('CO-PO Mapping'!V$7, IF(OR($AS85="-",SUM(IF('CO-PO Mapping'!V$2,$AB$29,0),IF('CO-PO Mapping'!V$3,$AC$29,0),IF('CO-PO Mapping'!V$4,$AD$29,0),IF('CO-PO Mapping'!V$5,$AE$29,0),IF('CO-PO Mapping'!V$6,$AF$29,0),IF('CO-PO Mapping'!V$7,$AG$29,0))=0), "-", IF(SUM(IF('CO-PO Mapping'!V$2,$AH85*$AB$29,0),IF('CO-PO Mapping'!V$3,$AI85*$AC$29,0),IF('CO-PO Mapping'!V$4,$AJ85*$AD$29,0),IF('CO-PO Mapping'!V$5,$AK85*$AE$29,0),IF('CO-PO Mapping'!V$6,$AL85*$AF$29,0),IF('CO-PO Mapping'!V$7,$AM85*$AG$29,0))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5" s="95" t="str">
        <f>IF('CO-PO Mapping'!W$2, IF(OR($AN85="-",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IF(OR($AP85="-", SUM( IF('CO-PO Mapping'!W$2,$AB$29,0), IF('CO-PO Mapping'!W$3,$AC$29,0), IF('CO-PO Mapping'!W$4,$AD$29,0), IF('CO-PO Mapping'!W$5,$AE$29,0), IF('CO-PO Mapping'!W$6,$AF$29,0), IF('CO-PO Mapping'!W$7,$AG$29,0) )=0), "-", IF( SUM( IF('CO-PO Mapping'!W$2,$AH85*$AB$29,0), IF('CO-PO Mapping'!W$3,$AI85*$AC$29,0), IF('CO-PO Mapping'!W$4,$AJ85*$AD$29,0), IF('CO-PO Mapping'!W$5,$AK85*$AE$29,0), IF('CO-PO Mapping'!W$6,$AL85*$AF$29,0), IF('CO-PO Mapping'!W$7,$AM85*$AG$29,0)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IF('CO-PO Mapping'!W$6, IF(OR($AR85="-",SUM(IF('CO-PO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IF('CO-PO Mapping'!W$7, IF(OR($AS85="-",SUM(IF('CO-PO Mapping'!W$2,$AB$29,0),IF('CO-PO Mapping'!W$3,$AC$29,0),IF('CO-PO Mapping'!W$4,$AD$29,0),IF('CO-PO Mapping'!W$5,$AE$29,0),IF('CO-PO Mapping'!W$6,$AF$29,0),IF('CO-PO Mapping'!W$7,$AG$29,0))=0), "-", IF(SUM(IF('CO-PO Mapping'!W$2,$AH85*$AB$29,0),IF('CO-PO Mapping'!W$3,$AI85*$AC$29,0),IF('CO-PO Mapping'!W$4,$AJ85*$AD$29,0),IF('CO-PO Mapping'!W$5,$AK85*$AE$29,0),IF('CO-PO Mapping'!W$6,$AL85*$AF$29,0),IF('CO-PO Mapping'!W$7,$AM85*$AG$29,0))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5" s="95" t="str">
        <f>IF('CO-PO Mapping'!X$2, IF(OR($AN85="-",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IF(OR($AP85="-", SUM( IF('CO-PO Mapping'!X$2,$AB$29,0), IF('CO-PO Mapping'!X$3,$AC$29,0), IF('CO-PO Mapping'!X$4,$AD$29,0), IF('CO-PO Mapping'!X$5,$AE$29,0), IF('CO-PO Mapping'!X$6,$AF$29,0), IF('CO-PO Mapping'!X$7,$AG$29,0) )=0), "-", IF( SUM( IF('CO-PO Mapping'!X$2,$AH85*$AB$29,0), IF('CO-PO Mapping'!X$3,$AI85*$AC$29,0), IF('CO-PO Mapping'!X$4,$AJ85*$AD$29,0), IF('CO-PO Mapping'!X$5,$AK85*$AE$29,0), IF('CO-PO Mapping'!X$6,$AL85*$AF$29,0), IF('CO-PO Mapping'!X$7,$AM85*$AG$29,0)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IF('CO-PO Mapping'!X$6, IF(OR($AR85="-",SUM(IF('CO-PO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IF('CO-PO Mapping'!X$7, IF(OR($AS85="-",SUM(IF('CO-PO Mapping'!X$2,$AB$29,0),IF('CO-PO Mapping'!X$3,$AC$29,0),IF('CO-PO Mapping'!X$4,$AD$29,0),IF('CO-PO Mapping'!X$5,$AE$29,0),IF('CO-PO Mapping'!X$6,$AF$29,0),IF('CO-PO Mapping'!X$7,$AG$29,0))=0), "-", IF(SUM(IF('CO-PO Mapping'!X$2,$AH85*$AB$29,0),IF('CO-PO Mapping'!X$3,$AI85*$AC$29,0),IF('CO-PO Mapping'!X$4,$AJ85*$AD$29,0),IF('CO-PO Mapping'!X$5,$AK85*$AE$29,0),IF('CO-PO Mapping'!X$6,$AL85*$AF$29,0),IF('CO-PO Mapping'!X$7,$AM85*$AG$29,0))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5" s="95" t="str">
        <f>IF('CO-PO Mapping'!Y$2, IF(OR($AN85="-",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IF(OR($AP85="-", SUM( IF('CO-PO Mapping'!Y$2,$AB$29,0), IF('CO-PO Mapping'!Y$3,$AC$29,0), IF('CO-PO Mapping'!Y$4,$AD$29,0), IF('CO-PO Mapping'!Y$5,$AE$29,0), IF('CO-PO Mapping'!Y$6,$AF$29,0), IF('CO-PO Mapping'!Y$7,$AG$29,0) )=0), "-", IF( SUM( IF('CO-PO Mapping'!Y$2,$AH85*$AB$29,0), IF('CO-PO Mapping'!Y$3,$AI85*$AC$29,0), IF('CO-PO Mapping'!Y$4,$AJ85*$AD$29,0), IF('CO-PO Mapping'!Y$5,$AK85*$AE$29,0), IF('CO-PO Mapping'!Y$6,$AL85*$AF$29,0), IF('CO-PO Mapping'!Y$7,$AM85*$AG$29,0)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IF('CO-PO Mapping'!Y$6, IF(OR($AR85="-",SUM(IF('CO-PO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IF('CO-PO Mapping'!Y$7, IF(OR($AS85="-",SUM(IF('CO-PO Mapping'!Y$2,$AB$29,0),IF('CO-PO Mapping'!Y$3,$AC$29,0),IF('CO-PO Mapping'!Y$4,$AD$29,0),IF('CO-PO Mapping'!Y$5,$AE$29,0),IF('CO-PO Mapping'!Y$6,$AF$29,0),IF('CO-PO Mapping'!Y$7,$AG$29,0))=0), "-", IF(SUM(IF('CO-PO Mapping'!Y$2,$AH85*$AB$29,0),IF('CO-PO Mapping'!Y$3,$AI85*$AC$29,0),IF('CO-PO Mapping'!Y$4,$AJ85*$AD$29,0),IF('CO-PO Mapping'!Y$5,$AK85*$AE$29,0),IF('CO-PO Mapping'!Y$6,$AL85*$AF$29,0),IF('CO-PO Mapping'!Y$7,$AM85*$AG$29,0))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5" s="95" t="str">
        <f>IF('CO-PO Mapping'!Z$2, IF(OR($AN85="-",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IF(OR($AP85="-", SUM( IF('CO-PO Mapping'!Z$2,$AB$29,0), IF('CO-PO Mapping'!Z$3,$AC$29,0), IF('CO-PO Mapping'!Z$4,$AD$29,0), IF('CO-PO Mapping'!Z$5,$AE$29,0), IF('CO-PO Mapping'!Z$6,$AF$29,0), IF('CO-PO Mapping'!Z$7,$AG$29,0) )=0), "-", IF( SUM( IF('CO-PO Mapping'!Z$2,$AH85*$AB$29,0), IF('CO-PO Mapping'!Z$3,$AI85*$AC$29,0), IF('CO-PO Mapping'!Z$4,$AJ85*$AD$29,0), IF('CO-PO Mapping'!Z$5,$AK85*$AE$29,0), IF('CO-PO Mapping'!Z$6,$AL85*$AF$29,0), IF('CO-PO Mapping'!Z$7,$AM85*$AG$29,0)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IF('CO-PO Mapping'!Z$6, IF(OR($AR85="-",SUM(IF('CO-PO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IF('CO-PO Mapping'!Z$7, IF(OR($AS85="-",SUM(IF('CO-PO Mapping'!Z$2,$AB$29,0),IF('CO-PO Mapping'!Z$3,$AC$29,0),IF('CO-PO Mapping'!Z$4,$AD$29,0),IF('CO-PO Mapping'!Z$5,$AE$29,0),IF('CO-PO Mapping'!Z$6,$AF$29,0),IF('CO-PO Mapping'!Z$7,$AG$29,0))=0), "-", IF(SUM(IF('CO-PO Mapping'!Z$2,$AH85*$AB$29,0),IF('CO-PO Mapping'!Z$3,$AI85*$AC$29,0),IF('CO-PO Mapping'!Z$4,$AJ85*$AD$29,0),IF('CO-PO Mapping'!Z$5,$AK85*$AE$29,0),IF('CO-PO Mapping'!Z$6,$AL85*$AF$29,0),IF('CO-PO Mapping'!Z$7,$AM85*$AG$29,0))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6" spans="1:57" ht="15" customHeight="1">
      <c r="A86" s="88"/>
      <c r="B86" s="85"/>
      <c r="C86" s="74"/>
      <c r="D86" s="74"/>
      <c r="E86" s="75"/>
      <c r="F86" s="75"/>
      <c r="G86" s="75"/>
      <c r="H86" s="103" t="str">
        <f t="shared" si="29"/>
        <v>-</v>
      </c>
      <c r="I86" s="75"/>
      <c r="J86" s="75"/>
      <c r="K86" s="75"/>
      <c r="L86" s="75"/>
      <c r="M86" s="75"/>
      <c r="N86" s="75"/>
      <c r="O86" s="105" t="str">
        <f t="shared" si="30"/>
        <v>-</v>
      </c>
      <c r="P86" s="75"/>
      <c r="Q86" s="75"/>
      <c r="R86" s="75"/>
      <c r="S86" s="75"/>
      <c r="T86" s="75"/>
      <c r="U86" s="75"/>
      <c r="V86" s="104" t="str">
        <f t="shared" si="31"/>
        <v>-</v>
      </c>
      <c r="W86" s="83" t="str">
        <f t="shared" si="28"/>
        <v>-</v>
      </c>
      <c r="X86" s="98" t="str">
        <f t="shared" si="32"/>
        <v>-</v>
      </c>
      <c r="Z86" s="42" t="str">
        <f t="shared" si="26"/>
        <v/>
      </c>
      <c r="AA86" s="43" t="str">
        <f t="shared" si="27"/>
        <v/>
      </c>
      <c r="AB86" s="90">
        <f t="shared" si="11"/>
        <v>0</v>
      </c>
      <c r="AC86" s="90">
        <f t="shared" si="11"/>
        <v>0</v>
      </c>
      <c r="AD86" s="90">
        <f t="shared" si="11"/>
        <v>0</v>
      </c>
      <c r="AE86" s="90">
        <f t="shared" si="11"/>
        <v>0</v>
      </c>
      <c r="AF86" s="90">
        <f t="shared" si="11"/>
        <v>0</v>
      </c>
      <c r="AG86" s="90">
        <f t="shared" si="25"/>
        <v>0</v>
      </c>
      <c r="AH86" s="92">
        <f t="shared" si="12"/>
        <v>0</v>
      </c>
      <c r="AI86" s="92">
        <f t="shared" si="13"/>
        <v>0</v>
      </c>
      <c r="AJ86" s="92">
        <f t="shared" si="14"/>
        <v>0</v>
      </c>
      <c r="AK86" s="92">
        <f t="shared" si="22"/>
        <v>0</v>
      </c>
      <c r="AL86" s="92">
        <f t="shared" si="15"/>
        <v>0</v>
      </c>
      <c r="AM86" s="92">
        <f t="shared" si="16"/>
        <v>0</v>
      </c>
      <c r="AN86" s="93" t="str">
        <f t="shared" si="23"/>
        <v>-</v>
      </c>
      <c r="AO86" s="93" t="str">
        <f t="shared" si="17"/>
        <v>-</v>
      </c>
      <c r="AP86" s="93" t="str">
        <f t="shared" si="18"/>
        <v>-</v>
      </c>
      <c r="AQ86" s="93" t="str">
        <f t="shared" si="19"/>
        <v>-</v>
      </c>
      <c r="AR86" s="93" t="str">
        <f t="shared" si="20"/>
        <v>-</v>
      </c>
      <c r="AS86" s="93" t="str">
        <f t="shared" si="21"/>
        <v>-</v>
      </c>
      <c r="AT86" s="95" t="str">
        <f>IF('CO-PO Mapping'!O$2, IF(OR($AN86="-",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IF(OR($AP86="-", SUM( IF('CO-PO Mapping'!O$2,$AB$29,0), IF('CO-PO Mapping'!O$3,$AC$29,0), IF('CO-PO Mapping'!O$4,$AD$29,0), IF('CO-PO Mapping'!O$5,$AE$29,0), IF('CO-PO Mapping'!O$6,$AF$29,0), IF('CO-PO Mapping'!O$7,$AG$29,0) )=0), "-", IF( SUM( IF('CO-PO Mapping'!O$2,$AH86*$AB$29,0), IF('CO-PO Mapping'!O$3,$AI86*$AC$29,0), IF('CO-PO Mapping'!O$4,$AJ86*$AD$29,0), IF('CO-PO Mapping'!O$5,$AK86*$AE$29,0), IF('CO-PO Mapping'!O$6,$AL86*$AF$29,0), IF('CO-PO Mapping'!O$7,$AM86*$AG$29,0)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IF('CO-PO Mapping'!O$6, IF(OR($AR86="-",SUM(IF('CO-PO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IF('CO-PO Mapping'!O$7, IF(OR($AS86="-",SUM(IF('CO-PO Mapping'!O$2,$AB$29,0),IF('CO-PO Mapping'!O$3,$AC$29,0),IF('CO-PO Mapping'!O$4,$AD$29,0),IF('CO-PO Mapping'!O$5,$AE$29,0),IF('CO-PO Mapping'!O$6,$AF$29,0),IF('CO-PO Mapping'!O$7,$AG$29,0))=0), "-", IF(SUM(IF('CO-PO Mapping'!O$2,$AH86*$AB$29,0),IF('CO-PO Mapping'!O$3,$AI86*$AC$29,0),IF('CO-PO Mapping'!O$4,$AJ86*$AD$29,0),IF('CO-PO Mapping'!O$5,$AK86*$AE$29,0),IF('CO-PO Mapping'!O$6,$AL86*$AF$29,0),IF('CO-PO Mapping'!O$7,$AM86*$AG$29,0))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6" s="95" t="str">
        <f>IF('CO-PO Mapping'!P$2, IF(OR($AN86="-",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IF(OR($AP86="-", SUM( IF('CO-PO Mapping'!P$2,$AB$29,0), IF('CO-PO Mapping'!P$3,$AC$29,0), IF('CO-PO Mapping'!P$4,$AD$29,0), IF('CO-PO Mapping'!P$5,$AE$29,0), IF('CO-PO Mapping'!P$6,$AF$29,0), IF('CO-PO Mapping'!P$7,$AG$29,0) )=0), "-", IF( SUM( IF('CO-PO Mapping'!P$2,$AH86*$AB$29,0), IF('CO-PO Mapping'!P$3,$AI86*$AC$29,0), IF('CO-PO Mapping'!P$4,$AJ86*$AD$29,0), IF('CO-PO Mapping'!P$5,$AK86*$AE$29,0), IF('CO-PO Mapping'!P$6,$AL86*$AF$29,0), IF('CO-PO Mapping'!P$7,$AM86*$AG$29,0)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IF('CO-PO Mapping'!P$6, IF(OR($AR86="-",SUM(IF('CO-PO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IF('CO-PO Mapping'!P$7, IF(OR($AS86="-",SUM(IF('CO-PO Mapping'!P$2,$AB$29,0),IF('CO-PO Mapping'!P$3,$AC$29,0),IF('CO-PO Mapping'!P$4,$AD$29,0),IF('CO-PO Mapping'!P$5,$AE$29,0),IF('CO-PO Mapping'!P$6,$AF$29,0),IF('CO-PO Mapping'!P$7,$AG$29,0))=0), "-", IF(SUM(IF('CO-PO Mapping'!P$2,$AH86*$AB$29,0),IF('CO-PO Mapping'!P$3,$AI86*$AC$29,0),IF('CO-PO Mapping'!P$4,$AJ86*$AD$29,0),IF('CO-PO Mapping'!P$5,$AK86*$AE$29,0),IF('CO-PO Mapping'!P$6,$AL86*$AF$29,0),IF('CO-PO Mapping'!P$7,$AM86*$AG$29,0))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6" s="95" t="str">
        <f>IF('CO-PO Mapping'!Q$2, IF(OR($AN86="-",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IF(OR($AP86="-", SUM( IF('CO-PO Mapping'!Q$2,$AB$29,0), IF('CO-PO Mapping'!Q$3,$AC$29,0), IF('CO-PO Mapping'!Q$4,$AD$29,0), IF('CO-PO Mapping'!Q$5,$AE$29,0), IF('CO-PO Mapping'!Q$6,$AF$29,0), IF('CO-PO Mapping'!Q$7,$AG$29,0) )=0), "-", IF( SUM( IF('CO-PO Mapping'!Q$2,$AH86*$AB$29,0), IF('CO-PO Mapping'!Q$3,$AI86*$AC$29,0), IF('CO-PO Mapping'!Q$4,$AJ86*$AD$29,0), IF('CO-PO Mapping'!Q$5,$AK86*$AE$29,0), IF('CO-PO Mapping'!Q$6,$AL86*$AF$29,0), IF('CO-PO Mapping'!Q$7,$AM86*$AG$29,0)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IF('CO-PO Mapping'!Q$6, IF(OR($AR86="-",SUM(IF('CO-PO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IF('CO-PO Mapping'!Q$7, IF(OR($AS86="-",SUM(IF('CO-PO Mapping'!Q$2,$AB$29,0),IF('CO-PO Mapping'!Q$3,$AC$29,0),IF('CO-PO Mapping'!Q$4,$AD$29,0),IF('CO-PO Mapping'!Q$5,$AE$29,0),IF('CO-PO Mapping'!Q$6,$AF$29,0),IF('CO-PO Mapping'!Q$7,$AG$29,0))=0), "-", IF(SUM(IF('CO-PO Mapping'!Q$2,$AH86*$AB$29,0),IF('CO-PO Mapping'!Q$3,$AI86*$AC$29,0),IF('CO-PO Mapping'!Q$4,$AJ86*$AD$29,0),IF('CO-PO Mapping'!Q$5,$AK86*$AE$29,0),IF('CO-PO Mapping'!Q$6,$AL86*$AF$29,0),IF('CO-PO Mapping'!Q$7,$AM86*$AG$29,0))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6" s="95" t="str">
        <f>IF('CO-PO Mapping'!R$2, IF(OR($AN86="-",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IF(OR($AP86="-", SUM( IF('CO-PO Mapping'!R$2,$AB$29,0), IF('CO-PO Mapping'!R$3,$AC$29,0), IF('CO-PO Mapping'!R$4,$AD$29,0), IF('CO-PO Mapping'!R$5,$AE$29,0), IF('CO-PO Mapping'!R$6,$AF$29,0), IF('CO-PO Mapping'!R$7,$AG$29,0) )=0), "-", IF( SUM( IF('CO-PO Mapping'!R$2,$AH86*$AB$29,0), IF('CO-PO Mapping'!R$3,$AI86*$AC$29,0), IF('CO-PO Mapping'!R$4,$AJ86*$AD$29,0), IF('CO-PO Mapping'!R$5,$AK86*$AE$29,0), IF('CO-PO Mapping'!R$6,$AL86*$AF$29,0), IF('CO-PO Mapping'!R$7,$AM86*$AG$29,0)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IF('CO-PO Mapping'!R$6, IF(OR($AR86="-",SUM(IF('CO-PO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IF('CO-PO Mapping'!R$7, IF(OR($AS86="-",SUM(IF('CO-PO Mapping'!R$2,$AB$29,0),IF('CO-PO Mapping'!R$3,$AC$29,0),IF('CO-PO Mapping'!R$4,$AD$29,0),IF('CO-PO Mapping'!R$5,$AE$29,0),IF('CO-PO Mapping'!R$6,$AF$29,0),IF('CO-PO Mapping'!R$7,$AG$29,0))=0), "-", IF(SUM(IF('CO-PO Mapping'!R$2,$AH86*$AB$29,0),IF('CO-PO Mapping'!R$3,$AI86*$AC$29,0),IF('CO-PO Mapping'!R$4,$AJ86*$AD$29,0),IF('CO-PO Mapping'!R$5,$AK86*$AE$29,0),IF('CO-PO Mapping'!R$6,$AL86*$AF$29,0),IF('CO-PO Mapping'!R$7,$AM86*$AG$29,0))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6" s="95" t="str">
        <f>IF('CO-PO Mapping'!S$2, IF(OR($AN86="-",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IF(OR($AP86="-", SUM( IF('CO-PO Mapping'!S$2,$AB$29,0), IF('CO-PO Mapping'!S$3,$AC$29,0), IF('CO-PO Mapping'!S$4,$AD$29,0), IF('CO-PO Mapping'!S$5,$AE$29,0), IF('CO-PO Mapping'!S$6,$AF$29,0), IF('CO-PO Mapping'!S$7,$AG$29,0) )=0), "-", IF( SUM( IF('CO-PO Mapping'!S$2,$AH86*$AB$29,0), IF('CO-PO Mapping'!S$3,$AI86*$AC$29,0), IF('CO-PO Mapping'!S$4,$AJ86*$AD$29,0), IF('CO-PO Mapping'!S$5,$AK86*$AE$29,0), IF('CO-PO Mapping'!S$6,$AL86*$AF$29,0), IF('CO-PO Mapping'!S$7,$AM86*$AG$29,0)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IF('CO-PO Mapping'!S$6, IF(OR($AR86="-",SUM(IF('CO-PO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IF('CO-PO Mapping'!S$7, IF(OR($AS86="-",SUM(IF('CO-PO Mapping'!S$2,$AB$29,0),IF('CO-PO Mapping'!S$3,$AC$29,0),IF('CO-PO Mapping'!S$4,$AD$29,0),IF('CO-PO Mapping'!S$5,$AE$29,0),IF('CO-PO Mapping'!S$6,$AF$29,0),IF('CO-PO Mapping'!S$7,$AG$29,0))=0), "-", IF(SUM(IF('CO-PO Mapping'!S$2,$AH86*$AB$29,0),IF('CO-PO Mapping'!S$3,$AI86*$AC$29,0),IF('CO-PO Mapping'!S$4,$AJ86*$AD$29,0),IF('CO-PO Mapping'!S$5,$AK86*$AE$29,0),IF('CO-PO Mapping'!S$6,$AL86*$AF$29,0),IF('CO-PO Mapping'!S$7,$AM86*$AG$29,0))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6" s="95" t="str">
        <f>IF('CO-PO Mapping'!T$2, IF(OR($AN86="-",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IF(OR($AP86="-", SUM( IF('CO-PO Mapping'!T$2,$AB$29,0), IF('CO-PO Mapping'!T$3,$AC$29,0), IF('CO-PO Mapping'!T$4,$AD$29,0), IF('CO-PO Mapping'!T$5,$AE$29,0), IF('CO-PO Mapping'!T$6,$AF$29,0), IF('CO-PO Mapping'!T$7,$AG$29,0) )=0), "-", IF( SUM( IF('CO-PO Mapping'!T$2,$AH86*$AB$29,0), IF('CO-PO Mapping'!T$3,$AI86*$AC$29,0), IF('CO-PO Mapping'!T$4,$AJ86*$AD$29,0), IF('CO-PO Mapping'!T$5,$AK86*$AE$29,0), IF('CO-PO Mapping'!T$6,$AL86*$AF$29,0), IF('CO-PO Mapping'!T$7,$AM86*$AG$29,0)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IF('CO-PO Mapping'!T$6, IF(OR($AR86="-",SUM(IF('CO-PO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IF('CO-PO Mapping'!T$7, IF(OR($AS86="-",SUM(IF('CO-PO Mapping'!T$2,$AB$29,0),IF('CO-PO Mapping'!T$3,$AC$29,0),IF('CO-PO Mapping'!T$4,$AD$29,0),IF('CO-PO Mapping'!T$5,$AE$29,0),IF('CO-PO Mapping'!T$6,$AF$29,0),IF('CO-PO Mapping'!T$7,$AG$29,0))=0), "-", IF(SUM(IF('CO-PO Mapping'!T$2,$AH86*$AB$29,0),IF('CO-PO Mapping'!T$3,$AI86*$AC$29,0),IF('CO-PO Mapping'!T$4,$AJ86*$AD$29,0),IF('CO-PO Mapping'!T$5,$AK86*$AE$29,0),IF('CO-PO Mapping'!T$6,$AL86*$AF$29,0),IF('CO-PO Mapping'!T$7,$AM86*$AG$29,0))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6" s="95" t="str">
        <f>IF('CO-PO Mapping'!U$2, IF(OR($AN86="-",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IF(OR($AP86="-", SUM( IF('CO-PO Mapping'!U$2,$AB$29,0), IF('CO-PO Mapping'!U$3,$AC$29,0), IF('CO-PO Mapping'!U$4,$AD$29,0), IF('CO-PO Mapping'!U$5,$AE$29,0), IF('CO-PO Mapping'!U$6,$AF$29,0), IF('CO-PO Mapping'!U$7,$AG$29,0) )=0), "-", IF( SUM( IF('CO-PO Mapping'!U$2,$AH86*$AB$29,0), IF('CO-PO Mapping'!U$3,$AI86*$AC$29,0), IF('CO-PO Mapping'!U$4,$AJ86*$AD$29,0), IF('CO-PO Mapping'!U$5,$AK86*$AE$29,0), IF('CO-PO Mapping'!U$6,$AL86*$AF$29,0), IF('CO-PO Mapping'!U$7,$AM86*$AG$29,0)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IF('CO-PO Mapping'!U$6, IF(OR($AR86="-",SUM(IF('CO-PO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IF('CO-PO Mapping'!U$7, IF(OR($AS86="-",SUM(IF('CO-PO Mapping'!U$2,$AB$29,0),IF('CO-PO Mapping'!U$3,$AC$29,0),IF('CO-PO Mapping'!U$4,$AD$29,0),IF('CO-PO Mapping'!U$5,$AE$29,0),IF('CO-PO Mapping'!U$6,$AF$29,0),IF('CO-PO Mapping'!U$7,$AG$29,0))=0), "-", IF(SUM(IF('CO-PO Mapping'!U$2,$AH86*$AB$29,0),IF('CO-PO Mapping'!U$3,$AI86*$AC$29,0),IF('CO-PO Mapping'!U$4,$AJ86*$AD$29,0),IF('CO-PO Mapping'!U$5,$AK86*$AE$29,0),IF('CO-PO Mapping'!U$6,$AL86*$AF$29,0),IF('CO-PO Mapping'!U$7,$AM86*$AG$29,0))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6" s="95" t="str">
        <f>IF('CO-PO Mapping'!V$2, IF(OR($AN86="-",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IF(OR($AP86="-", SUM( IF('CO-PO Mapping'!V$2,$AB$29,0), IF('CO-PO Mapping'!V$3,$AC$29,0), IF('CO-PO Mapping'!V$4,$AD$29,0), IF('CO-PO Mapping'!V$5,$AE$29,0), IF('CO-PO Mapping'!V$6,$AF$29,0), IF('CO-PO Mapping'!V$7,$AG$29,0) )=0), "-", IF( SUM( IF('CO-PO Mapping'!V$2,$AH86*$AB$29,0), IF('CO-PO Mapping'!V$3,$AI86*$AC$29,0), IF('CO-PO Mapping'!V$4,$AJ86*$AD$29,0), IF('CO-PO Mapping'!V$5,$AK86*$AE$29,0), IF('CO-PO Mapping'!V$6,$AL86*$AF$29,0), IF('CO-PO Mapping'!V$7,$AM86*$AG$29,0)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IF('CO-PO Mapping'!V$6, IF(OR($AR86="-",SUM(IF('CO-PO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IF('CO-PO Mapping'!V$7, IF(OR($AS86="-",SUM(IF('CO-PO Mapping'!V$2,$AB$29,0),IF('CO-PO Mapping'!V$3,$AC$29,0),IF('CO-PO Mapping'!V$4,$AD$29,0),IF('CO-PO Mapping'!V$5,$AE$29,0),IF('CO-PO Mapping'!V$6,$AF$29,0),IF('CO-PO Mapping'!V$7,$AG$29,0))=0), "-", IF(SUM(IF('CO-PO Mapping'!V$2,$AH86*$AB$29,0),IF('CO-PO Mapping'!V$3,$AI86*$AC$29,0),IF('CO-PO Mapping'!V$4,$AJ86*$AD$29,0),IF('CO-PO Mapping'!V$5,$AK86*$AE$29,0),IF('CO-PO Mapping'!V$6,$AL86*$AF$29,0),IF('CO-PO Mapping'!V$7,$AM86*$AG$29,0))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6" s="95" t="str">
        <f>IF('CO-PO Mapping'!W$2, IF(OR($AN86="-",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IF(OR($AP86="-", SUM( IF('CO-PO Mapping'!W$2,$AB$29,0), IF('CO-PO Mapping'!W$3,$AC$29,0), IF('CO-PO Mapping'!W$4,$AD$29,0), IF('CO-PO Mapping'!W$5,$AE$29,0), IF('CO-PO Mapping'!W$6,$AF$29,0), IF('CO-PO Mapping'!W$7,$AG$29,0) )=0), "-", IF( SUM( IF('CO-PO Mapping'!W$2,$AH86*$AB$29,0), IF('CO-PO Mapping'!W$3,$AI86*$AC$29,0), IF('CO-PO Mapping'!W$4,$AJ86*$AD$29,0), IF('CO-PO Mapping'!W$5,$AK86*$AE$29,0), IF('CO-PO Mapping'!W$6,$AL86*$AF$29,0), IF('CO-PO Mapping'!W$7,$AM86*$AG$29,0)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IF('CO-PO Mapping'!W$6, IF(OR($AR86="-",SUM(IF('CO-PO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IF('CO-PO Mapping'!W$7, IF(OR($AS86="-",SUM(IF('CO-PO Mapping'!W$2,$AB$29,0),IF('CO-PO Mapping'!W$3,$AC$29,0),IF('CO-PO Mapping'!W$4,$AD$29,0),IF('CO-PO Mapping'!W$5,$AE$29,0),IF('CO-PO Mapping'!W$6,$AF$29,0),IF('CO-PO Mapping'!W$7,$AG$29,0))=0), "-", IF(SUM(IF('CO-PO Mapping'!W$2,$AH86*$AB$29,0),IF('CO-PO Mapping'!W$3,$AI86*$AC$29,0),IF('CO-PO Mapping'!W$4,$AJ86*$AD$29,0),IF('CO-PO Mapping'!W$5,$AK86*$AE$29,0),IF('CO-PO Mapping'!W$6,$AL86*$AF$29,0),IF('CO-PO Mapping'!W$7,$AM86*$AG$29,0))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6" s="95" t="str">
        <f>IF('CO-PO Mapping'!X$2, IF(OR($AN86="-",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IF(OR($AP86="-", SUM( IF('CO-PO Mapping'!X$2,$AB$29,0), IF('CO-PO Mapping'!X$3,$AC$29,0), IF('CO-PO Mapping'!X$4,$AD$29,0), IF('CO-PO Mapping'!X$5,$AE$29,0), IF('CO-PO Mapping'!X$6,$AF$29,0), IF('CO-PO Mapping'!X$7,$AG$29,0) )=0), "-", IF( SUM( IF('CO-PO Mapping'!X$2,$AH86*$AB$29,0), IF('CO-PO Mapping'!X$3,$AI86*$AC$29,0), IF('CO-PO Mapping'!X$4,$AJ86*$AD$29,0), IF('CO-PO Mapping'!X$5,$AK86*$AE$29,0), IF('CO-PO Mapping'!X$6,$AL86*$AF$29,0), IF('CO-PO Mapping'!X$7,$AM86*$AG$29,0)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IF('CO-PO Mapping'!X$6, IF(OR($AR86="-",SUM(IF('CO-PO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IF('CO-PO Mapping'!X$7, IF(OR($AS86="-",SUM(IF('CO-PO Mapping'!X$2,$AB$29,0),IF('CO-PO Mapping'!X$3,$AC$29,0),IF('CO-PO Mapping'!X$4,$AD$29,0),IF('CO-PO Mapping'!X$5,$AE$29,0),IF('CO-PO Mapping'!X$6,$AF$29,0),IF('CO-PO Mapping'!X$7,$AG$29,0))=0), "-", IF(SUM(IF('CO-PO Mapping'!X$2,$AH86*$AB$29,0),IF('CO-PO Mapping'!X$3,$AI86*$AC$29,0),IF('CO-PO Mapping'!X$4,$AJ86*$AD$29,0),IF('CO-PO Mapping'!X$5,$AK86*$AE$29,0),IF('CO-PO Mapping'!X$6,$AL86*$AF$29,0),IF('CO-PO Mapping'!X$7,$AM86*$AG$29,0))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6" s="95" t="str">
        <f>IF('CO-PO Mapping'!Y$2, IF(OR($AN86="-",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IF(OR($AP86="-", SUM( IF('CO-PO Mapping'!Y$2,$AB$29,0), IF('CO-PO Mapping'!Y$3,$AC$29,0), IF('CO-PO Mapping'!Y$4,$AD$29,0), IF('CO-PO Mapping'!Y$5,$AE$29,0), IF('CO-PO Mapping'!Y$6,$AF$29,0), IF('CO-PO Mapping'!Y$7,$AG$29,0) )=0), "-", IF( SUM( IF('CO-PO Mapping'!Y$2,$AH86*$AB$29,0), IF('CO-PO Mapping'!Y$3,$AI86*$AC$29,0), IF('CO-PO Mapping'!Y$4,$AJ86*$AD$29,0), IF('CO-PO Mapping'!Y$5,$AK86*$AE$29,0), IF('CO-PO Mapping'!Y$6,$AL86*$AF$29,0), IF('CO-PO Mapping'!Y$7,$AM86*$AG$29,0)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IF('CO-PO Mapping'!Y$6, IF(OR($AR86="-",SUM(IF('CO-PO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IF('CO-PO Mapping'!Y$7, IF(OR($AS86="-",SUM(IF('CO-PO Mapping'!Y$2,$AB$29,0),IF('CO-PO Mapping'!Y$3,$AC$29,0),IF('CO-PO Mapping'!Y$4,$AD$29,0),IF('CO-PO Mapping'!Y$5,$AE$29,0),IF('CO-PO Mapping'!Y$6,$AF$29,0),IF('CO-PO Mapping'!Y$7,$AG$29,0))=0), "-", IF(SUM(IF('CO-PO Mapping'!Y$2,$AH86*$AB$29,0),IF('CO-PO Mapping'!Y$3,$AI86*$AC$29,0),IF('CO-PO Mapping'!Y$4,$AJ86*$AD$29,0),IF('CO-PO Mapping'!Y$5,$AK86*$AE$29,0),IF('CO-PO Mapping'!Y$6,$AL86*$AF$29,0),IF('CO-PO Mapping'!Y$7,$AM86*$AG$29,0))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6" s="95" t="str">
        <f>IF('CO-PO Mapping'!Z$2, IF(OR($AN86="-",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IF(OR($AP86="-", SUM( IF('CO-PO Mapping'!Z$2,$AB$29,0), IF('CO-PO Mapping'!Z$3,$AC$29,0), IF('CO-PO Mapping'!Z$4,$AD$29,0), IF('CO-PO Mapping'!Z$5,$AE$29,0), IF('CO-PO Mapping'!Z$6,$AF$29,0), IF('CO-PO Mapping'!Z$7,$AG$29,0) )=0), "-", IF( SUM( IF('CO-PO Mapping'!Z$2,$AH86*$AB$29,0), IF('CO-PO Mapping'!Z$3,$AI86*$AC$29,0), IF('CO-PO Mapping'!Z$4,$AJ86*$AD$29,0), IF('CO-PO Mapping'!Z$5,$AK86*$AE$29,0), IF('CO-PO Mapping'!Z$6,$AL86*$AF$29,0), IF('CO-PO Mapping'!Z$7,$AM86*$AG$29,0)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IF('CO-PO Mapping'!Z$6, IF(OR($AR86="-",SUM(IF('CO-PO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IF('CO-PO Mapping'!Z$7, IF(OR($AS86="-",SUM(IF('CO-PO Mapping'!Z$2,$AB$29,0),IF('CO-PO Mapping'!Z$3,$AC$29,0),IF('CO-PO Mapping'!Z$4,$AD$29,0),IF('CO-PO Mapping'!Z$5,$AE$29,0),IF('CO-PO Mapping'!Z$6,$AF$29,0),IF('CO-PO Mapping'!Z$7,$AG$29,0))=0), "-", IF(SUM(IF('CO-PO Mapping'!Z$2,$AH86*$AB$29,0),IF('CO-PO Mapping'!Z$3,$AI86*$AC$29,0),IF('CO-PO Mapping'!Z$4,$AJ86*$AD$29,0),IF('CO-PO Mapping'!Z$5,$AK86*$AE$29,0),IF('CO-PO Mapping'!Z$6,$AL86*$AF$29,0),IF('CO-PO Mapping'!Z$7,$AM86*$AG$29,0))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7" spans="1:57" ht="15" customHeight="1">
      <c r="A87" s="88"/>
      <c r="B87" s="85"/>
      <c r="C87" s="74"/>
      <c r="D87" s="74"/>
      <c r="E87" s="75"/>
      <c r="F87" s="75"/>
      <c r="G87" s="75"/>
      <c r="H87" s="103" t="str">
        <f t="shared" si="29"/>
        <v>-</v>
      </c>
      <c r="I87" s="75"/>
      <c r="J87" s="75"/>
      <c r="K87" s="75"/>
      <c r="L87" s="75"/>
      <c r="M87" s="75"/>
      <c r="N87" s="75"/>
      <c r="O87" s="105" t="str">
        <f t="shared" si="30"/>
        <v>-</v>
      </c>
      <c r="P87" s="75"/>
      <c r="Q87" s="75"/>
      <c r="R87" s="75"/>
      <c r="S87" s="75"/>
      <c r="T87" s="75"/>
      <c r="U87" s="75"/>
      <c r="V87" s="104" t="str">
        <f t="shared" si="31"/>
        <v>-</v>
      </c>
      <c r="W87" s="83" t="str">
        <f t="shared" si="28"/>
        <v>-</v>
      </c>
      <c r="X87" s="98" t="str">
        <f t="shared" si="32"/>
        <v>-</v>
      </c>
      <c r="Z87" s="42" t="str">
        <f t="shared" si="26"/>
        <v/>
      </c>
      <c r="AA87" s="43" t="str">
        <f t="shared" si="27"/>
        <v/>
      </c>
      <c r="AB87" s="90">
        <f t="shared" si="11"/>
        <v>0</v>
      </c>
      <c r="AC87" s="90">
        <f t="shared" si="11"/>
        <v>0</v>
      </c>
      <c r="AD87" s="90">
        <f t="shared" si="11"/>
        <v>0</v>
      </c>
      <c r="AE87" s="90">
        <f t="shared" si="11"/>
        <v>0</v>
      </c>
      <c r="AF87" s="90">
        <f t="shared" si="11"/>
        <v>0</v>
      </c>
      <c r="AG87" s="90">
        <f t="shared" si="25"/>
        <v>0</v>
      </c>
      <c r="AH87" s="92">
        <f t="shared" si="12"/>
        <v>0</v>
      </c>
      <c r="AI87" s="92">
        <f t="shared" si="13"/>
        <v>0</v>
      </c>
      <c r="AJ87" s="92">
        <f t="shared" si="14"/>
        <v>0</v>
      </c>
      <c r="AK87" s="92">
        <f t="shared" si="22"/>
        <v>0</v>
      </c>
      <c r="AL87" s="92">
        <f t="shared" si="15"/>
        <v>0</v>
      </c>
      <c r="AM87" s="92">
        <f t="shared" si="16"/>
        <v>0</v>
      </c>
      <c r="AN87" s="93" t="str">
        <f t="shared" si="23"/>
        <v>-</v>
      </c>
      <c r="AO87" s="93" t="str">
        <f t="shared" si="17"/>
        <v>-</v>
      </c>
      <c r="AP87" s="93" t="str">
        <f t="shared" si="18"/>
        <v>-</v>
      </c>
      <c r="AQ87" s="93" t="str">
        <f t="shared" si="19"/>
        <v>-</v>
      </c>
      <c r="AR87" s="93" t="str">
        <f t="shared" si="20"/>
        <v>-</v>
      </c>
      <c r="AS87" s="93" t="str">
        <f t="shared" si="21"/>
        <v>-</v>
      </c>
      <c r="AT87" s="95" t="str">
        <f>IF('CO-PO Mapping'!O$2, IF(OR($AN87="-",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IF(OR($AP87="-", SUM( IF('CO-PO Mapping'!O$2,$AB$29,0), IF('CO-PO Mapping'!O$3,$AC$29,0), IF('CO-PO Mapping'!O$4,$AD$29,0), IF('CO-PO Mapping'!O$5,$AE$29,0), IF('CO-PO Mapping'!O$6,$AF$29,0), IF('CO-PO Mapping'!O$7,$AG$29,0) )=0), "-", IF( SUM( IF('CO-PO Mapping'!O$2,$AH87*$AB$29,0), IF('CO-PO Mapping'!O$3,$AI87*$AC$29,0), IF('CO-PO Mapping'!O$4,$AJ87*$AD$29,0), IF('CO-PO Mapping'!O$5,$AK87*$AE$29,0), IF('CO-PO Mapping'!O$6,$AL87*$AF$29,0), IF('CO-PO Mapping'!O$7,$AM87*$AG$29,0)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IF('CO-PO Mapping'!O$6, IF(OR($AR87="-",SUM(IF('CO-PO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IF('CO-PO Mapping'!O$7, IF(OR($AS87="-",SUM(IF('CO-PO Mapping'!O$2,$AB$29,0),IF('CO-PO Mapping'!O$3,$AC$29,0),IF('CO-PO Mapping'!O$4,$AD$29,0),IF('CO-PO Mapping'!O$5,$AE$29,0),IF('CO-PO Mapping'!O$6,$AF$29,0),IF('CO-PO Mapping'!O$7,$AG$29,0))=0), "-", IF(SUM(IF('CO-PO Mapping'!O$2,$AH87*$AB$29,0),IF('CO-PO Mapping'!O$3,$AI87*$AC$29,0),IF('CO-PO Mapping'!O$4,$AJ87*$AD$29,0),IF('CO-PO Mapping'!O$5,$AK87*$AE$29,0),IF('CO-PO Mapping'!O$6,$AL87*$AF$29,0),IF('CO-PO Mapping'!O$7,$AM87*$AG$29,0))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7" s="95" t="str">
        <f>IF('CO-PO Mapping'!P$2, IF(OR($AN87="-",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IF(OR($AP87="-", SUM( IF('CO-PO Mapping'!P$2,$AB$29,0), IF('CO-PO Mapping'!P$3,$AC$29,0), IF('CO-PO Mapping'!P$4,$AD$29,0), IF('CO-PO Mapping'!P$5,$AE$29,0), IF('CO-PO Mapping'!P$6,$AF$29,0), IF('CO-PO Mapping'!P$7,$AG$29,0) )=0), "-", IF( SUM( IF('CO-PO Mapping'!P$2,$AH87*$AB$29,0), IF('CO-PO Mapping'!P$3,$AI87*$AC$29,0), IF('CO-PO Mapping'!P$4,$AJ87*$AD$29,0), IF('CO-PO Mapping'!P$5,$AK87*$AE$29,0), IF('CO-PO Mapping'!P$6,$AL87*$AF$29,0), IF('CO-PO Mapping'!P$7,$AM87*$AG$29,0)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IF('CO-PO Mapping'!P$6, IF(OR($AR87="-",SUM(IF('CO-PO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IF('CO-PO Mapping'!P$7, IF(OR($AS87="-",SUM(IF('CO-PO Mapping'!P$2,$AB$29,0),IF('CO-PO Mapping'!P$3,$AC$29,0),IF('CO-PO Mapping'!P$4,$AD$29,0),IF('CO-PO Mapping'!P$5,$AE$29,0),IF('CO-PO Mapping'!P$6,$AF$29,0),IF('CO-PO Mapping'!P$7,$AG$29,0))=0), "-", IF(SUM(IF('CO-PO Mapping'!P$2,$AH87*$AB$29,0),IF('CO-PO Mapping'!P$3,$AI87*$AC$29,0),IF('CO-PO Mapping'!P$4,$AJ87*$AD$29,0),IF('CO-PO Mapping'!P$5,$AK87*$AE$29,0),IF('CO-PO Mapping'!P$6,$AL87*$AF$29,0),IF('CO-PO Mapping'!P$7,$AM87*$AG$29,0))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7" s="95" t="str">
        <f>IF('CO-PO Mapping'!Q$2, IF(OR($AN87="-",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IF(OR($AP87="-", SUM( IF('CO-PO Mapping'!Q$2,$AB$29,0), IF('CO-PO Mapping'!Q$3,$AC$29,0), IF('CO-PO Mapping'!Q$4,$AD$29,0), IF('CO-PO Mapping'!Q$5,$AE$29,0), IF('CO-PO Mapping'!Q$6,$AF$29,0), IF('CO-PO Mapping'!Q$7,$AG$29,0) )=0), "-", IF( SUM( IF('CO-PO Mapping'!Q$2,$AH87*$AB$29,0), IF('CO-PO Mapping'!Q$3,$AI87*$AC$29,0), IF('CO-PO Mapping'!Q$4,$AJ87*$AD$29,0), IF('CO-PO Mapping'!Q$5,$AK87*$AE$29,0), IF('CO-PO Mapping'!Q$6,$AL87*$AF$29,0), IF('CO-PO Mapping'!Q$7,$AM87*$AG$29,0)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IF('CO-PO Mapping'!Q$6, IF(OR($AR87="-",SUM(IF('CO-PO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IF('CO-PO Mapping'!Q$7, IF(OR($AS87="-",SUM(IF('CO-PO Mapping'!Q$2,$AB$29,0),IF('CO-PO Mapping'!Q$3,$AC$29,0),IF('CO-PO Mapping'!Q$4,$AD$29,0),IF('CO-PO Mapping'!Q$5,$AE$29,0),IF('CO-PO Mapping'!Q$6,$AF$29,0),IF('CO-PO Mapping'!Q$7,$AG$29,0))=0), "-", IF(SUM(IF('CO-PO Mapping'!Q$2,$AH87*$AB$29,0),IF('CO-PO Mapping'!Q$3,$AI87*$AC$29,0),IF('CO-PO Mapping'!Q$4,$AJ87*$AD$29,0),IF('CO-PO Mapping'!Q$5,$AK87*$AE$29,0),IF('CO-PO Mapping'!Q$6,$AL87*$AF$29,0),IF('CO-PO Mapping'!Q$7,$AM87*$AG$29,0))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7" s="95" t="str">
        <f>IF('CO-PO Mapping'!R$2, IF(OR($AN87="-",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IF(OR($AP87="-", SUM( IF('CO-PO Mapping'!R$2,$AB$29,0), IF('CO-PO Mapping'!R$3,$AC$29,0), IF('CO-PO Mapping'!R$4,$AD$29,0), IF('CO-PO Mapping'!R$5,$AE$29,0), IF('CO-PO Mapping'!R$6,$AF$29,0), IF('CO-PO Mapping'!R$7,$AG$29,0) )=0), "-", IF( SUM( IF('CO-PO Mapping'!R$2,$AH87*$AB$29,0), IF('CO-PO Mapping'!R$3,$AI87*$AC$29,0), IF('CO-PO Mapping'!R$4,$AJ87*$AD$29,0), IF('CO-PO Mapping'!R$5,$AK87*$AE$29,0), IF('CO-PO Mapping'!R$6,$AL87*$AF$29,0), IF('CO-PO Mapping'!R$7,$AM87*$AG$29,0)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IF('CO-PO Mapping'!R$6, IF(OR($AR87="-",SUM(IF('CO-PO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IF('CO-PO Mapping'!R$7, IF(OR($AS87="-",SUM(IF('CO-PO Mapping'!R$2,$AB$29,0),IF('CO-PO Mapping'!R$3,$AC$29,0),IF('CO-PO Mapping'!R$4,$AD$29,0),IF('CO-PO Mapping'!R$5,$AE$29,0),IF('CO-PO Mapping'!R$6,$AF$29,0),IF('CO-PO Mapping'!R$7,$AG$29,0))=0), "-", IF(SUM(IF('CO-PO Mapping'!R$2,$AH87*$AB$29,0),IF('CO-PO Mapping'!R$3,$AI87*$AC$29,0),IF('CO-PO Mapping'!R$4,$AJ87*$AD$29,0),IF('CO-PO Mapping'!R$5,$AK87*$AE$29,0),IF('CO-PO Mapping'!R$6,$AL87*$AF$29,0),IF('CO-PO Mapping'!R$7,$AM87*$AG$29,0))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7" s="95" t="str">
        <f>IF('CO-PO Mapping'!S$2, IF(OR($AN87="-",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IF(OR($AP87="-", SUM( IF('CO-PO Mapping'!S$2,$AB$29,0), IF('CO-PO Mapping'!S$3,$AC$29,0), IF('CO-PO Mapping'!S$4,$AD$29,0), IF('CO-PO Mapping'!S$5,$AE$29,0), IF('CO-PO Mapping'!S$6,$AF$29,0), IF('CO-PO Mapping'!S$7,$AG$29,0) )=0), "-", IF( SUM( IF('CO-PO Mapping'!S$2,$AH87*$AB$29,0), IF('CO-PO Mapping'!S$3,$AI87*$AC$29,0), IF('CO-PO Mapping'!S$4,$AJ87*$AD$29,0), IF('CO-PO Mapping'!S$5,$AK87*$AE$29,0), IF('CO-PO Mapping'!S$6,$AL87*$AF$29,0), IF('CO-PO Mapping'!S$7,$AM87*$AG$29,0)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IF('CO-PO Mapping'!S$6, IF(OR($AR87="-",SUM(IF('CO-PO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IF('CO-PO Mapping'!S$7, IF(OR($AS87="-",SUM(IF('CO-PO Mapping'!S$2,$AB$29,0),IF('CO-PO Mapping'!S$3,$AC$29,0),IF('CO-PO Mapping'!S$4,$AD$29,0),IF('CO-PO Mapping'!S$5,$AE$29,0),IF('CO-PO Mapping'!S$6,$AF$29,0),IF('CO-PO Mapping'!S$7,$AG$29,0))=0), "-", IF(SUM(IF('CO-PO Mapping'!S$2,$AH87*$AB$29,0),IF('CO-PO Mapping'!S$3,$AI87*$AC$29,0),IF('CO-PO Mapping'!S$4,$AJ87*$AD$29,0),IF('CO-PO Mapping'!S$5,$AK87*$AE$29,0),IF('CO-PO Mapping'!S$6,$AL87*$AF$29,0),IF('CO-PO Mapping'!S$7,$AM87*$AG$29,0))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7" s="95" t="str">
        <f>IF('CO-PO Mapping'!T$2, IF(OR($AN87="-",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IF(OR($AP87="-", SUM( IF('CO-PO Mapping'!T$2,$AB$29,0), IF('CO-PO Mapping'!T$3,$AC$29,0), IF('CO-PO Mapping'!T$4,$AD$29,0), IF('CO-PO Mapping'!T$5,$AE$29,0), IF('CO-PO Mapping'!T$6,$AF$29,0), IF('CO-PO Mapping'!T$7,$AG$29,0) )=0), "-", IF( SUM( IF('CO-PO Mapping'!T$2,$AH87*$AB$29,0), IF('CO-PO Mapping'!T$3,$AI87*$AC$29,0), IF('CO-PO Mapping'!T$4,$AJ87*$AD$29,0), IF('CO-PO Mapping'!T$5,$AK87*$AE$29,0), IF('CO-PO Mapping'!T$6,$AL87*$AF$29,0), IF('CO-PO Mapping'!T$7,$AM87*$AG$29,0)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IF('CO-PO Mapping'!T$6, IF(OR($AR87="-",SUM(IF('CO-PO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IF('CO-PO Mapping'!T$7, IF(OR($AS87="-",SUM(IF('CO-PO Mapping'!T$2,$AB$29,0),IF('CO-PO Mapping'!T$3,$AC$29,0),IF('CO-PO Mapping'!T$4,$AD$29,0),IF('CO-PO Mapping'!T$5,$AE$29,0),IF('CO-PO Mapping'!T$6,$AF$29,0),IF('CO-PO Mapping'!T$7,$AG$29,0))=0), "-", IF(SUM(IF('CO-PO Mapping'!T$2,$AH87*$AB$29,0),IF('CO-PO Mapping'!T$3,$AI87*$AC$29,0),IF('CO-PO Mapping'!T$4,$AJ87*$AD$29,0),IF('CO-PO Mapping'!T$5,$AK87*$AE$29,0),IF('CO-PO Mapping'!T$6,$AL87*$AF$29,0),IF('CO-PO Mapping'!T$7,$AM87*$AG$29,0))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7" s="95" t="str">
        <f>IF('CO-PO Mapping'!U$2, IF(OR($AN87="-",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IF(OR($AP87="-", SUM( IF('CO-PO Mapping'!U$2,$AB$29,0), IF('CO-PO Mapping'!U$3,$AC$29,0), IF('CO-PO Mapping'!U$4,$AD$29,0), IF('CO-PO Mapping'!U$5,$AE$29,0), IF('CO-PO Mapping'!U$6,$AF$29,0), IF('CO-PO Mapping'!U$7,$AG$29,0) )=0), "-", IF( SUM( IF('CO-PO Mapping'!U$2,$AH87*$AB$29,0), IF('CO-PO Mapping'!U$3,$AI87*$AC$29,0), IF('CO-PO Mapping'!U$4,$AJ87*$AD$29,0), IF('CO-PO Mapping'!U$5,$AK87*$AE$29,0), IF('CO-PO Mapping'!U$6,$AL87*$AF$29,0), IF('CO-PO Mapping'!U$7,$AM87*$AG$29,0)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IF('CO-PO Mapping'!U$6, IF(OR($AR87="-",SUM(IF('CO-PO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IF('CO-PO Mapping'!U$7, IF(OR($AS87="-",SUM(IF('CO-PO Mapping'!U$2,$AB$29,0),IF('CO-PO Mapping'!U$3,$AC$29,0),IF('CO-PO Mapping'!U$4,$AD$29,0),IF('CO-PO Mapping'!U$5,$AE$29,0),IF('CO-PO Mapping'!U$6,$AF$29,0),IF('CO-PO Mapping'!U$7,$AG$29,0))=0), "-", IF(SUM(IF('CO-PO Mapping'!U$2,$AH87*$AB$29,0),IF('CO-PO Mapping'!U$3,$AI87*$AC$29,0),IF('CO-PO Mapping'!U$4,$AJ87*$AD$29,0),IF('CO-PO Mapping'!U$5,$AK87*$AE$29,0),IF('CO-PO Mapping'!U$6,$AL87*$AF$29,0),IF('CO-PO Mapping'!U$7,$AM87*$AG$29,0))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7" s="95" t="str">
        <f>IF('CO-PO Mapping'!V$2, IF(OR($AN87="-",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IF(OR($AP87="-", SUM( IF('CO-PO Mapping'!V$2,$AB$29,0), IF('CO-PO Mapping'!V$3,$AC$29,0), IF('CO-PO Mapping'!V$4,$AD$29,0), IF('CO-PO Mapping'!V$5,$AE$29,0), IF('CO-PO Mapping'!V$6,$AF$29,0), IF('CO-PO Mapping'!V$7,$AG$29,0) )=0), "-", IF( SUM( IF('CO-PO Mapping'!V$2,$AH87*$AB$29,0), IF('CO-PO Mapping'!V$3,$AI87*$AC$29,0), IF('CO-PO Mapping'!V$4,$AJ87*$AD$29,0), IF('CO-PO Mapping'!V$5,$AK87*$AE$29,0), IF('CO-PO Mapping'!V$6,$AL87*$AF$29,0), IF('CO-PO Mapping'!V$7,$AM87*$AG$29,0)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IF('CO-PO Mapping'!V$6, IF(OR($AR87="-",SUM(IF('CO-PO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IF('CO-PO Mapping'!V$7, IF(OR($AS87="-",SUM(IF('CO-PO Mapping'!V$2,$AB$29,0),IF('CO-PO Mapping'!V$3,$AC$29,0),IF('CO-PO Mapping'!V$4,$AD$29,0),IF('CO-PO Mapping'!V$5,$AE$29,0),IF('CO-PO Mapping'!V$6,$AF$29,0),IF('CO-PO Mapping'!V$7,$AG$29,0))=0), "-", IF(SUM(IF('CO-PO Mapping'!V$2,$AH87*$AB$29,0),IF('CO-PO Mapping'!V$3,$AI87*$AC$29,0),IF('CO-PO Mapping'!V$4,$AJ87*$AD$29,0),IF('CO-PO Mapping'!V$5,$AK87*$AE$29,0),IF('CO-PO Mapping'!V$6,$AL87*$AF$29,0),IF('CO-PO Mapping'!V$7,$AM87*$AG$29,0))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7" s="95" t="str">
        <f>IF('CO-PO Mapping'!W$2, IF(OR($AN87="-",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IF(OR($AP87="-", SUM( IF('CO-PO Mapping'!W$2,$AB$29,0), IF('CO-PO Mapping'!W$3,$AC$29,0), IF('CO-PO Mapping'!W$4,$AD$29,0), IF('CO-PO Mapping'!W$5,$AE$29,0), IF('CO-PO Mapping'!W$6,$AF$29,0), IF('CO-PO Mapping'!W$7,$AG$29,0) )=0), "-", IF( SUM( IF('CO-PO Mapping'!W$2,$AH87*$AB$29,0), IF('CO-PO Mapping'!W$3,$AI87*$AC$29,0), IF('CO-PO Mapping'!W$4,$AJ87*$AD$29,0), IF('CO-PO Mapping'!W$5,$AK87*$AE$29,0), IF('CO-PO Mapping'!W$6,$AL87*$AF$29,0), IF('CO-PO Mapping'!W$7,$AM87*$AG$29,0)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IF('CO-PO Mapping'!W$6, IF(OR($AR87="-",SUM(IF('CO-PO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IF('CO-PO Mapping'!W$7, IF(OR($AS87="-",SUM(IF('CO-PO Mapping'!W$2,$AB$29,0),IF('CO-PO Mapping'!W$3,$AC$29,0),IF('CO-PO Mapping'!W$4,$AD$29,0),IF('CO-PO Mapping'!W$5,$AE$29,0),IF('CO-PO Mapping'!W$6,$AF$29,0),IF('CO-PO Mapping'!W$7,$AG$29,0))=0), "-", IF(SUM(IF('CO-PO Mapping'!W$2,$AH87*$AB$29,0),IF('CO-PO Mapping'!W$3,$AI87*$AC$29,0),IF('CO-PO Mapping'!W$4,$AJ87*$AD$29,0),IF('CO-PO Mapping'!W$5,$AK87*$AE$29,0),IF('CO-PO Mapping'!W$6,$AL87*$AF$29,0),IF('CO-PO Mapping'!W$7,$AM87*$AG$29,0))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7" s="95" t="str">
        <f>IF('CO-PO Mapping'!X$2, IF(OR($AN87="-",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IF(OR($AP87="-", SUM( IF('CO-PO Mapping'!X$2,$AB$29,0), IF('CO-PO Mapping'!X$3,$AC$29,0), IF('CO-PO Mapping'!X$4,$AD$29,0), IF('CO-PO Mapping'!X$5,$AE$29,0), IF('CO-PO Mapping'!X$6,$AF$29,0), IF('CO-PO Mapping'!X$7,$AG$29,0) )=0), "-", IF( SUM( IF('CO-PO Mapping'!X$2,$AH87*$AB$29,0), IF('CO-PO Mapping'!X$3,$AI87*$AC$29,0), IF('CO-PO Mapping'!X$4,$AJ87*$AD$29,0), IF('CO-PO Mapping'!X$5,$AK87*$AE$29,0), IF('CO-PO Mapping'!X$6,$AL87*$AF$29,0), IF('CO-PO Mapping'!X$7,$AM87*$AG$29,0)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IF('CO-PO Mapping'!X$6, IF(OR($AR87="-",SUM(IF('CO-PO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IF('CO-PO Mapping'!X$7, IF(OR($AS87="-",SUM(IF('CO-PO Mapping'!X$2,$AB$29,0),IF('CO-PO Mapping'!X$3,$AC$29,0),IF('CO-PO Mapping'!X$4,$AD$29,0),IF('CO-PO Mapping'!X$5,$AE$29,0),IF('CO-PO Mapping'!X$6,$AF$29,0),IF('CO-PO Mapping'!X$7,$AG$29,0))=0), "-", IF(SUM(IF('CO-PO Mapping'!X$2,$AH87*$AB$29,0),IF('CO-PO Mapping'!X$3,$AI87*$AC$29,0),IF('CO-PO Mapping'!X$4,$AJ87*$AD$29,0),IF('CO-PO Mapping'!X$5,$AK87*$AE$29,0),IF('CO-PO Mapping'!X$6,$AL87*$AF$29,0),IF('CO-PO Mapping'!X$7,$AM87*$AG$29,0))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7" s="95" t="str">
        <f>IF('CO-PO Mapping'!Y$2, IF(OR($AN87="-",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IF(OR($AP87="-", SUM( IF('CO-PO Mapping'!Y$2,$AB$29,0), IF('CO-PO Mapping'!Y$3,$AC$29,0), IF('CO-PO Mapping'!Y$4,$AD$29,0), IF('CO-PO Mapping'!Y$5,$AE$29,0), IF('CO-PO Mapping'!Y$6,$AF$29,0), IF('CO-PO Mapping'!Y$7,$AG$29,0) )=0), "-", IF( SUM( IF('CO-PO Mapping'!Y$2,$AH87*$AB$29,0), IF('CO-PO Mapping'!Y$3,$AI87*$AC$29,0), IF('CO-PO Mapping'!Y$4,$AJ87*$AD$29,0), IF('CO-PO Mapping'!Y$5,$AK87*$AE$29,0), IF('CO-PO Mapping'!Y$6,$AL87*$AF$29,0), IF('CO-PO Mapping'!Y$7,$AM87*$AG$29,0)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IF('CO-PO Mapping'!Y$6, IF(OR($AR87="-",SUM(IF('CO-PO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IF('CO-PO Mapping'!Y$7, IF(OR($AS87="-",SUM(IF('CO-PO Mapping'!Y$2,$AB$29,0),IF('CO-PO Mapping'!Y$3,$AC$29,0),IF('CO-PO Mapping'!Y$4,$AD$29,0),IF('CO-PO Mapping'!Y$5,$AE$29,0),IF('CO-PO Mapping'!Y$6,$AF$29,0),IF('CO-PO Mapping'!Y$7,$AG$29,0))=0), "-", IF(SUM(IF('CO-PO Mapping'!Y$2,$AH87*$AB$29,0),IF('CO-PO Mapping'!Y$3,$AI87*$AC$29,0),IF('CO-PO Mapping'!Y$4,$AJ87*$AD$29,0),IF('CO-PO Mapping'!Y$5,$AK87*$AE$29,0),IF('CO-PO Mapping'!Y$6,$AL87*$AF$29,0),IF('CO-PO Mapping'!Y$7,$AM87*$AG$29,0))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7" s="95" t="str">
        <f>IF('CO-PO Mapping'!Z$2, IF(OR($AN87="-",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IF(OR($AP87="-", SUM( IF('CO-PO Mapping'!Z$2,$AB$29,0), IF('CO-PO Mapping'!Z$3,$AC$29,0), IF('CO-PO Mapping'!Z$4,$AD$29,0), IF('CO-PO Mapping'!Z$5,$AE$29,0), IF('CO-PO Mapping'!Z$6,$AF$29,0), IF('CO-PO Mapping'!Z$7,$AG$29,0) )=0), "-", IF( SUM( IF('CO-PO Mapping'!Z$2,$AH87*$AB$29,0), IF('CO-PO Mapping'!Z$3,$AI87*$AC$29,0), IF('CO-PO Mapping'!Z$4,$AJ87*$AD$29,0), IF('CO-PO Mapping'!Z$5,$AK87*$AE$29,0), IF('CO-PO Mapping'!Z$6,$AL87*$AF$29,0), IF('CO-PO Mapping'!Z$7,$AM87*$AG$29,0)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IF('CO-PO Mapping'!Z$6, IF(OR($AR87="-",SUM(IF('CO-PO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IF('CO-PO Mapping'!Z$7, IF(OR($AS87="-",SUM(IF('CO-PO Mapping'!Z$2,$AB$29,0),IF('CO-PO Mapping'!Z$3,$AC$29,0),IF('CO-PO Mapping'!Z$4,$AD$29,0),IF('CO-PO Mapping'!Z$5,$AE$29,0),IF('CO-PO Mapping'!Z$6,$AF$29,0),IF('CO-PO Mapping'!Z$7,$AG$29,0))=0), "-", IF(SUM(IF('CO-PO Mapping'!Z$2,$AH87*$AB$29,0),IF('CO-PO Mapping'!Z$3,$AI87*$AC$29,0),IF('CO-PO Mapping'!Z$4,$AJ87*$AD$29,0),IF('CO-PO Mapping'!Z$5,$AK87*$AE$29,0),IF('CO-PO Mapping'!Z$6,$AL87*$AF$29,0),IF('CO-PO Mapping'!Z$7,$AM87*$AG$29,0))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8" spans="1:57" ht="15" customHeight="1">
      <c r="A88" s="88"/>
      <c r="B88" s="85"/>
      <c r="C88" s="74"/>
      <c r="D88" s="74"/>
      <c r="E88" s="75"/>
      <c r="F88" s="75"/>
      <c r="G88" s="75"/>
      <c r="H88" s="103" t="str">
        <f t="shared" si="29"/>
        <v>-</v>
      </c>
      <c r="I88" s="75"/>
      <c r="J88" s="75"/>
      <c r="K88" s="75"/>
      <c r="L88" s="75"/>
      <c r="M88" s="75"/>
      <c r="N88" s="75"/>
      <c r="O88" s="105" t="str">
        <f t="shared" si="30"/>
        <v>-</v>
      </c>
      <c r="P88" s="75"/>
      <c r="Q88" s="75"/>
      <c r="R88" s="75"/>
      <c r="S88" s="75"/>
      <c r="T88" s="75"/>
      <c r="U88" s="75"/>
      <c r="V88" s="104" t="str">
        <f t="shared" si="31"/>
        <v>-</v>
      </c>
      <c r="W88" s="83" t="str">
        <f t="shared" si="28"/>
        <v>-</v>
      </c>
      <c r="X88" s="98" t="str">
        <f t="shared" si="32"/>
        <v>-</v>
      </c>
      <c r="Z88" s="42" t="str">
        <f t="shared" si="26"/>
        <v/>
      </c>
      <c r="AA88" s="43" t="str">
        <f t="shared" si="27"/>
        <v/>
      </c>
      <c r="AB88" s="90">
        <f t="shared" si="11"/>
        <v>0</v>
      </c>
      <c r="AC88" s="90">
        <f t="shared" si="11"/>
        <v>0</v>
      </c>
      <c r="AD88" s="90">
        <f t="shared" si="11"/>
        <v>0</v>
      </c>
      <c r="AE88" s="90">
        <f t="shared" si="11"/>
        <v>0</v>
      </c>
      <c r="AF88" s="90">
        <f t="shared" si="11"/>
        <v>0</v>
      </c>
      <c r="AG88" s="90">
        <f t="shared" si="25"/>
        <v>0</v>
      </c>
      <c r="AH88" s="92">
        <f t="shared" si="12"/>
        <v>0</v>
      </c>
      <c r="AI88" s="92">
        <f t="shared" si="13"/>
        <v>0</v>
      </c>
      <c r="AJ88" s="92">
        <f t="shared" si="14"/>
        <v>0</v>
      </c>
      <c r="AK88" s="92">
        <f t="shared" si="22"/>
        <v>0</v>
      </c>
      <c r="AL88" s="92">
        <f t="shared" si="15"/>
        <v>0</v>
      </c>
      <c r="AM88" s="92">
        <f t="shared" si="16"/>
        <v>0</v>
      </c>
      <c r="AN88" s="93" t="str">
        <f t="shared" si="23"/>
        <v>-</v>
      </c>
      <c r="AO88" s="93" t="str">
        <f t="shared" si="17"/>
        <v>-</v>
      </c>
      <c r="AP88" s="93" t="str">
        <f t="shared" si="18"/>
        <v>-</v>
      </c>
      <c r="AQ88" s="93" t="str">
        <f t="shared" si="19"/>
        <v>-</v>
      </c>
      <c r="AR88" s="93" t="str">
        <f t="shared" si="20"/>
        <v>-</v>
      </c>
      <c r="AS88" s="93" t="str">
        <f t="shared" si="21"/>
        <v>-</v>
      </c>
      <c r="AT88" s="95" t="str">
        <f>IF('CO-PO Mapping'!O$2, IF(OR($AN88="-",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IF(OR($AP88="-", SUM( IF('CO-PO Mapping'!O$2,$AB$29,0), IF('CO-PO Mapping'!O$3,$AC$29,0), IF('CO-PO Mapping'!O$4,$AD$29,0), IF('CO-PO Mapping'!O$5,$AE$29,0), IF('CO-PO Mapping'!O$6,$AF$29,0), IF('CO-PO Mapping'!O$7,$AG$29,0) )=0), "-", IF( SUM( IF('CO-PO Mapping'!O$2,$AH88*$AB$29,0), IF('CO-PO Mapping'!O$3,$AI88*$AC$29,0), IF('CO-PO Mapping'!O$4,$AJ88*$AD$29,0), IF('CO-PO Mapping'!O$5,$AK88*$AE$29,0), IF('CO-PO Mapping'!O$6,$AL88*$AF$29,0), IF('CO-PO Mapping'!O$7,$AM88*$AG$29,0)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IF('CO-PO Mapping'!O$6, IF(OR($AR88="-",SUM(IF('CO-PO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IF('CO-PO Mapping'!O$7, IF(OR($AS88="-",SUM(IF('CO-PO Mapping'!O$2,$AB$29,0),IF('CO-PO Mapping'!O$3,$AC$29,0),IF('CO-PO Mapping'!O$4,$AD$29,0),IF('CO-PO Mapping'!O$5,$AE$29,0),IF('CO-PO Mapping'!O$6,$AF$29,0),IF('CO-PO Mapping'!O$7,$AG$29,0))=0), "-", IF(SUM(IF('CO-PO Mapping'!O$2,$AH88*$AB$29,0),IF('CO-PO Mapping'!O$3,$AI88*$AC$29,0),IF('CO-PO Mapping'!O$4,$AJ88*$AD$29,0),IF('CO-PO Mapping'!O$5,$AK88*$AE$29,0),IF('CO-PO Mapping'!O$6,$AL88*$AF$29,0),IF('CO-PO Mapping'!O$7,$AM88*$AG$29,0))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8" s="95" t="str">
        <f>IF('CO-PO Mapping'!P$2, IF(OR($AN88="-",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IF(OR($AP88="-", SUM( IF('CO-PO Mapping'!P$2,$AB$29,0), IF('CO-PO Mapping'!P$3,$AC$29,0), IF('CO-PO Mapping'!P$4,$AD$29,0), IF('CO-PO Mapping'!P$5,$AE$29,0), IF('CO-PO Mapping'!P$6,$AF$29,0), IF('CO-PO Mapping'!P$7,$AG$29,0) )=0), "-", IF( SUM( IF('CO-PO Mapping'!P$2,$AH88*$AB$29,0), IF('CO-PO Mapping'!P$3,$AI88*$AC$29,0), IF('CO-PO Mapping'!P$4,$AJ88*$AD$29,0), IF('CO-PO Mapping'!P$5,$AK88*$AE$29,0), IF('CO-PO Mapping'!P$6,$AL88*$AF$29,0), IF('CO-PO Mapping'!P$7,$AM88*$AG$29,0)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IF('CO-PO Mapping'!P$6, IF(OR($AR88="-",SUM(IF('CO-PO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IF('CO-PO Mapping'!P$7, IF(OR($AS88="-",SUM(IF('CO-PO Mapping'!P$2,$AB$29,0),IF('CO-PO Mapping'!P$3,$AC$29,0),IF('CO-PO Mapping'!P$4,$AD$29,0),IF('CO-PO Mapping'!P$5,$AE$29,0),IF('CO-PO Mapping'!P$6,$AF$29,0),IF('CO-PO Mapping'!P$7,$AG$29,0))=0), "-", IF(SUM(IF('CO-PO Mapping'!P$2,$AH88*$AB$29,0),IF('CO-PO Mapping'!P$3,$AI88*$AC$29,0),IF('CO-PO Mapping'!P$4,$AJ88*$AD$29,0),IF('CO-PO Mapping'!P$5,$AK88*$AE$29,0),IF('CO-PO Mapping'!P$6,$AL88*$AF$29,0),IF('CO-PO Mapping'!P$7,$AM88*$AG$29,0))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8" s="95" t="str">
        <f>IF('CO-PO Mapping'!Q$2, IF(OR($AN88="-",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IF(OR($AP88="-", SUM( IF('CO-PO Mapping'!Q$2,$AB$29,0), IF('CO-PO Mapping'!Q$3,$AC$29,0), IF('CO-PO Mapping'!Q$4,$AD$29,0), IF('CO-PO Mapping'!Q$5,$AE$29,0), IF('CO-PO Mapping'!Q$6,$AF$29,0), IF('CO-PO Mapping'!Q$7,$AG$29,0) )=0), "-", IF( SUM( IF('CO-PO Mapping'!Q$2,$AH88*$AB$29,0), IF('CO-PO Mapping'!Q$3,$AI88*$AC$29,0), IF('CO-PO Mapping'!Q$4,$AJ88*$AD$29,0), IF('CO-PO Mapping'!Q$5,$AK88*$AE$29,0), IF('CO-PO Mapping'!Q$6,$AL88*$AF$29,0), IF('CO-PO Mapping'!Q$7,$AM88*$AG$29,0)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IF('CO-PO Mapping'!Q$6, IF(OR($AR88="-",SUM(IF('CO-PO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IF('CO-PO Mapping'!Q$7, IF(OR($AS88="-",SUM(IF('CO-PO Mapping'!Q$2,$AB$29,0),IF('CO-PO Mapping'!Q$3,$AC$29,0),IF('CO-PO Mapping'!Q$4,$AD$29,0),IF('CO-PO Mapping'!Q$5,$AE$29,0),IF('CO-PO Mapping'!Q$6,$AF$29,0),IF('CO-PO Mapping'!Q$7,$AG$29,0))=0), "-", IF(SUM(IF('CO-PO Mapping'!Q$2,$AH88*$AB$29,0),IF('CO-PO Mapping'!Q$3,$AI88*$AC$29,0),IF('CO-PO Mapping'!Q$4,$AJ88*$AD$29,0),IF('CO-PO Mapping'!Q$5,$AK88*$AE$29,0),IF('CO-PO Mapping'!Q$6,$AL88*$AF$29,0),IF('CO-PO Mapping'!Q$7,$AM88*$AG$29,0))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8" s="95" t="str">
        <f>IF('CO-PO Mapping'!R$2, IF(OR($AN88="-",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IF(OR($AP88="-", SUM( IF('CO-PO Mapping'!R$2,$AB$29,0), IF('CO-PO Mapping'!R$3,$AC$29,0), IF('CO-PO Mapping'!R$4,$AD$29,0), IF('CO-PO Mapping'!R$5,$AE$29,0), IF('CO-PO Mapping'!R$6,$AF$29,0), IF('CO-PO Mapping'!R$7,$AG$29,0) )=0), "-", IF( SUM( IF('CO-PO Mapping'!R$2,$AH88*$AB$29,0), IF('CO-PO Mapping'!R$3,$AI88*$AC$29,0), IF('CO-PO Mapping'!R$4,$AJ88*$AD$29,0), IF('CO-PO Mapping'!R$5,$AK88*$AE$29,0), IF('CO-PO Mapping'!R$6,$AL88*$AF$29,0), IF('CO-PO Mapping'!R$7,$AM88*$AG$29,0)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IF('CO-PO Mapping'!R$6, IF(OR($AR88="-",SUM(IF('CO-PO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IF('CO-PO Mapping'!R$7, IF(OR($AS88="-",SUM(IF('CO-PO Mapping'!R$2,$AB$29,0),IF('CO-PO Mapping'!R$3,$AC$29,0),IF('CO-PO Mapping'!R$4,$AD$29,0),IF('CO-PO Mapping'!R$5,$AE$29,0),IF('CO-PO Mapping'!R$6,$AF$29,0),IF('CO-PO Mapping'!R$7,$AG$29,0))=0), "-", IF(SUM(IF('CO-PO Mapping'!R$2,$AH88*$AB$29,0),IF('CO-PO Mapping'!R$3,$AI88*$AC$29,0),IF('CO-PO Mapping'!R$4,$AJ88*$AD$29,0),IF('CO-PO Mapping'!R$5,$AK88*$AE$29,0),IF('CO-PO Mapping'!R$6,$AL88*$AF$29,0),IF('CO-PO Mapping'!R$7,$AM88*$AG$29,0))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8" s="95" t="str">
        <f>IF('CO-PO Mapping'!S$2, IF(OR($AN88="-",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IF(OR($AP88="-", SUM( IF('CO-PO Mapping'!S$2,$AB$29,0), IF('CO-PO Mapping'!S$3,$AC$29,0), IF('CO-PO Mapping'!S$4,$AD$29,0), IF('CO-PO Mapping'!S$5,$AE$29,0), IF('CO-PO Mapping'!S$6,$AF$29,0), IF('CO-PO Mapping'!S$7,$AG$29,0) )=0), "-", IF( SUM( IF('CO-PO Mapping'!S$2,$AH88*$AB$29,0), IF('CO-PO Mapping'!S$3,$AI88*$AC$29,0), IF('CO-PO Mapping'!S$4,$AJ88*$AD$29,0), IF('CO-PO Mapping'!S$5,$AK88*$AE$29,0), IF('CO-PO Mapping'!S$6,$AL88*$AF$29,0), IF('CO-PO Mapping'!S$7,$AM88*$AG$29,0)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IF('CO-PO Mapping'!S$6, IF(OR($AR88="-",SUM(IF('CO-PO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IF('CO-PO Mapping'!S$7, IF(OR($AS88="-",SUM(IF('CO-PO Mapping'!S$2,$AB$29,0),IF('CO-PO Mapping'!S$3,$AC$29,0),IF('CO-PO Mapping'!S$4,$AD$29,0),IF('CO-PO Mapping'!S$5,$AE$29,0),IF('CO-PO Mapping'!S$6,$AF$29,0),IF('CO-PO Mapping'!S$7,$AG$29,0))=0), "-", IF(SUM(IF('CO-PO Mapping'!S$2,$AH88*$AB$29,0),IF('CO-PO Mapping'!S$3,$AI88*$AC$29,0),IF('CO-PO Mapping'!S$4,$AJ88*$AD$29,0),IF('CO-PO Mapping'!S$5,$AK88*$AE$29,0),IF('CO-PO Mapping'!S$6,$AL88*$AF$29,0),IF('CO-PO Mapping'!S$7,$AM88*$AG$29,0))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8" s="95" t="str">
        <f>IF('CO-PO Mapping'!T$2, IF(OR($AN88="-",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IF(OR($AP88="-", SUM( IF('CO-PO Mapping'!T$2,$AB$29,0), IF('CO-PO Mapping'!T$3,$AC$29,0), IF('CO-PO Mapping'!T$4,$AD$29,0), IF('CO-PO Mapping'!T$5,$AE$29,0), IF('CO-PO Mapping'!T$6,$AF$29,0), IF('CO-PO Mapping'!T$7,$AG$29,0) )=0), "-", IF( SUM( IF('CO-PO Mapping'!T$2,$AH88*$AB$29,0), IF('CO-PO Mapping'!T$3,$AI88*$AC$29,0), IF('CO-PO Mapping'!T$4,$AJ88*$AD$29,0), IF('CO-PO Mapping'!T$5,$AK88*$AE$29,0), IF('CO-PO Mapping'!T$6,$AL88*$AF$29,0), IF('CO-PO Mapping'!T$7,$AM88*$AG$29,0)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IF('CO-PO Mapping'!T$6, IF(OR($AR88="-",SUM(IF('CO-PO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IF('CO-PO Mapping'!T$7, IF(OR($AS88="-",SUM(IF('CO-PO Mapping'!T$2,$AB$29,0),IF('CO-PO Mapping'!T$3,$AC$29,0),IF('CO-PO Mapping'!T$4,$AD$29,0),IF('CO-PO Mapping'!T$5,$AE$29,0),IF('CO-PO Mapping'!T$6,$AF$29,0),IF('CO-PO Mapping'!T$7,$AG$29,0))=0), "-", IF(SUM(IF('CO-PO Mapping'!T$2,$AH88*$AB$29,0),IF('CO-PO Mapping'!T$3,$AI88*$AC$29,0),IF('CO-PO Mapping'!T$4,$AJ88*$AD$29,0),IF('CO-PO Mapping'!T$5,$AK88*$AE$29,0),IF('CO-PO Mapping'!T$6,$AL88*$AF$29,0),IF('CO-PO Mapping'!T$7,$AM88*$AG$29,0))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8" s="95" t="str">
        <f>IF('CO-PO Mapping'!U$2, IF(OR($AN88="-",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IF(OR($AP88="-", SUM( IF('CO-PO Mapping'!U$2,$AB$29,0), IF('CO-PO Mapping'!U$3,$AC$29,0), IF('CO-PO Mapping'!U$4,$AD$29,0), IF('CO-PO Mapping'!U$5,$AE$29,0), IF('CO-PO Mapping'!U$6,$AF$29,0), IF('CO-PO Mapping'!U$7,$AG$29,0) )=0), "-", IF( SUM( IF('CO-PO Mapping'!U$2,$AH88*$AB$29,0), IF('CO-PO Mapping'!U$3,$AI88*$AC$29,0), IF('CO-PO Mapping'!U$4,$AJ88*$AD$29,0), IF('CO-PO Mapping'!U$5,$AK88*$AE$29,0), IF('CO-PO Mapping'!U$6,$AL88*$AF$29,0), IF('CO-PO Mapping'!U$7,$AM88*$AG$29,0)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IF('CO-PO Mapping'!U$6, IF(OR($AR88="-",SUM(IF('CO-PO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IF('CO-PO Mapping'!U$7, IF(OR($AS88="-",SUM(IF('CO-PO Mapping'!U$2,$AB$29,0),IF('CO-PO Mapping'!U$3,$AC$29,0),IF('CO-PO Mapping'!U$4,$AD$29,0),IF('CO-PO Mapping'!U$5,$AE$29,0),IF('CO-PO Mapping'!U$6,$AF$29,0),IF('CO-PO Mapping'!U$7,$AG$29,0))=0), "-", IF(SUM(IF('CO-PO Mapping'!U$2,$AH88*$AB$29,0),IF('CO-PO Mapping'!U$3,$AI88*$AC$29,0),IF('CO-PO Mapping'!U$4,$AJ88*$AD$29,0),IF('CO-PO Mapping'!U$5,$AK88*$AE$29,0),IF('CO-PO Mapping'!U$6,$AL88*$AF$29,0),IF('CO-PO Mapping'!U$7,$AM88*$AG$29,0))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8" s="95" t="str">
        <f>IF('CO-PO Mapping'!V$2, IF(OR($AN88="-",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IF(OR($AP88="-", SUM( IF('CO-PO Mapping'!V$2,$AB$29,0), IF('CO-PO Mapping'!V$3,$AC$29,0), IF('CO-PO Mapping'!V$4,$AD$29,0), IF('CO-PO Mapping'!V$5,$AE$29,0), IF('CO-PO Mapping'!V$6,$AF$29,0), IF('CO-PO Mapping'!V$7,$AG$29,0) )=0), "-", IF( SUM( IF('CO-PO Mapping'!V$2,$AH88*$AB$29,0), IF('CO-PO Mapping'!V$3,$AI88*$AC$29,0), IF('CO-PO Mapping'!V$4,$AJ88*$AD$29,0), IF('CO-PO Mapping'!V$5,$AK88*$AE$29,0), IF('CO-PO Mapping'!V$6,$AL88*$AF$29,0), IF('CO-PO Mapping'!V$7,$AM88*$AG$29,0)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IF('CO-PO Mapping'!V$6, IF(OR($AR88="-",SUM(IF('CO-PO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IF('CO-PO Mapping'!V$7, IF(OR($AS88="-",SUM(IF('CO-PO Mapping'!V$2,$AB$29,0),IF('CO-PO Mapping'!V$3,$AC$29,0),IF('CO-PO Mapping'!V$4,$AD$29,0),IF('CO-PO Mapping'!V$5,$AE$29,0),IF('CO-PO Mapping'!V$6,$AF$29,0),IF('CO-PO Mapping'!V$7,$AG$29,0))=0), "-", IF(SUM(IF('CO-PO Mapping'!V$2,$AH88*$AB$29,0),IF('CO-PO Mapping'!V$3,$AI88*$AC$29,0),IF('CO-PO Mapping'!V$4,$AJ88*$AD$29,0),IF('CO-PO Mapping'!V$5,$AK88*$AE$29,0),IF('CO-PO Mapping'!V$6,$AL88*$AF$29,0),IF('CO-PO Mapping'!V$7,$AM88*$AG$29,0))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8" s="95" t="str">
        <f>IF('CO-PO Mapping'!W$2, IF(OR($AN88="-",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IF(OR($AP88="-", SUM( IF('CO-PO Mapping'!W$2,$AB$29,0), IF('CO-PO Mapping'!W$3,$AC$29,0), IF('CO-PO Mapping'!W$4,$AD$29,0), IF('CO-PO Mapping'!W$5,$AE$29,0), IF('CO-PO Mapping'!W$6,$AF$29,0), IF('CO-PO Mapping'!W$7,$AG$29,0) )=0), "-", IF( SUM( IF('CO-PO Mapping'!W$2,$AH88*$AB$29,0), IF('CO-PO Mapping'!W$3,$AI88*$AC$29,0), IF('CO-PO Mapping'!W$4,$AJ88*$AD$29,0), IF('CO-PO Mapping'!W$5,$AK88*$AE$29,0), IF('CO-PO Mapping'!W$6,$AL88*$AF$29,0), IF('CO-PO Mapping'!W$7,$AM88*$AG$29,0)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IF('CO-PO Mapping'!W$6, IF(OR($AR88="-",SUM(IF('CO-PO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IF('CO-PO Mapping'!W$7, IF(OR($AS88="-",SUM(IF('CO-PO Mapping'!W$2,$AB$29,0),IF('CO-PO Mapping'!W$3,$AC$29,0),IF('CO-PO Mapping'!W$4,$AD$29,0),IF('CO-PO Mapping'!W$5,$AE$29,0),IF('CO-PO Mapping'!W$6,$AF$29,0),IF('CO-PO Mapping'!W$7,$AG$29,0))=0), "-", IF(SUM(IF('CO-PO Mapping'!W$2,$AH88*$AB$29,0),IF('CO-PO Mapping'!W$3,$AI88*$AC$29,0),IF('CO-PO Mapping'!W$4,$AJ88*$AD$29,0),IF('CO-PO Mapping'!W$5,$AK88*$AE$29,0),IF('CO-PO Mapping'!W$6,$AL88*$AF$29,0),IF('CO-PO Mapping'!W$7,$AM88*$AG$29,0))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8" s="95" t="str">
        <f>IF('CO-PO Mapping'!X$2, IF(OR($AN88="-",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IF(OR($AP88="-", SUM( IF('CO-PO Mapping'!X$2,$AB$29,0), IF('CO-PO Mapping'!X$3,$AC$29,0), IF('CO-PO Mapping'!X$4,$AD$29,0), IF('CO-PO Mapping'!X$5,$AE$29,0), IF('CO-PO Mapping'!X$6,$AF$29,0), IF('CO-PO Mapping'!X$7,$AG$29,0) )=0), "-", IF( SUM( IF('CO-PO Mapping'!X$2,$AH88*$AB$29,0), IF('CO-PO Mapping'!X$3,$AI88*$AC$29,0), IF('CO-PO Mapping'!X$4,$AJ88*$AD$29,0), IF('CO-PO Mapping'!X$5,$AK88*$AE$29,0), IF('CO-PO Mapping'!X$6,$AL88*$AF$29,0), IF('CO-PO Mapping'!X$7,$AM88*$AG$29,0)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IF('CO-PO Mapping'!X$6, IF(OR($AR88="-",SUM(IF('CO-PO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IF('CO-PO Mapping'!X$7, IF(OR($AS88="-",SUM(IF('CO-PO Mapping'!X$2,$AB$29,0),IF('CO-PO Mapping'!X$3,$AC$29,0),IF('CO-PO Mapping'!X$4,$AD$29,0),IF('CO-PO Mapping'!X$5,$AE$29,0),IF('CO-PO Mapping'!X$6,$AF$29,0),IF('CO-PO Mapping'!X$7,$AG$29,0))=0), "-", IF(SUM(IF('CO-PO Mapping'!X$2,$AH88*$AB$29,0),IF('CO-PO Mapping'!X$3,$AI88*$AC$29,0),IF('CO-PO Mapping'!X$4,$AJ88*$AD$29,0),IF('CO-PO Mapping'!X$5,$AK88*$AE$29,0),IF('CO-PO Mapping'!X$6,$AL88*$AF$29,0),IF('CO-PO Mapping'!X$7,$AM88*$AG$29,0))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8" s="95" t="str">
        <f>IF('CO-PO Mapping'!Y$2, IF(OR($AN88="-",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IF(OR($AP88="-", SUM( IF('CO-PO Mapping'!Y$2,$AB$29,0), IF('CO-PO Mapping'!Y$3,$AC$29,0), IF('CO-PO Mapping'!Y$4,$AD$29,0), IF('CO-PO Mapping'!Y$5,$AE$29,0), IF('CO-PO Mapping'!Y$6,$AF$29,0), IF('CO-PO Mapping'!Y$7,$AG$29,0) )=0), "-", IF( SUM( IF('CO-PO Mapping'!Y$2,$AH88*$AB$29,0), IF('CO-PO Mapping'!Y$3,$AI88*$AC$29,0), IF('CO-PO Mapping'!Y$4,$AJ88*$AD$29,0), IF('CO-PO Mapping'!Y$5,$AK88*$AE$29,0), IF('CO-PO Mapping'!Y$6,$AL88*$AF$29,0), IF('CO-PO Mapping'!Y$7,$AM88*$AG$29,0)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IF('CO-PO Mapping'!Y$6, IF(OR($AR88="-",SUM(IF('CO-PO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IF('CO-PO Mapping'!Y$7, IF(OR($AS88="-",SUM(IF('CO-PO Mapping'!Y$2,$AB$29,0),IF('CO-PO Mapping'!Y$3,$AC$29,0),IF('CO-PO Mapping'!Y$4,$AD$29,0),IF('CO-PO Mapping'!Y$5,$AE$29,0),IF('CO-PO Mapping'!Y$6,$AF$29,0),IF('CO-PO Mapping'!Y$7,$AG$29,0))=0), "-", IF(SUM(IF('CO-PO Mapping'!Y$2,$AH88*$AB$29,0),IF('CO-PO Mapping'!Y$3,$AI88*$AC$29,0),IF('CO-PO Mapping'!Y$4,$AJ88*$AD$29,0),IF('CO-PO Mapping'!Y$5,$AK88*$AE$29,0),IF('CO-PO Mapping'!Y$6,$AL88*$AF$29,0),IF('CO-PO Mapping'!Y$7,$AM88*$AG$29,0))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8" s="95" t="str">
        <f>IF('CO-PO Mapping'!Z$2, IF(OR($AN88="-",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IF(OR($AP88="-", SUM( IF('CO-PO Mapping'!Z$2,$AB$29,0), IF('CO-PO Mapping'!Z$3,$AC$29,0), IF('CO-PO Mapping'!Z$4,$AD$29,0), IF('CO-PO Mapping'!Z$5,$AE$29,0), IF('CO-PO Mapping'!Z$6,$AF$29,0), IF('CO-PO Mapping'!Z$7,$AG$29,0) )=0), "-", IF( SUM( IF('CO-PO Mapping'!Z$2,$AH88*$AB$29,0), IF('CO-PO Mapping'!Z$3,$AI88*$AC$29,0), IF('CO-PO Mapping'!Z$4,$AJ88*$AD$29,0), IF('CO-PO Mapping'!Z$5,$AK88*$AE$29,0), IF('CO-PO Mapping'!Z$6,$AL88*$AF$29,0), IF('CO-PO Mapping'!Z$7,$AM88*$AG$29,0)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IF('CO-PO Mapping'!Z$6, IF(OR($AR88="-",SUM(IF('CO-PO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IF('CO-PO Mapping'!Z$7, IF(OR($AS88="-",SUM(IF('CO-PO Mapping'!Z$2,$AB$29,0),IF('CO-PO Mapping'!Z$3,$AC$29,0),IF('CO-PO Mapping'!Z$4,$AD$29,0),IF('CO-PO Mapping'!Z$5,$AE$29,0),IF('CO-PO Mapping'!Z$6,$AF$29,0),IF('CO-PO Mapping'!Z$7,$AG$29,0))=0), "-", IF(SUM(IF('CO-PO Mapping'!Z$2,$AH88*$AB$29,0),IF('CO-PO Mapping'!Z$3,$AI88*$AC$29,0),IF('CO-PO Mapping'!Z$4,$AJ88*$AD$29,0),IF('CO-PO Mapping'!Z$5,$AK88*$AE$29,0),IF('CO-PO Mapping'!Z$6,$AL88*$AF$29,0),IF('CO-PO Mapping'!Z$7,$AM88*$AG$29,0))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89" spans="1:57" ht="15" customHeight="1">
      <c r="A89" s="88"/>
      <c r="B89" s="85"/>
      <c r="C89" s="74"/>
      <c r="D89" s="74"/>
      <c r="E89" s="75"/>
      <c r="F89" s="75"/>
      <c r="G89" s="75"/>
      <c r="H89" s="103" t="str">
        <f t="shared" si="29"/>
        <v>-</v>
      </c>
      <c r="I89" s="75"/>
      <c r="J89" s="75"/>
      <c r="K89" s="75"/>
      <c r="L89" s="75"/>
      <c r="M89" s="75"/>
      <c r="N89" s="75"/>
      <c r="O89" s="105" t="str">
        <f t="shared" si="30"/>
        <v>-</v>
      </c>
      <c r="P89" s="75"/>
      <c r="Q89" s="75"/>
      <c r="R89" s="75"/>
      <c r="S89" s="75"/>
      <c r="T89" s="75"/>
      <c r="U89" s="75"/>
      <c r="V89" s="104" t="str">
        <f t="shared" si="31"/>
        <v>-</v>
      </c>
      <c r="W89" s="83" t="str">
        <f t="shared" si="28"/>
        <v>-</v>
      </c>
      <c r="X89" s="98" t="str">
        <f t="shared" si="32"/>
        <v>-</v>
      </c>
      <c r="Z89" s="42" t="str">
        <f t="shared" si="26"/>
        <v/>
      </c>
      <c r="AA89" s="43" t="str">
        <f t="shared" si="27"/>
        <v/>
      </c>
      <c r="AB89" s="90">
        <f t="shared" si="11"/>
        <v>0</v>
      </c>
      <c r="AC89" s="90">
        <f t="shared" si="11"/>
        <v>0</v>
      </c>
      <c r="AD89" s="90">
        <f t="shared" si="11"/>
        <v>0</v>
      </c>
      <c r="AE89" s="90">
        <f t="shared" si="11"/>
        <v>0</v>
      </c>
      <c r="AF89" s="90">
        <f t="shared" si="11"/>
        <v>0</v>
      </c>
      <c r="AG89" s="90">
        <f t="shared" si="25"/>
        <v>0</v>
      </c>
      <c r="AH89" s="92">
        <f t="shared" si="12"/>
        <v>0</v>
      </c>
      <c r="AI89" s="92">
        <f t="shared" si="13"/>
        <v>0</v>
      </c>
      <c r="AJ89" s="92">
        <f t="shared" si="14"/>
        <v>0</v>
      </c>
      <c r="AK89" s="92">
        <f t="shared" si="22"/>
        <v>0</v>
      </c>
      <c r="AL89" s="92">
        <f t="shared" si="15"/>
        <v>0</v>
      </c>
      <c r="AM89" s="92">
        <f t="shared" si="16"/>
        <v>0</v>
      </c>
      <c r="AN89" s="93" t="str">
        <f t="shared" si="23"/>
        <v>-</v>
      </c>
      <c r="AO89" s="93" t="str">
        <f t="shared" si="17"/>
        <v>-</v>
      </c>
      <c r="AP89" s="93" t="str">
        <f t="shared" si="18"/>
        <v>-</v>
      </c>
      <c r="AQ89" s="93" t="str">
        <f t="shared" si="19"/>
        <v>-</v>
      </c>
      <c r="AR89" s="93" t="str">
        <f t="shared" si="20"/>
        <v>-</v>
      </c>
      <c r="AS89" s="93" t="str">
        <f t="shared" si="21"/>
        <v>-</v>
      </c>
      <c r="AT89" s="95" t="str">
        <f>IF('CO-PO Mapping'!O$2, IF(OR($AN89="-",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IF(OR($AP89="-", SUM( IF('CO-PO Mapping'!O$2,$AB$29,0), IF('CO-PO Mapping'!O$3,$AC$29,0), IF('CO-PO Mapping'!O$4,$AD$29,0), IF('CO-PO Mapping'!O$5,$AE$29,0), IF('CO-PO Mapping'!O$6,$AF$29,0), IF('CO-PO Mapping'!O$7,$AG$29,0) )=0), "-", IF( SUM( IF('CO-PO Mapping'!O$2,$AH89*$AB$29,0), IF('CO-PO Mapping'!O$3,$AI89*$AC$29,0), IF('CO-PO Mapping'!O$4,$AJ89*$AD$29,0), IF('CO-PO Mapping'!O$5,$AK89*$AE$29,0), IF('CO-PO Mapping'!O$6,$AL89*$AF$29,0), IF('CO-PO Mapping'!O$7,$AM89*$AG$29,0)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IF('CO-PO Mapping'!O$6, IF(OR($AR89="-",SUM(IF('CO-PO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IF('CO-PO Mapping'!O$7, IF(OR($AS89="-",SUM(IF('CO-PO Mapping'!O$2,$AB$29,0),IF('CO-PO Mapping'!O$3,$AC$29,0),IF('CO-PO Mapping'!O$4,$AD$29,0),IF('CO-PO Mapping'!O$5,$AE$29,0),IF('CO-PO Mapping'!O$6,$AF$29,0),IF('CO-PO Mapping'!O$7,$AG$29,0))=0), "-", IF(SUM(IF('CO-PO Mapping'!O$2,$AH89*$AB$29,0),IF('CO-PO Mapping'!O$3,$AI89*$AC$29,0),IF('CO-PO Mapping'!O$4,$AJ89*$AD$29,0),IF('CO-PO Mapping'!O$5,$AK89*$AE$29,0),IF('CO-PO Mapping'!O$6,$AL89*$AF$29,0),IF('CO-PO Mapping'!O$7,$AM89*$AG$29,0))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89" s="95" t="str">
        <f>IF('CO-PO Mapping'!P$2, IF(OR($AN89="-",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IF(OR($AP89="-", SUM( IF('CO-PO Mapping'!P$2,$AB$29,0), IF('CO-PO Mapping'!P$3,$AC$29,0), IF('CO-PO Mapping'!P$4,$AD$29,0), IF('CO-PO Mapping'!P$5,$AE$29,0), IF('CO-PO Mapping'!P$6,$AF$29,0), IF('CO-PO Mapping'!P$7,$AG$29,0) )=0), "-", IF( SUM( IF('CO-PO Mapping'!P$2,$AH89*$AB$29,0), IF('CO-PO Mapping'!P$3,$AI89*$AC$29,0), IF('CO-PO Mapping'!P$4,$AJ89*$AD$29,0), IF('CO-PO Mapping'!P$5,$AK89*$AE$29,0), IF('CO-PO Mapping'!P$6,$AL89*$AF$29,0), IF('CO-PO Mapping'!P$7,$AM89*$AG$29,0)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IF('CO-PO Mapping'!P$6, IF(OR($AR89="-",SUM(IF('CO-PO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IF('CO-PO Mapping'!P$7, IF(OR($AS89="-",SUM(IF('CO-PO Mapping'!P$2,$AB$29,0),IF('CO-PO Mapping'!P$3,$AC$29,0),IF('CO-PO Mapping'!P$4,$AD$29,0),IF('CO-PO Mapping'!P$5,$AE$29,0),IF('CO-PO Mapping'!P$6,$AF$29,0),IF('CO-PO Mapping'!P$7,$AG$29,0))=0), "-", IF(SUM(IF('CO-PO Mapping'!P$2,$AH89*$AB$29,0),IF('CO-PO Mapping'!P$3,$AI89*$AC$29,0),IF('CO-PO Mapping'!P$4,$AJ89*$AD$29,0),IF('CO-PO Mapping'!P$5,$AK89*$AE$29,0),IF('CO-PO Mapping'!P$6,$AL89*$AF$29,0),IF('CO-PO Mapping'!P$7,$AM89*$AG$29,0))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89" s="95" t="str">
        <f>IF('CO-PO Mapping'!Q$2, IF(OR($AN89="-",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IF(OR($AP89="-", SUM( IF('CO-PO Mapping'!Q$2,$AB$29,0), IF('CO-PO Mapping'!Q$3,$AC$29,0), IF('CO-PO Mapping'!Q$4,$AD$29,0), IF('CO-PO Mapping'!Q$5,$AE$29,0), IF('CO-PO Mapping'!Q$6,$AF$29,0), IF('CO-PO Mapping'!Q$7,$AG$29,0) )=0), "-", IF( SUM( IF('CO-PO Mapping'!Q$2,$AH89*$AB$29,0), IF('CO-PO Mapping'!Q$3,$AI89*$AC$29,0), IF('CO-PO Mapping'!Q$4,$AJ89*$AD$29,0), IF('CO-PO Mapping'!Q$5,$AK89*$AE$29,0), IF('CO-PO Mapping'!Q$6,$AL89*$AF$29,0), IF('CO-PO Mapping'!Q$7,$AM89*$AG$29,0)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IF('CO-PO Mapping'!Q$6, IF(OR($AR89="-",SUM(IF('CO-PO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IF('CO-PO Mapping'!Q$7, IF(OR($AS89="-",SUM(IF('CO-PO Mapping'!Q$2,$AB$29,0),IF('CO-PO Mapping'!Q$3,$AC$29,0),IF('CO-PO Mapping'!Q$4,$AD$29,0),IF('CO-PO Mapping'!Q$5,$AE$29,0),IF('CO-PO Mapping'!Q$6,$AF$29,0),IF('CO-PO Mapping'!Q$7,$AG$29,0))=0), "-", IF(SUM(IF('CO-PO Mapping'!Q$2,$AH89*$AB$29,0),IF('CO-PO Mapping'!Q$3,$AI89*$AC$29,0),IF('CO-PO Mapping'!Q$4,$AJ89*$AD$29,0),IF('CO-PO Mapping'!Q$5,$AK89*$AE$29,0),IF('CO-PO Mapping'!Q$6,$AL89*$AF$29,0),IF('CO-PO Mapping'!Q$7,$AM89*$AG$29,0))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89" s="95" t="str">
        <f>IF('CO-PO Mapping'!R$2, IF(OR($AN89="-",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IF(OR($AP89="-", SUM( IF('CO-PO Mapping'!R$2,$AB$29,0), IF('CO-PO Mapping'!R$3,$AC$29,0), IF('CO-PO Mapping'!R$4,$AD$29,0), IF('CO-PO Mapping'!R$5,$AE$29,0), IF('CO-PO Mapping'!R$6,$AF$29,0), IF('CO-PO Mapping'!R$7,$AG$29,0) )=0), "-", IF( SUM( IF('CO-PO Mapping'!R$2,$AH89*$AB$29,0), IF('CO-PO Mapping'!R$3,$AI89*$AC$29,0), IF('CO-PO Mapping'!R$4,$AJ89*$AD$29,0), IF('CO-PO Mapping'!R$5,$AK89*$AE$29,0), IF('CO-PO Mapping'!R$6,$AL89*$AF$29,0), IF('CO-PO Mapping'!R$7,$AM89*$AG$29,0)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IF('CO-PO Mapping'!R$6, IF(OR($AR89="-",SUM(IF('CO-PO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IF('CO-PO Mapping'!R$7, IF(OR($AS89="-",SUM(IF('CO-PO Mapping'!R$2,$AB$29,0),IF('CO-PO Mapping'!R$3,$AC$29,0),IF('CO-PO Mapping'!R$4,$AD$29,0),IF('CO-PO Mapping'!R$5,$AE$29,0),IF('CO-PO Mapping'!R$6,$AF$29,0),IF('CO-PO Mapping'!R$7,$AG$29,0))=0), "-", IF(SUM(IF('CO-PO Mapping'!R$2,$AH89*$AB$29,0),IF('CO-PO Mapping'!R$3,$AI89*$AC$29,0),IF('CO-PO Mapping'!R$4,$AJ89*$AD$29,0),IF('CO-PO Mapping'!R$5,$AK89*$AE$29,0),IF('CO-PO Mapping'!R$6,$AL89*$AF$29,0),IF('CO-PO Mapping'!R$7,$AM89*$AG$29,0))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89" s="95" t="str">
        <f>IF('CO-PO Mapping'!S$2, IF(OR($AN89="-",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IF(OR($AP89="-", SUM( IF('CO-PO Mapping'!S$2,$AB$29,0), IF('CO-PO Mapping'!S$3,$AC$29,0), IF('CO-PO Mapping'!S$4,$AD$29,0), IF('CO-PO Mapping'!S$5,$AE$29,0), IF('CO-PO Mapping'!S$6,$AF$29,0), IF('CO-PO Mapping'!S$7,$AG$29,0) )=0), "-", IF( SUM( IF('CO-PO Mapping'!S$2,$AH89*$AB$29,0), IF('CO-PO Mapping'!S$3,$AI89*$AC$29,0), IF('CO-PO Mapping'!S$4,$AJ89*$AD$29,0), IF('CO-PO Mapping'!S$5,$AK89*$AE$29,0), IF('CO-PO Mapping'!S$6,$AL89*$AF$29,0), IF('CO-PO Mapping'!S$7,$AM89*$AG$29,0)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IF('CO-PO Mapping'!S$6, IF(OR($AR89="-",SUM(IF('CO-PO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IF('CO-PO Mapping'!S$7, IF(OR($AS89="-",SUM(IF('CO-PO Mapping'!S$2,$AB$29,0),IF('CO-PO Mapping'!S$3,$AC$29,0),IF('CO-PO Mapping'!S$4,$AD$29,0),IF('CO-PO Mapping'!S$5,$AE$29,0),IF('CO-PO Mapping'!S$6,$AF$29,0),IF('CO-PO Mapping'!S$7,$AG$29,0))=0), "-", IF(SUM(IF('CO-PO Mapping'!S$2,$AH89*$AB$29,0),IF('CO-PO Mapping'!S$3,$AI89*$AC$29,0),IF('CO-PO Mapping'!S$4,$AJ89*$AD$29,0),IF('CO-PO Mapping'!S$5,$AK89*$AE$29,0),IF('CO-PO Mapping'!S$6,$AL89*$AF$29,0),IF('CO-PO Mapping'!S$7,$AM89*$AG$29,0))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89" s="95" t="str">
        <f>IF('CO-PO Mapping'!T$2, IF(OR($AN89="-",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IF(OR($AP89="-", SUM( IF('CO-PO Mapping'!T$2,$AB$29,0), IF('CO-PO Mapping'!T$3,$AC$29,0), IF('CO-PO Mapping'!T$4,$AD$29,0), IF('CO-PO Mapping'!T$5,$AE$29,0), IF('CO-PO Mapping'!T$6,$AF$29,0), IF('CO-PO Mapping'!T$7,$AG$29,0) )=0), "-", IF( SUM( IF('CO-PO Mapping'!T$2,$AH89*$AB$29,0), IF('CO-PO Mapping'!T$3,$AI89*$AC$29,0), IF('CO-PO Mapping'!T$4,$AJ89*$AD$29,0), IF('CO-PO Mapping'!T$5,$AK89*$AE$29,0), IF('CO-PO Mapping'!T$6,$AL89*$AF$29,0), IF('CO-PO Mapping'!T$7,$AM89*$AG$29,0)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IF('CO-PO Mapping'!T$6, IF(OR($AR89="-",SUM(IF('CO-PO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IF('CO-PO Mapping'!T$7, IF(OR($AS89="-",SUM(IF('CO-PO Mapping'!T$2,$AB$29,0),IF('CO-PO Mapping'!T$3,$AC$29,0),IF('CO-PO Mapping'!T$4,$AD$29,0),IF('CO-PO Mapping'!T$5,$AE$29,0),IF('CO-PO Mapping'!T$6,$AF$29,0),IF('CO-PO Mapping'!T$7,$AG$29,0))=0), "-", IF(SUM(IF('CO-PO Mapping'!T$2,$AH89*$AB$29,0),IF('CO-PO Mapping'!T$3,$AI89*$AC$29,0),IF('CO-PO Mapping'!T$4,$AJ89*$AD$29,0),IF('CO-PO Mapping'!T$5,$AK89*$AE$29,0),IF('CO-PO Mapping'!T$6,$AL89*$AF$29,0),IF('CO-PO Mapping'!T$7,$AM89*$AG$29,0))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89" s="95" t="str">
        <f>IF('CO-PO Mapping'!U$2, IF(OR($AN89="-",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IF(OR($AP89="-", SUM( IF('CO-PO Mapping'!U$2,$AB$29,0), IF('CO-PO Mapping'!U$3,$AC$29,0), IF('CO-PO Mapping'!U$4,$AD$29,0), IF('CO-PO Mapping'!U$5,$AE$29,0), IF('CO-PO Mapping'!U$6,$AF$29,0), IF('CO-PO Mapping'!U$7,$AG$29,0) )=0), "-", IF( SUM( IF('CO-PO Mapping'!U$2,$AH89*$AB$29,0), IF('CO-PO Mapping'!U$3,$AI89*$AC$29,0), IF('CO-PO Mapping'!U$4,$AJ89*$AD$29,0), IF('CO-PO Mapping'!U$5,$AK89*$AE$29,0), IF('CO-PO Mapping'!U$6,$AL89*$AF$29,0), IF('CO-PO Mapping'!U$7,$AM89*$AG$29,0)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IF('CO-PO Mapping'!U$6, IF(OR($AR89="-",SUM(IF('CO-PO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IF('CO-PO Mapping'!U$7, IF(OR($AS89="-",SUM(IF('CO-PO Mapping'!U$2,$AB$29,0),IF('CO-PO Mapping'!U$3,$AC$29,0),IF('CO-PO Mapping'!U$4,$AD$29,0),IF('CO-PO Mapping'!U$5,$AE$29,0),IF('CO-PO Mapping'!U$6,$AF$29,0),IF('CO-PO Mapping'!U$7,$AG$29,0))=0), "-", IF(SUM(IF('CO-PO Mapping'!U$2,$AH89*$AB$29,0),IF('CO-PO Mapping'!U$3,$AI89*$AC$29,0),IF('CO-PO Mapping'!U$4,$AJ89*$AD$29,0),IF('CO-PO Mapping'!U$5,$AK89*$AE$29,0),IF('CO-PO Mapping'!U$6,$AL89*$AF$29,0),IF('CO-PO Mapping'!U$7,$AM89*$AG$29,0))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89" s="95" t="str">
        <f>IF('CO-PO Mapping'!V$2, IF(OR($AN89="-",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IF(OR($AP89="-", SUM( IF('CO-PO Mapping'!V$2,$AB$29,0), IF('CO-PO Mapping'!V$3,$AC$29,0), IF('CO-PO Mapping'!V$4,$AD$29,0), IF('CO-PO Mapping'!V$5,$AE$29,0), IF('CO-PO Mapping'!V$6,$AF$29,0), IF('CO-PO Mapping'!V$7,$AG$29,0) )=0), "-", IF( SUM( IF('CO-PO Mapping'!V$2,$AH89*$AB$29,0), IF('CO-PO Mapping'!V$3,$AI89*$AC$29,0), IF('CO-PO Mapping'!V$4,$AJ89*$AD$29,0), IF('CO-PO Mapping'!V$5,$AK89*$AE$29,0), IF('CO-PO Mapping'!V$6,$AL89*$AF$29,0), IF('CO-PO Mapping'!V$7,$AM89*$AG$29,0)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IF('CO-PO Mapping'!V$6, IF(OR($AR89="-",SUM(IF('CO-PO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IF('CO-PO Mapping'!V$7, IF(OR($AS89="-",SUM(IF('CO-PO Mapping'!V$2,$AB$29,0),IF('CO-PO Mapping'!V$3,$AC$29,0),IF('CO-PO Mapping'!V$4,$AD$29,0),IF('CO-PO Mapping'!V$5,$AE$29,0),IF('CO-PO Mapping'!V$6,$AF$29,0),IF('CO-PO Mapping'!V$7,$AG$29,0))=0), "-", IF(SUM(IF('CO-PO Mapping'!V$2,$AH89*$AB$29,0),IF('CO-PO Mapping'!V$3,$AI89*$AC$29,0),IF('CO-PO Mapping'!V$4,$AJ89*$AD$29,0),IF('CO-PO Mapping'!V$5,$AK89*$AE$29,0),IF('CO-PO Mapping'!V$6,$AL89*$AF$29,0),IF('CO-PO Mapping'!V$7,$AM89*$AG$29,0))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89" s="95" t="str">
        <f>IF('CO-PO Mapping'!W$2, IF(OR($AN89="-",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IF(OR($AP89="-", SUM( IF('CO-PO Mapping'!W$2,$AB$29,0), IF('CO-PO Mapping'!W$3,$AC$29,0), IF('CO-PO Mapping'!W$4,$AD$29,0), IF('CO-PO Mapping'!W$5,$AE$29,0), IF('CO-PO Mapping'!W$6,$AF$29,0), IF('CO-PO Mapping'!W$7,$AG$29,0) )=0), "-", IF( SUM( IF('CO-PO Mapping'!W$2,$AH89*$AB$29,0), IF('CO-PO Mapping'!W$3,$AI89*$AC$29,0), IF('CO-PO Mapping'!W$4,$AJ89*$AD$29,0), IF('CO-PO Mapping'!W$5,$AK89*$AE$29,0), IF('CO-PO Mapping'!W$6,$AL89*$AF$29,0), IF('CO-PO Mapping'!W$7,$AM89*$AG$29,0)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IF('CO-PO Mapping'!W$6, IF(OR($AR89="-",SUM(IF('CO-PO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IF('CO-PO Mapping'!W$7, IF(OR($AS89="-",SUM(IF('CO-PO Mapping'!W$2,$AB$29,0),IF('CO-PO Mapping'!W$3,$AC$29,0),IF('CO-PO Mapping'!W$4,$AD$29,0),IF('CO-PO Mapping'!W$5,$AE$29,0),IF('CO-PO Mapping'!W$6,$AF$29,0),IF('CO-PO Mapping'!W$7,$AG$29,0))=0), "-", IF(SUM(IF('CO-PO Mapping'!W$2,$AH89*$AB$29,0),IF('CO-PO Mapping'!W$3,$AI89*$AC$29,0),IF('CO-PO Mapping'!W$4,$AJ89*$AD$29,0),IF('CO-PO Mapping'!W$5,$AK89*$AE$29,0),IF('CO-PO Mapping'!W$6,$AL89*$AF$29,0),IF('CO-PO Mapping'!W$7,$AM89*$AG$29,0))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89" s="95" t="str">
        <f>IF('CO-PO Mapping'!X$2, IF(OR($AN89="-",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IF(OR($AP89="-", SUM( IF('CO-PO Mapping'!X$2,$AB$29,0), IF('CO-PO Mapping'!X$3,$AC$29,0), IF('CO-PO Mapping'!X$4,$AD$29,0), IF('CO-PO Mapping'!X$5,$AE$29,0), IF('CO-PO Mapping'!X$6,$AF$29,0), IF('CO-PO Mapping'!X$7,$AG$29,0) )=0), "-", IF( SUM( IF('CO-PO Mapping'!X$2,$AH89*$AB$29,0), IF('CO-PO Mapping'!X$3,$AI89*$AC$29,0), IF('CO-PO Mapping'!X$4,$AJ89*$AD$29,0), IF('CO-PO Mapping'!X$5,$AK89*$AE$29,0), IF('CO-PO Mapping'!X$6,$AL89*$AF$29,0), IF('CO-PO Mapping'!X$7,$AM89*$AG$29,0)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IF('CO-PO Mapping'!X$6, IF(OR($AR89="-",SUM(IF('CO-PO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IF('CO-PO Mapping'!X$7, IF(OR($AS89="-",SUM(IF('CO-PO Mapping'!X$2,$AB$29,0),IF('CO-PO Mapping'!X$3,$AC$29,0),IF('CO-PO Mapping'!X$4,$AD$29,0),IF('CO-PO Mapping'!X$5,$AE$29,0),IF('CO-PO Mapping'!X$6,$AF$29,0),IF('CO-PO Mapping'!X$7,$AG$29,0))=0), "-", IF(SUM(IF('CO-PO Mapping'!X$2,$AH89*$AB$29,0),IF('CO-PO Mapping'!X$3,$AI89*$AC$29,0),IF('CO-PO Mapping'!X$4,$AJ89*$AD$29,0),IF('CO-PO Mapping'!X$5,$AK89*$AE$29,0),IF('CO-PO Mapping'!X$6,$AL89*$AF$29,0),IF('CO-PO Mapping'!X$7,$AM89*$AG$29,0))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89" s="95" t="str">
        <f>IF('CO-PO Mapping'!Y$2, IF(OR($AN89="-",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IF(OR($AP89="-", SUM( IF('CO-PO Mapping'!Y$2,$AB$29,0), IF('CO-PO Mapping'!Y$3,$AC$29,0), IF('CO-PO Mapping'!Y$4,$AD$29,0), IF('CO-PO Mapping'!Y$5,$AE$29,0), IF('CO-PO Mapping'!Y$6,$AF$29,0), IF('CO-PO Mapping'!Y$7,$AG$29,0) )=0), "-", IF( SUM( IF('CO-PO Mapping'!Y$2,$AH89*$AB$29,0), IF('CO-PO Mapping'!Y$3,$AI89*$AC$29,0), IF('CO-PO Mapping'!Y$4,$AJ89*$AD$29,0), IF('CO-PO Mapping'!Y$5,$AK89*$AE$29,0), IF('CO-PO Mapping'!Y$6,$AL89*$AF$29,0), IF('CO-PO Mapping'!Y$7,$AM89*$AG$29,0)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IF('CO-PO Mapping'!Y$6, IF(OR($AR89="-",SUM(IF('CO-PO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IF('CO-PO Mapping'!Y$7, IF(OR($AS89="-",SUM(IF('CO-PO Mapping'!Y$2,$AB$29,0),IF('CO-PO Mapping'!Y$3,$AC$29,0),IF('CO-PO Mapping'!Y$4,$AD$29,0),IF('CO-PO Mapping'!Y$5,$AE$29,0),IF('CO-PO Mapping'!Y$6,$AF$29,0),IF('CO-PO Mapping'!Y$7,$AG$29,0))=0), "-", IF(SUM(IF('CO-PO Mapping'!Y$2,$AH89*$AB$29,0),IF('CO-PO Mapping'!Y$3,$AI89*$AC$29,0),IF('CO-PO Mapping'!Y$4,$AJ89*$AD$29,0),IF('CO-PO Mapping'!Y$5,$AK89*$AE$29,0),IF('CO-PO Mapping'!Y$6,$AL89*$AF$29,0),IF('CO-PO Mapping'!Y$7,$AM89*$AG$29,0))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89" s="95" t="str">
        <f>IF('CO-PO Mapping'!Z$2, IF(OR($AN89="-",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IF(OR($AP89="-", SUM( IF('CO-PO Mapping'!Z$2,$AB$29,0), IF('CO-PO Mapping'!Z$3,$AC$29,0), IF('CO-PO Mapping'!Z$4,$AD$29,0), IF('CO-PO Mapping'!Z$5,$AE$29,0), IF('CO-PO Mapping'!Z$6,$AF$29,0), IF('CO-PO Mapping'!Z$7,$AG$29,0) )=0), "-", IF( SUM( IF('CO-PO Mapping'!Z$2,$AH89*$AB$29,0), IF('CO-PO Mapping'!Z$3,$AI89*$AC$29,0), IF('CO-PO Mapping'!Z$4,$AJ89*$AD$29,0), IF('CO-PO Mapping'!Z$5,$AK89*$AE$29,0), IF('CO-PO Mapping'!Z$6,$AL89*$AF$29,0), IF('CO-PO Mapping'!Z$7,$AM89*$AG$29,0)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IF('CO-PO Mapping'!Z$6, IF(OR($AR89="-",SUM(IF('CO-PO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IF('CO-PO Mapping'!Z$7, IF(OR($AS89="-",SUM(IF('CO-PO Mapping'!Z$2,$AB$29,0),IF('CO-PO Mapping'!Z$3,$AC$29,0),IF('CO-PO Mapping'!Z$4,$AD$29,0),IF('CO-PO Mapping'!Z$5,$AE$29,0),IF('CO-PO Mapping'!Z$6,$AF$29,0),IF('CO-PO Mapping'!Z$7,$AG$29,0))=0), "-", IF(SUM(IF('CO-PO Mapping'!Z$2,$AH89*$AB$29,0),IF('CO-PO Mapping'!Z$3,$AI89*$AC$29,0),IF('CO-PO Mapping'!Z$4,$AJ89*$AD$29,0),IF('CO-PO Mapping'!Z$5,$AK89*$AE$29,0),IF('CO-PO Mapping'!Z$6,$AL89*$AF$29,0),IF('CO-PO Mapping'!Z$7,$AM89*$AG$29,0))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0" spans="1:57" ht="15" customHeight="1">
      <c r="A90" s="88"/>
      <c r="B90" s="85"/>
      <c r="C90" s="74"/>
      <c r="D90" s="74"/>
      <c r="E90" s="75"/>
      <c r="F90" s="75"/>
      <c r="G90" s="75"/>
      <c r="H90" s="103" t="str">
        <f t="shared" si="29"/>
        <v>-</v>
      </c>
      <c r="I90" s="75"/>
      <c r="J90" s="75"/>
      <c r="K90" s="75"/>
      <c r="L90" s="75"/>
      <c r="M90" s="75"/>
      <c r="N90" s="75"/>
      <c r="O90" s="105" t="str">
        <f t="shared" si="30"/>
        <v>-</v>
      </c>
      <c r="P90" s="75"/>
      <c r="Q90" s="75"/>
      <c r="R90" s="75"/>
      <c r="S90" s="75"/>
      <c r="T90" s="75"/>
      <c r="U90" s="75"/>
      <c r="V90" s="104" t="str">
        <f t="shared" si="31"/>
        <v>-</v>
      </c>
      <c r="W90" s="83" t="str">
        <f t="shared" si="28"/>
        <v>-</v>
      </c>
      <c r="X90" s="98" t="str">
        <f t="shared" si="32"/>
        <v>-</v>
      </c>
      <c r="Z90" s="42" t="str">
        <f t="shared" si="26"/>
        <v/>
      </c>
      <c r="AA90" s="43" t="str">
        <f t="shared" si="27"/>
        <v/>
      </c>
      <c r="AB90" s="90">
        <f t="shared" si="11"/>
        <v>0</v>
      </c>
      <c r="AC90" s="90">
        <f t="shared" si="11"/>
        <v>0</v>
      </c>
      <c r="AD90" s="90">
        <f t="shared" si="11"/>
        <v>0</v>
      </c>
      <c r="AE90" s="90">
        <f t="shared" si="11"/>
        <v>0</v>
      </c>
      <c r="AF90" s="90">
        <f t="shared" ref="AF90:AF100" si="33">IF($W90="Absent",0,SUMIF($C$28:$U$28,SUBSTITUTE(SUBSTITUTE(AF$28,"[",""),"]",""),$C90:$U90))</f>
        <v>0</v>
      </c>
      <c r="AG90" s="90">
        <f t="shared" si="25"/>
        <v>0</v>
      </c>
      <c r="AH90" s="92">
        <f t="shared" si="12"/>
        <v>0</v>
      </c>
      <c r="AI90" s="92">
        <f t="shared" si="13"/>
        <v>0</v>
      </c>
      <c r="AJ90" s="92">
        <f t="shared" si="14"/>
        <v>0</v>
      </c>
      <c r="AK90" s="92">
        <f t="shared" si="22"/>
        <v>0</v>
      </c>
      <c r="AL90" s="92">
        <f t="shared" si="15"/>
        <v>0</v>
      </c>
      <c r="AM90" s="92">
        <f t="shared" si="16"/>
        <v>0</v>
      </c>
      <c r="AN90" s="93" t="str">
        <f t="shared" si="23"/>
        <v>-</v>
      </c>
      <c r="AO90" s="93" t="str">
        <f t="shared" si="17"/>
        <v>-</v>
      </c>
      <c r="AP90" s="93" t="str">
        <f t="shared" si="18"/>
        <v>-</v>
      </c>
      <c r="AQ90" s="93" t="str">
        <f t="shared" si="19"/>
        <v>-</v>
      </c>
      <c r="AR90" s="93" t="str">
        <f t="shared" si="20"/>
        <v>-</v>
      </c>
      <c r="AS90" s="93" t="str">
        <f t="shared" si="21"/>
        <v>-</v>
      </c>
      <c r="AT90" s="95" t="str">
        <f>IF('CO-PO Mapping'!O$2, IF(OR($AN90="-",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IF(OR($AP90="-", SUM( IF('CO-PO Mapping'!O$2,$AB$29,0), IF('CO-PO Mapping'!O$3,$AC$29,0), IF('CO-PO Mapping'!O$4,$AD$29,0), IF('CO-PO Mapping'!O$5,$AE$29,0), IF('CO-PO Mapping'!O$6,$AF$29,0), IF('CO-PO Mapping'!O$7,$AG$29,0) )=0), "-", IF( SUM( IF('CO-PO Mapping'!O$2,$AH90*$AB$29,0), IF('CO-PO Mapping'!O$3,$AI90*$AC$29,0), IF('CO-PO Mapping'!O$4,$AJ90*$AD$29,0), IF('CO-PO Mapping'!O$5,$AK90*$AE$29,0), IF('CO-PO Mapping'!O$6,$AL90*$AF$29,0), IF('CO-PO Mapping'!O$7,$AM90*$AG$29,0)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IF('CO-PO Mapping'!O$6, IF(OR($AR90="-",SUM(IF('CO-PO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IF('CO-PO Mapping'!O$7, IF(OR($AS90="-",SUM(IF('CO-PO Mapping'!O$2,$AB$29,0),IF('CO-PO Mapping'!O$3,$AC$29,0),IF('CO-PO Mapping'!O$4,$AD$29,0),IF('CO-PO Mapping'!O$5,$AE$29,0),IF('CO-PO Mapping'!O$6,$AF$29,0),IF('CO-PO Mapping'!O$7,$AG$29,0))=0), "-", IF(SUM(IF('CO-PO Mapping'!O$2,$AH90*$AB$29,0),IF('CO-PO Mapping'!O$3,$AI90*$AC$29,0),IF('CO-PO Mapping'!O$4,$AJ90*$AD$29,0),IF('CO-PO Mapping'!O$5,$AK90*$AE$29,0),IF('CO-PO Mapping'!O$6,$AL90*$AF$29,0),IF('CO-PO Mapping'!O$7,$AM90*$AG$29,0))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0" s="95" t="str">
        <f>IF('CO-PO Mapping'!P$2, IF(OR($AN90="-",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IF(OR($AP90="-", SUM( IF('CO-PO Mapping'!P$2,$AB$29,0), IF('CO-PO Mapping'!P$3,$AC$29,0), IF('CO-PO Mapping'!P$4,$AD$29,0), IF('CO-PO Mapping'!P$5,$AE$29,0), IF('CO-PO Mapping'!P$6,$AF$29,0), IF('CO-PO Mapping'!P$7,$AG$29,0) )=0), "-", IF( SUM( IF('CO-PO Mapping'!P$2,$AH90*$AB$29,0), IF('CO-PO Mapping'!P$3,$AI90*$AC$29,0), IF('CO-PO Mapping'!P$4,$AJ90*$AD$29,0), IF('CO-PO Mapping'!P$5,$AK90*$AE$29,0), IF('CO-PO Mapping'!P$6,$AL90*$AF$29,0), IF('CO-PO Mapping'!P$7,$AM90*$AG$29,0)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IF('CO-PO Mapping'!P$6, IF(OR($AR90="-",SUM(IF('CO-PO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IF('CO-PO Mapping'!P$7, IF(OR($AS90="-",SUM(IF('CO-PO Mapping'!P$2,$AB$29,0),IF('CO-PO Mapping'!P$3,$AC$29,0),IF('CO-PO Mapping'!P$4,$AD$29,0),IF('CO-PO Mapping'!P$5,$AE$29,0),IF('CO-PO Mapping'!P$6,$AF$29,0),IF('CO-PO Mapping'!P$7,$AG$29,0))=0), "-", IF(SUM(IF('CO-PO Mapping'!P$2,$AH90*$AB$29,0),IF('CO-PO Mapping'!P$3,$AI90*$AC$29,0),IF('CO-PO Mapping'!P$4,$AJ90*$AD$29,0),IF('CO-PO Mapping'!P$5,$AK90*$AE$29,0),IF('CO-PO Mapping'!P$6,$AL90*$AF$29,0),IF('CO-PO Mapping'!P$7,$AM90*$AG$29,0))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0" s="95" t="str">
        <f>IF('CO-PO Mapping'!Q$2, IF(OR($AN90="-",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IF(OR($AP90="-", SUM( IF('CO-PO Mapping'!Q$2,$AB$29,0), IF('CO-PO Mapping'!Q$3,$AC$29,0), IF('CO-PO Mapping'!Q$4,$AD$29,0), IF('CO-PO Mapping'!Q$5,$AE$29,0), IF('CO-PO Mapping'!Q$6,$AF$29,0), IF('CO-PO Mapping'!Q$7,$AG$29,0) )=0), "-", IF( SUM( IF('CO-PO Mapping'!Q$2,$AH90*$AB$29,0), IF('CO-PO Mapping'!Q$3,$AI90*$AC$29,0), IF('CO-PO Mapping'!Q$4,$AJ90*$AD$29,0), IF('CO-PO Mapping'!Q$5,$AK90*$AE$29,0), IF('CO-PO Mapping'!Q$6,$AL90*$AF$29,0), IF('CO-PO Mapping'!Q$7,$AM90*$AG$29,0)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IF('CO-PO Mapping'!Q$6, IF(OR($AR90="-",SUM(IF('CO-PO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IF('CO-PO Mapping'!Q$7, IF(OR($AS90="-",SUM(IF('CO-PO Mapping'!Q$2,$AB$29,0),IF('CO-PO Mapping'!Q$3,$AC$29,0),IF('CO-PO Mapping'!Q$4,$AD$29,0),IF('CO-PO Mapping'!Q$5,$AE$29,0),IF('CO-PO Mapping'!Q$6,$AF$29,0),IF('CO-PO Mapping'!Q$7,$AG$29,0))=0), "-", IF(SUM(IF('CO-PO Mapping'!Q$2,$AH90*$AB$29,0),IF('CO-PO Mapping'!Q$3,$AI90*$AC$29,0),IF('CO-PO Mapping'!Q$4,$AJ90*$AD$29,0),IF('CO-PO Mapping'!Q$5,$AK90*$AE$29,0),IF('CO-PO Mapping'!Q$6,$AL90*$AF$29,0),IF('CO-PO Mapping'!Q$7,$AM90*$AG$29,0))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0" s="95" t="str">
        <f>IF('CO-PO Mapping'!R$2, IF(OR($AN90="-",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IF(OR($AP90="-", SUM( IF('CO-PO Mapping'!R$2,$AB$29,0), IF('CO-PO Mapping'!R$3,$AC$29,0), IF('CO-PO Mapping'!R$4,$AD$29,0), IF('CO-PO Mapping'!R$5,$AE$29,0), IF('CO-PO Mapping'!R$6,$AF$29,0), IF('CO-PO Mapping'!R$7,$AG$29,0) )=0), "-", IF( SUM( IF('CO-PO Mapping'!R$2,$AH90*$AB$29,0), IF('CO-PO Mapping'!R$3,$AI90*$AC$29,0), IF('CO-PO Mapping'!R$4,$AJ90*$AD$29,0), IF('CO-PO Mapping'!R$5,$AK90*$AE$29,0), IF('CO-PO Mapping'!R$6,$AL90*$AF$29,0), IF('CO-PO Mapping'!R$7,$AM90*$AG$29,0)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IF('CO-PO Mapping'!R$6, IF(OR($AR90="-",SUM(IF('CO-PO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IF('CO-PO Mapping'!R$7, IF(OR($AS90="-",SUM(IF('CO-PO Mapping'!R$2,$AB$29,0),IF('CO-PO Mapping'!R$3,$AC$29,0),IF('CO-PO Mapping'!R$4,$AD$29,0),IF('CO-PO Mapping'!R$5,$AE$29,0),IF('CO-PO Mapping'!R$6,$AF$29,0),IF('CO-PO Mapping'!R$7,$AG$29,0))=0), "-", IF(SUM(IF('CO-PO Mapping'!R$2,$AH90*$AB$29,0),IF('CO-PO Mapping'!R$3,$AI90*$AC$29,0),IF('CO-PO Mapping'!R$4,$AJ90*$AD$29,0),IF('CO-PO Mapping'!R$5,$AK90*$AE$29,0),IF('CO-PO Mapping'!R$6,$AL90*$AF$29,0),IF('CO-PO Mapping'!R$7,$AM90*$AG$29,0))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0" s="95" t="str">
        <f>IF('CO-PO Mapping'!S$2, IF(OR($AN90="-",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IF(OR($AP90="-", SUM( IF('CO-PO Mapping'!S$2,$AB$29,0), IF('CO-PO Mapping'!S$3,$AC$29,0), IF('CO-PO Mapping'!S$4,$AD$29,0), IF('CO-PO Mapping'!S$5,$AE$29,0), IF('CO-PO Mapping'!S$6,$AF$29,0), IF('CO-PO Mapping'!S$7,$AG$29,0) )=0), "-", IF( SUM( IF('CO-PO Mapping'!S$2,$AH90*$AB$29,0), IF('CO-PO Mapping'!S$3,$AI90*$AC$29,0), IF('CO-PO Mapping'!S$4,$AJ90*$AD$29,0), IF('CO-PO Mapping'!S$5,$AK90*$AE$29,0), IF('CO-PO Mapping'!S$6,$AL90*$AF$29,0), IF('CO-PO Mapping'!S$7,$AM90*$AG$29,0)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IF('CO-PO Mapping'!S$6, IF(OR($AR90="-",SUM(IF('CO-PO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IF('CO-PO Mapping'!S$7, IF(OR($AS90="-",SUM(IF('CO-PO Mapping'!S$2,$AB$29,0),IF('CO-PO Mapping'!S$3,$AC$29,0),IF('CO-PO Mapping'!S$4,$AD$29,0),IF('CO-PO Mapping'!S$5,$AE$29,0),IF('CO-PO Mapping'!S$6,$AF$29,0),IF('CO-PO Mapping'!S$7,$AG$29,0))=0), "-", IF(SUM(IF('CO-PO Mapping'!S$2,$AH90*$AB$29,0),IF('CO-PO Mapping'!S$3,$AI90*$AC$29,0),IF('CO-PO Mapping'!S$4,$AJ90*$AD$29,0),IF('CO-PO Mapping'!S$5,$AK90*$AE$29,0),IF('CO-PO Mapping'!S$6,$AL90*$AF$29,0),IF('CO-PO Mapping'!S$7,$AM90*$AG$29,0))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0" s="95" t="str">
        <f>IF('CO-PO Mapping'!T$2, IF(OR($AN90="-",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IF(OR($AP90="-", SUM( IF('CO-PO Mapping'!T$2,$AB$29,0), IF('CO-PO Mapping'!T$3,$AC$29,0), IF('CO-PO Mapping'!T$4,$AD$29,0), IF('CO-PO Mapping'!T$5,$AE$29,0), IF('CO-PO Mapping'!T$6,$AF$29,0), IF('CO-PO Mapping'!T$7,$AG$29,0) )=0), "-", IF( SUM( IF('CO-PO Mapping'!T$2,$AH90*$AB$29,0), IF('CO-PO Mapping'!T$3,$AI90*$AC$29,0), IF('CO-PO Mapping'!T$4,$AJ90*$AD$29,0), IF('CO-PO Mapping'!T$5,$AK90*$AE$29,0), IF('CO-PO Mapping'!T$6,$AL90*$AF$29,0), IF('CO-PO Mapping'!T$7,$AM90*$AG$29,0)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IF('CO-PO Mapping'!T$6, IF(OR($AR90="-",SUM(IF('CO-PO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IF('CO-PO Mapping'!T$7, IF(OR($AS90="-",SUM(IF('CO-PO Mapping'!T$2,$AB$29,0),IF('CO-PO Mapping'!T$3,$AC$29,0),IF('CO-PO Mapping'!T$4,$AD$29,0),IF('CO-PO Mapping'!T$5,$AE$29,0),IF('CO-PO Mapping'!T$6,$AF$29,0),IF('CO-PO Mapping'!T$7,$AG$29,0))=0), "-", IF(SUM(IF('CO-PO Mapping'!T$2,$AH90*$AB$29,0),IF('CO-PO Mapping'!T$3,$AI90*$AC$29,0),IF('CO-PO Mapping'!T$4,$AJ90*$AD$29,0),IF('CO-PO Mapping'!T$5,$AK90*$AE$29,0),IF('CO-PO Mapping'!T$6,$AL90*$AF$29,0),IF('CO-PO Mapping'!T$7,$AM90*$AG$29,0))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0" s="95" t="str">
        <f>IF('CO-PO Mapping'!U$2, IF(OR($AN90="-",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IF(OR($AP90="-", SUM( IF('CO-PO Mapping'!U$2,$AB$29,0), IF('CO-PO Mapping'!U$3,$AC$29,0), IF('CO-PO Mapping'!U$4,$AD$29,0), IF('CO-PO Mapping'!U$5,$AE$29,0), IF('CO-PO Mapping'!U$6,$AF$29,0), IF('CO-PO Mapping'!U$7,$AG$29,0) )=0), "-", IF( SUM( IF('CO-PO Mapping'!U$2,$AH90*$AB$29,0), IF('CO-PO Mapping'!U$3,$AI90*$AC$29,0), IF('CO-PO Mapping'!U$4,$AJ90*$AD$29,0), IF('CO-PO Mapping'!U$5,$AK90*$AE$29,0), IF('CO-PO Mapping'!U$6,$AL90*$AF$29,0), IF('CO-PO Mapping'!U$7,$AM90*$AG$29,0)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IF('CO-PO Mapping'!U$6, IF(OR($AR90="-",SUM(IF('CO-PO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IF('CO-PO Mapping'!U$7, IF(OR($AS90="-",SUM(IF('CO-PO Mapping'!U$2,$AB$29,0),IF('CO-PO Mapping'!U$3,$AC$29,0),IF('CO-PO Mapping'!U$4,$AD$29,0),IF('CO-PO Mapping'!U$5,$AE$29,0),IF('CO-PO Mapping'!U$6,$AF$29,0),IF('CO-PO Mapping'!U$7,$AG$29,0))=0), "-", IF(SUM(IF('CO-PO Mapping'!U$2,$AH90*$AB$29,0),IF('CO-PO Mapping'!U$3,$AI90*$AC$29,0),IF('CO-PO Mapping'!U$4,$AJ90*$AD$29,0),IF('CO-PO Mapping'!U$5,$AK90*$AE$29,0),IF('CO-PO Mapping'!U$6,$AL90*$AF$29,0),IF('CO-PO Mapping'!U$7,$AM90*$AG$29,0))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0" s="95" t="str">
        <f>IF('CO-PO Mapping'!V$2, IF(OR($AN90="-",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IF(OR($AP90="-", SUM( IF('CO-PO Mapping'!V$2,$AB$29,0), IF('CO-PO Mapping'!V$3,$AC$29,0), IF('CO-PO Mapping'!V$4,$AD$29,0), IF('CO-PO Mapping'!V$5,$AE$29,0), IF('CO-PO Mapping'!V$6,$AF$29,0), IF('CO-PO Mapping'!V$7,$AG$29,0) )=0), "-", IF( SUM( IF('CO-PO Mapping'!V$2,$AH90*$AB$29,0), IF('CO-PO Mapping'!V$3,$AI90*$AC$29,0), IF('CO-PO Mapping'!V$4,$AJ90*$AD$29,0), IF('CO-PO Mapping'!V$5,$AK90*$AE$29,0), IF('CO-PO Mapping'!V$6,$AL90*$AF$29,0), IF('CO-PO Mapping'!V$7,$AM90*$AG$29,0)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IF('CO-PO Mapping'!V$6, IF(OR($AR90="-",SUM(IF('CO-PO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IF('CO-PO Mapping'!V$7, IF(OR($AS90="-",SUM(IF('CO-PO Mapping'!V$2,$AB$29,0),IF('CO-PO Mapping'!V$3,$AC$29,0),IF('CO-PO Mapping'!V$4,$AD$29,0),IF('CO-PO Mapping'!V$5,$AE$29,0),IF('CO-PO Mapping'!V$6,$AF$29,0),IF('CO-PO Mapping'!V$7,$AG$29,0))=0), "-", IF(SUM(IF('CO-PO Mapping'!V$2,$AH90*$AB$29,0),IF('CO-PO Mapping'!V$3,$AI90*$AC$29,0),IF('CO-PO Mapping'!V$4,$AJ90*$AD$29,0),IF('CO-PO Mapping'!V$5,$AK90*$AE$29,0),IF('CO-PO Mapping'!V$6,$AL90*$AF$29,0),IF('CO-PO Mapping'!V$7,$AM90*$AG$29,0))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0" s="95" t="str">
        <f>IF('CO-PO Mapping'!W$2, IF(OR($AN90="-",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IF(OR($AP90="-", SUM( IF('CO-PO Mapping'!W$2,$AB$29,0), IF('CO-PO Mapping'!W$3,$AC$29,0), IF('CO-PO Mapping'!W$4,$AD$29,0), IF('CO-PO Mapping'!W$5,$AE$29,0), IF('CO-PO Mapping'!W$6,$AF$29,0), IF('CO-PO Mapping'!W$7,$AG$29,0) )=0), "-", IF( SUM( IF('CO-PO Mapping'!W$2,$AH90*$AB$29,0), IF('CO-PO Mapping'!W$3,$AI90*$AC$29,0), IF('CO-PO Mapping'!W$4,$AJ90*$AD$29,0), IF('CO-PO Mapping'!W$5,$AK90*$AE$29,0), IF('CO-PO Mapping'!W$6,$AL90*$AF$29,0), IF('CO-PO Mapping'!W$7,$AM90*$AG$29,0)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IF('CO-PO Mapping'!W$6, IF(OR($AR90="-",SUM(IF('CO-PO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IF('CO-PO Mapping'!W$7, IF(OR($AS90="-",SUM(IF('CO-PO Mapping'!W$2,$AB$29,0),IF('CO-PO Mapping'!W$3,$AC$29,0),IF('CO-PO Mapping'!W$4,$AD$29,0),IF('CO-PO Mapping'!W$5,$AE$29,0),IF('CO-PO Mapping'!W$6,$AF$29,0),IF('CO-PO Mapping'!W$7,$AG$29,0))=0), "-", IF(SUM(IF('CO-PO Mapping'!W$2,$AH90*$AB$29,0),IF('CO-PO Mapping'!W$3,$AI90*$AC$29,0),IF('CO-PO Mapping'!W$4,$AJ90*$AD$29,0),IF('CO-PO Mapping'!W$5,$AK90*$AE$29,0),IF('CO-PO Mapping'!W$6,$AL90*$AF$29,0),IF('CO-PO Mapping'!W$7,$AM90*$AG$29,0))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0" s="95" t="str">
        <f>IF('CO-PO Mapping'!X$2, IF(OR($AN90="-",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IF(OR($AP90="-", SUM( IF('CO-PO Mapping'!X$2,$AB$29,0), IF('CO-PO Mapping'!X$3,$AC$29,0), IF('CO-PO Mapping'!X$4,$AD$29,0), IF('CO-PO Mapping'!X$5,$AE$29,0), IF('CO-PO Mapping'!X$6,$AF$29,0), IF('CO-PO Mapping'!X$7,$AG$29,0) )=0), "-", IF( SUM( IF('CO-PO Mapping'!X$2,$AH90*$AB$29,0), IF('CO-PO Mapping'!X$3,$AI90*$AC$29,0), IF('CO-PO Mapping'!X$4,$AJ90*$AD$29,0), IF('CO-PO Mapping'!X$5,$AK90*$AE$29,0), IF('CO-PO Mapping'!X$6,$AL90*$AF$29,0), IF('CO-PO Mapping'!X$7,$AM90*$AG$29,0)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IF('CO-PO Mapping'!X$6, IF(OR($AR90="-",SUM(IF('CO-PO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IF('CO-PO Mapping'!X$7, IF(OR($AS90="-",SUM(IF('CO-PO Mapping'!X$2,$AB$29,0),IF('CO-PO Mapping'!X$3,$AC$29,0),IF('CO-PO Mapping'!X$4,$AD$29,0),IF('CO-PO Mapping'!X$5,$AE$29,0),IF('CO-PO Mapping'!X$6,$AF$29,0),IF('CO-PO Mapping'!X$7,$AG$29,0))=0), "-", IF(SUM(IF('CO-PO Mapping'!X$2,$AH90*$AB$29,0),IF('CO-PO Mapping'!X$3,$AI90*$AC$29,0),IF('CO-PO Mapping'!X$4,$AJ90*$AD$29,0),IF('CO-PO Mapping'!X$5,$AK90*$AE$29,0),IF('CO-PO Mapping'!X$6,$AL90*$AF$29,0),IF('CO-PO Mapping'!X$7,$AM90*$AG$29,0))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0" s="95" t="str">
        <f>IF('CO-PO Mapping'!Y$2, IF(OR($AN90="-",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IF(OR($AP90="-", SUM( IF('CO-PO Mapping'!Y$2,$AB$29,0), IF('CO-PO Mapping'!Y$3,$AC$29,0), IF('CO-PO Mapping'!Y$4,$AD$29,0), IF('CO-PO Mapping'!Y$5,$AE$29,0), IF('CO-PO Mapping'!Y$6,$AF$29,0), IF('CO-PO Mapping'!Y$7,$AG$29,0) )=0), "-", IF( SUM( IF('CO-PO Mapping'!Y$2,$AH90*$AB$29,0), IF('CO-PO Mapping'!Y$3,$AI90*$AC$29,0), IF('CO-PO Mapping'!Y$4,$AJ90*$AD$29,0), IF('CO-PO Mapping'!Y$5,$AK90*$AE$29,0), IF('CO-PO Mapping'!Y$6,$AL90*$AF$29,0), IF('CO-PO Mapping'!Y$7,$AM90*$AG$29,0)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IF('CO-PO Mapping'!Y$6, IF(OR($AR90="-",SUM(IF('CO-PO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IF('CO-PO Mapping'!Y$7, IF(OR($AS90="-",SUM(IF('CO-PO Mapping'!Y$2,$AB$29,0),IF('CO-PO Mapping'!Y$3,$AC$29,0),IF('CO-PO Mapping'!Y$4,$AD$29,0),IF('CO-PO Mapping'!Y$5,$AE$29,0),IF('CO-PO Mapping'!Y$6,$AF$29,0),IF('CO-PO Mapping'!Y$7,$AG$29,0))=0), "-", IF(SUM(IF('CO-PO Mapping'!Y$2,$AH90*$AB$29,0),IF('CO-PO Mapping'!Y$3,$AI90*$AC$29,0),IF('CO-PO Mapping'!Y$4,$AJ90*$AD$29,0),IF('CO-PO Mapping'!Y$5,$AK90*$AE$29,0),IF('CO-PO Mapping'!Y$6,$AL90*$AF$29,0),IF('CO-PO Mapping'!Y$7,$AM90*$AG$29,0))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0" s="95" t="str">
        <f>IF('CO-PO Mapping'!Z$2, IF(OR($AN90="-",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IF(OR($AP90="-", SUM( IF('CO-PO Mapping'!Z$2,$AB$29,0), IF('CO-PO Mapping'!Z$3,$AC$29,0), IF('CO-PO Mapping'!Z$4,$AD$29,0), IF('CO-PO Mapping'!Z$5,$AE$29,0), IF('CO-PO Mapping'!Z$6,$AF$29,0), IF('CO-PO Mapping'!Z$7,$AG$29,0) )=0), "-", IF( SUM( IF('CO-PO Mapping'!Z$2,$AH90*$AB$29,0), IF('CO-PO Mapping'!Z$3,$AI90*$AC$29,0), IF('CO-PO Mapping'!Z$4,$AJ90*$AD$29,0), IF('CO-PO Mapping'!Z$5,$AK90*$AE$29,0), IF('CO-PO Mapping'!Z$6,$AL90*$AF$29,0), IF('CO-PO Mapping'!Z$7,$AM90*$AG$29,0)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IF('CO-PO Mapping'!Z$6, IF(OR($AR90="-",SUM(IF('CO-PO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IF('CO-PO Mapping'!Z$7, IF(OR($AS90="-",SUM(IF('CO-PO Mapping'!Z$2,$AB$29,0),IF('CO-PO Mapping'!Z$3,$AC$29,0),IF('CO-PO Mapping'!Z$4,$AD$29,0),IF('CO-PO Mapping'!Z$5,$AE$29,0),IF('CO-PO Mapping'!Z$6,$AF$29,0),IF('CO-PO Mapping'!Z$7,$AG$29,0))=0), "-", IF(SUM(IF('CO-PO Mapping'!Z$2,$AH90*$AB$29,0),IF('CO-PO Mapping'!Z$3,$AI90*$AC$29,0),IF('CO-PO Mapping'!Z$4,$AJ90*$AD$29,0),IF('CO-PO Mapping'!Z$5,$AK90*$AE$29,0),IF('CO-PO Mapping'!Z$6,$AL90*$AF$29,0),IF('CO-PO Mapping'!Z$7,$AM90*$AG$29,0))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1" spans="1:57" ht="15" customHeight="1">
      <c r="A91" s="88"/>
      <c r="B91" s="85"/>
      <c r="C91" s="74"/>
      <c r="D91" s="74"/>
      <c r="E91" s="75"/>
      <c r="F91" s="75"/>
      <c r="G91" s="75"/>
      <c r="H91" s="103" t="str">
        <f t="shared" si="29"/>
        <v>-</v>
      </c>
      <c r="I91" s="75"/>
      <c r="J91" s="75"/>
      <c r="K91" s="75"/>
      <c r="L91" s="75"/>
      <c r="M91" s="75"/>
      <c r="N91" s="75"/>
      <c r="O91" s="105" t="str">
        <f t="shared" si="30"/>
        <v>-</v>
      </c>
      <c r="P91" s="75"/>
      <c r="Q91" s="75"/>
      <c r="R91" s="75"/>
      <c r="S91" s="75"/>
      <c r="T91" s="75"/>
      <c r="U91" s="75"/>
      <c r="V91" s="104" t="str">
        <f t="shared" si="31"/>
        <v>-</v>
      </c>
      <c r="W91" s="83" t="str">
        <f t="shared" si="28"/>
        <v>-</v>
      </c>
      <c r="X91" s="98" t="str">
        <f t="shared" si="32"/>
        <v>-</v>
      </c>
      <c r="Z91" s="42" t="str">
        <f t="shared" si="26"/>
        <v/>
      </c>
      <c r="AA91" s="43" t="str">
        <f t="shared" si="27"/>
        <v/>
      </c>
      <c r="AB91" s="90">
        <f t="shared" si="11"/>
        <v>0</v>
      </c>
      <c r="AC91" s="90">
        <f t="shared" si="11"/>
        <v>0</v>
      </c>
      <c r="AD91" s="90">
        <f t="shared" si="11"/>
        <v>0</v>
      </c>
      <c r="AE91" s="90">
        <f t="shared" si="11"/>
        <v>0</v>
      </c>
      <c r="AF91" s="90">
        <f t="shared" si="33"/>
        <v>0</v>
      </c>
      <c r="AG91" s="90">
        <f t="shared" si="25"/>
        <v>0</v>
      </c>
      <c r="AH91" s="92">
        <f t="shared" si="12"/>
        <v>0</v>
      </c>
      <c r="AI91" s="92">
        <f t="shared" si="13"/>
        <v>0</v>
      </c>
      <c r="AJ91" s="92">
        <f t="shared" si="14"/>
        <v>0</v>
      </c>
      <c r="AK91" s="92">
        <f t="shared" si="22"/>
        <v>0</v>
      </c>
      <c r="AL91" s="92">
        <f t="shared" si="15"/>
        <v>0</v>
      </c>
      <c r="AM91" s="92">
        <f t="shared" si="16"/>
        <v>0</v>
      </c>
      <c r="AN91" s="93" t="str">
        <f t="shared" si="23"/>
        <v>-</v>
      </c>
      <c r="AO91" s="93" t="str">
        <f t="shared" si="17"/>
        <v>-</v>
      </c>
      <c r="AP91" s="93" t="str">
        <f t="shared" si="18"/>
        <v>-</v>
      </c>
      <c r="AQ91" s="93" t="str">
        <f t="shared" si="19"/>
        <v>-</v>
      </c>
      <c r="AR91" s="93" t="str">
        <f t="shared" si="20"/>
        <v>-</v>
      </c>
      <c r="AS91" s="93" t="str">
        <f t="shared" si="21"/>
        <v>-</v>
      </c>
      <c r="AT91" s="95" t="str">
        <f>IF('CO-PO Mapping'!O$2, IF(OR($AN91="-",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IF(OR($AP91="-", SUM( IF('CO-PO Mapping'!O$2,$AB$29,0), IF('CO-PO Mapping'!O$3,$AC$29,0), IF('CO-PO Mapping'!O$4,$AD$29,0), IF('CO-PO Mapping'!O$5,$AE$29,0), IF('CO-PO Mapping'!O$6,$AF$29,0), IF('CO-PO Mapping'!O$7,$AG$29,0) )=0), "-", IF( SUM( IF('CO-PO Mapping'!O$2,$AH91*$AB$29,0), IF('CO-PO Mapping'!O$3,$AI91*$AC$29,0), IF('CO-PO Mapping'!O$4,$AJ91*$AD$29,0), IF('CO-PO Mapping'!O$5,$AK91*$AE$29,0), IF('CO-PO Mapping'!O$6,$AL91*$AF$29,0), IF('CO-PO Mapping'!O$7,$AM91*$AG$29,0)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IF('CO-PO Mapping'!O$6, IF(OR($AR91="-",SUM(IF('CO-PO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IF('CO-PO Mapping'!O$7, IF(OR($AS91="-",SUM(IF('CO-PO Mapping'!O$2,$AB$29,0),IF('CO-PO Mapping'!O$3,$AC$29,0),IF('CO-PO Mapping'!O$4,$AD$29,0),IF('CO-PO Mapping'!O$5,$AE$29,0),IF('CO-PO Mapping'!O$6,$AF$29,0),IF('CO-PO Mapping'!O$7,$AG$29,0))=0), "-", IF(SUM(IF('CO-PO Mapping'!O$2,$AH91*$AB$29,0),IF('CO-PO Mapping'!O$3,$AI91*$AC$29,0),IF('CO-PO Mapping'!O$4,$AJ91*$AD$29,0),IF('CO-PO Mapping'!O$5,$AK91*$AE$29,0),IF('CO-PO Mapping'!O$6,$AL91*$AF$29,0),IF('CO-PO Mapping'!O$7,$AM91*$AG$29,0))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1" s="95" t="str">
        <f>IF('CO-PO Mapping'!P$2, IF(OR($AN91="-",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IF(OR($AP91="-", SUM( IF('CO-PO Mapping'!P$2,$AB$29,0), IF('CO-PO Mapping'!P$3,$AC$29,0), IF('CO-PO Mapping'!P$4,$AD$29,0), IF('CO-PO Mapping'!P$5,$AE$29,0), IF('CO-PO Mapping'!P$6,$AF$29,0), IF('CO-PO Mapping'!P$7,$AG$29,0) )=0), "-", IF( SUM( IF('CO-PO Mapping'!P$2,$AH91*$AB$29,0), IF('CO-PO Mapping'!P$3,$AI91*$AC$29,0), IF('CO-PO Mapping'!P$4,$AJ91*$AD$29,0), IF('CO-PO Mapping'!P$5,$AK91*$AE$29,0), IF('CO-PO Mapping'!P$6,$AL91*$AF$29,0), IF('CO-PO Mapping'!P$7,$AM91*$AG$29,0)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IF('CO-PO Mapping'!P$6, IF(OR($AR91="-",SUM(IF('CO-PO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IF('CO-PO Mapping'!P$7, IF(OR($AS91="-",SUM(IF('CO-PO Mapping'!P$2,$AB$29,0),IF('CO-PO Mapping'!P$3,$AC$29,0),IF('CO-PO Mapping'!P$4,$AD$29,0),IF('CO-PO Mapping'!P$5,$AE$29,0),IF('CO-PO Mapping'!P$6,$AF$29,0),IF('CO-PO Mapping'!P$7,$AG$29,0))=0), "-", IF(SUM(IF('CO-PO Mapping'!P$2,$AH91*$AB$29,0),IF('CO-PO Mapping'!P$3,$AI91*$AC$29,0),IF('CO-PO Mapping'!P$4,$AJ91*$AD$29,0),IF('CO-PO Mapping'!P$5,$AK91*$AE$29,0),IF('CO-PO Mapping'!P$6,$AL91*$AF$29,0),IF('CO-PO Mapping'!P$7,$AM91*$AG$29,0))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1" s="95" t="str">
        <f>IF('CO-PO Mapping'!Q$2, IF(OR($AN91="-",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IF(OR($AP91="-", SUM( IF('CO-PO Mapping'!Q$2,$AB$29,0), IF('CO-PO Mapping'!Q$3,$AC$29,0), IF('CO-PO Mapping'!Q$4,$AD$29,0), IF('CO-PO Mapping'!Q$5,$AE$29,0), IF('CO-PO Mapping'!Q$6,$AF$29,0), IF('CO-PO Mapping'!Q$7,$AG$29,0) )=0), "-", IF( SUM( IF('CO-PO Mapping'!Q$2,$AH91*$AB$29,0), IF('CO-PO Mapping'!Q$3,$AI91*$AC$29,0), IF('CO-PO Mapping'!Q$4,$AJ91*$AD$29,0), IF('CO-PO Mapping'!Q$5,$AK91*$AE$29,0), IF('CO-PO Mapping'!Q$6,$AL91*$AF$29,0), IF('CO-PO Mapping'!Q$7,$AM91*$AG$29,0)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IF('CO-PO Mapping'!Q$6, IF(OR($AR91="-",SUM(IF('CO-PO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IF('CO-PO Mapping'!Q$7, IF(OR($AS91="-",SUM(IF('CO-PO Mapping'!Q$2,$AB$29,0),IF('CO-PO Mapping'!Q$3,$AC$29,0),IF('CO-PO Mapping'!Q$4,$AD$29,0),IF('CO-PO Mapping'!Q$5,$AE$29,0),IF('CO-PO Mapping'!Q$6,$AF$29,0),IF('CO-PO Mapping'!Q$7,$AG$29,0))=0), "-", IF(SUM(IF('CO-PO Mapping'!Q$2,$AH91*$AB$29,0),IF('CO-PO Mapping'!Q$3,$AI91*$AC$29,0),IF('CO-PO Mapping'!Q$4,$AJ91*$AD$29,0),IF('CO-PO Mapping'!Q$5,$AK91*$AE$29,0),IF('CO-PO Mapping'!Q$6,$AL91*$AF$29,0),IF('CO-PO Mapping'!Q$7,$AM91*$AG$29,0))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1" s="95" t="str">
        <f>IF('CO-PO Mapping'!R$2, IF(OR($AN91="-",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IF(OR($AP91="-", SUM( IF('CO-PO Mapping'!R$2,$AB$29,0), IF('CO-PO Mapping'!R$3,$AC$29,0), IF('CO-PO Mapping'!R$4,$AD$29,0), IF('CO-PO Mapping'!R$5,$AE$29,0), IF('CO-PO Mapping'!R$6,$AF$29,0), IF('CO-PO Mapping'!R$7,$AG$29,0) )=0), "-", IF( SUM( IF('CO-PO Mapping'!R$2,$AH91*$AB$29,0), IF('CO-PO Mapping'!R$3,$AI91*$AC$29,0), IF('CO-PO Mapping'!R$4,$AJ91*$AD$29,0), IF('CO-PO Mapping'!R$5,$AK91*$AE$29,0), IF('CO-PO Mapping'!R$6,$AL91*$AF$29,0), IF('CO-PO Mapping'!R$7,$AM91*$AG$29,0)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IF('CO-PO Mapping'!R$6, IF(OR($AR91="-",SUM(IF('CO-PO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IF('CO-PO Mapping'!R$7, IF(OR($AS91="-",SUM(IF('CO-PO Mapping'!R$2,$AB$29,0),IF('CO-PO Mapping'!R$3,$AC$29,0),IF('CO-PO Mapping'!R$4,$AD$29,0),IF('CO-PO Mapping'!R$5,$AE$29,0),IF('CO-PO Mapping'!R$6,$AF$29,0),IF('CO-PO Mapping'!R$7,$AG$29,0))=0), "-", IF(SUM(IF('CO-PO Mapping'!R$2,$AH91*$AB$29,0),IF('CO-PO Mapping'!R$3,$AI91*$AC$29,0),IF('CO-PO Mapping'!R$4,$AJ91*$AD$29,0),IF('CO-PO Mapping'!R$5,$AK91*$AE$29,0),IF('CO-PO Mapping'!R$6,$AL91*$AF$29,0),IF('CO-PO Mapping'!R$7,$AM91*$AG$29,0))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1" s="95" t="str">
        <f>IF('CO-PO Mapping'!S$2, IF(OR($AN91="-",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IF(OR($AP91="-", SUM( IF('CO-PO Mapping'!S$2,$AB$29,0), IF('CO-PO Mapping'!S$3,$AC$29,0), IF('CO-PO Mapping'!S$4,$AD$29,0), IF('CO-PO Mapping'!S$5,$AE$29,0), IF('CO-PO Mapping'!S$6,$AF$29,0), IF('CO-PO Mapping'!S$7,$AG$29,0) )=0), "-", IF( SUM( IF('CO-PO Mapping'!S$2,$AH91*$AB$29,0), IF('CO-PO Mapping'!S$3,$AI91*$AC$29,0), IF('CO-PO Mapping'!S$4,$AJ91*$AD$29,0), IF('CO-PO Mapping'!S$5,$AK91*$AE$29,0), IF('CO-PO Mapping'!S$6,$AL91*$AF$29,0), IF('CO-PO Mapping'!S$7,$AM91*$AG$29,0)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IF('CO-PO Mapping'!S$6, IF(OR($AR91="-",SUM(IF('CO-PO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IF('CO-PO Mapping'!S$7, IF(OR($AS91="-",SUM(IF('CO-PO Mapping'!S$2,$AB$29,0),IF('CO-PO Mapping'!S$3,$AC$29,0),IF('CO-PO Mapping'!S$4,$AD$29,0),IF('CO-PO Mapping'!S$5,$AE$29,0),IF('CO-PO Mapping'!S$6,$AF$29,0),IF('CO-PO Mapping'!S$7,$AG$29,0))=0), "-", IF(SUM(IF('CO-PO Mapping'!S$2,$AH91*$AB$29,0),IF('CO-PO Mapping'!S$3,$AI91*$AC$29,0),IF('CO-PO Mapping'!S$4,$AJ91*$AD$29,0),IF('CO-PO Mapping'!S$5,$AK91*$AE$29,0),IF('CO-PO Mapping'!S$6,$AL91*$AF$29,0),IF('CO-PO Mapping'!S$7,$AM91*$AG$29,0))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1" s="95" t="str">
        <f>IF('CO-PO Mapping'!T$2, IF(OR($AN91="-",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IF(OR($AP91="-", SUM( IF('CO-PO Mapping'!T$2,$AB$29,0), IF('CO-PO Mapping'!T$3,$AC$29,0), IF('CO-PO Mapping'!T$4,$AD$29,0), IF('CO-PO Mapping'!T$5,$AE$29,0), IF('CO-PO Mapping'!T$6,$AF$29,0), IF('CO-PO Mapping'!T$7,$AG$29,0) )=0), "-", IF( SUM( IF('CO-PO Mapping'!T$2,$AH91*$AB$29,0), IF('CO-PO Mapping'!T$3,$AI91*$AC$29,0), IF('CO-PO Mapping'!T$4,$AJ91*$AD$29,0), IF('CO-PO Mapping'!T$5,$AK91*$AE$29,0), IF('CO-PO Mapping'!T$6,$AL91*$AF$29,0), IF('CO-PO Mapping'!T$7,$AM91*$AG$29,0)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IF('CO-PO Mapping'!T$6, IF(OR($AR91="-",SUM(IF('CO-PO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IF('CO-PO Mapping'!T$7, IF(OR($AS91="-",SUM(IF('CO-PO Mapping'!T$2,$AB$29,0),IF('CO-PO Mapping'!T$3,$AC$29,0),IF('CO-PO Mapping'!T$4,$AD$29,0),IF('CO-PO Mapping'!T$5,$AE$29,0),IF('CO-PO Mapping'!T$6,$AF$29,0),IF('CO-PO Mapping'!T$7,$AG$29,0))=0), "-", IF(SUM(IF('CO-PO Mapping'!T$2,$AH91*$AB$29,0),IF('CO-PO Mapping'!T$3,$AI91*$AC$29,0),IF('CO-PO Mapping'!T$4,$AJ91*$AD$29,0),IF('CO-PO Mapping'!T$5,$AK91*$AE$29,0),IF('CO-PO Mapping'!T$6,$AL91*$AF$29,0),IF('CO-PO Mapping'!T$7,$AM91*$AG$29,0))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1" s="95" t="str">
        <f>IF('CO-PO Mapping'!U$2, IF(OR($AN91="-",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IF(OR($AP91="-", SUM( IF('CO-PO Mapping'!U$2,$AB$29,0), IF('CO-PO Mapping'!U$3,$AC$29,0), IF('CO-PO Mapping'!U$4,$AD$29,0), IF('CO-PO Mapping'!U$5,$AE$29,0), IF('CO-PO Mapping'!U$6,$AF$29,0), IF('CO-PO Mapping'!U$7,$AG$29,0) )=0), "-", IF( SUM( IF('CO-PO Mapping'!U$2,$AH91*$AB$29,0), IF('CO-PO Mapping'!U$3,$AI91*$AC$29,0), IF('CO-PO Mapping'!U$4,$AJ91*$AD$29,0), IF('CO-PO Mapping'!U$5,$AK91*$AE$29,0), IF('CO-PO Mapping'!U$6,$AL91*$AF$29,0), IF('CO-PO Mapping'!U$7,$AM91*$AG$29,0)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IF('CO-PO Mapping'!U$6, IF(OR($AR91="-",SUM(IF('CO-PO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IF('CO-PO Mapping'!U$7, IF(OR($AS91="-",SUM(IF('CO-PO Mapping'!U$2,$AB$29,0),IF('CO-PO Mapping'!U$3,$AC$29,0),IF('CO-PO Mapping'!U$4,$AD$29,0),IF('CO-PO Mapping'!U$5,$AE$29,0),IF('CO-PO Mapping'!U$6,$AF$29,0),IF('CO-PO Mapping'!U$7,$AG$29,0))=0), "-", IF(SUM(IF('CO-PO Mapping'!U$2,$AH91*$AB$29,0),IF('CO-PO Mapping'!U$3,$AI91*$AC$29,0),IF('CO-PO Mapping'!U$4,$AJ91*$AD$29,0),IF('CO-PO Mapping'!U$5,$AK91*$AE$29,0),IF('CO-PO Mapping'!U$6,$AL91*$AF$29,0),IF('CO-PO Mapping'!U$7,$AM91*$AG$29,0))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1" s="95" t="str">
        <f>IF('CO-PO Mapping'!V$2, IF(OR($AN91="-",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IF(OR($AP91="-", SUM( IF('CO-PO Mapping'!V$2,$AB$29,0), IF('CO-PO Mapping'!V$3,$AC$29,0), IF('CO-PO Mapping'!V$4,$AD$29,0), IF('CO-PO Mapping'!V$5,$AE$29,0), IF('CO-PO Mapping'!V$6,$AF$29,0), IF('CO-PO Mapping'!V$7,$AG$29,0) )=0), "-", IF( SUM( IF('CO-PO Mapping'!V$2,$AH91*$AB$29,0), IF('CO-PO Mapping'!V$3,$AI91*$AC$29,0), IF('CO-PO Mapping'!V$4,$AJ91*$AD$29,0), IF('CO-PO Mapping'!V$5,$AK91*$AE$29,0), IF('CO-PO Mapping'!V$6,$AL91*$AF$29,0), IF('CO-PO Mapping'!V$7,$AM91*$AG$29,0)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IF('CO-PO Mapping'!V$6, IF(OR($AR91="-",SUM(IF('CO-PO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IF('CO-PO Mapping'!V$7, IF(OR($AS91="-",SUM(IF('CO-PO Mapping'!V$2,$AB$29,0),IF('CO-PO Mapping'!V$3,$AC$29,0),IF('CO-PO Mapping'!V$4,$AD$29,0),IF('CO-PO Mapping'!V$5,$AE$29,0),IF('CO-PO Mapping'!V$6,$AF$29,0),IF('CO-PO Mapping'!V$7,$AG$29,0))=0), "-", IF(SUM(IF('CO-PO Mapping'!V$2,$AH91*$AB$29,0),IF('CO-PO Mapping'!V$3,$AI91*$AC$29,0),IF('CO-PO Mapping'!V$4,$AJ91*$AD$29,0),IF('CO-PO Mapping'!V$5,$AK91*$AE$29,0),IF('CO-PO Mapping'!V$6,$AL91*$AF$29,0),IF('CO-PO Mapping'!V$7,$AM91*$AG$29,0))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1" s="95" t="str">
        <f>IF('CO-PO Mapping'!W$2, IF(OR($AN91="-",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IF(OR($AP91="-", SUM( IF('CO-PO Mapping'!W$2,$AB$29,0), IF('CO-PO Mapping'!W$3,$AC$29,0), IF('CO-PO Mapping'!W$4,$AD$29,0), IF('CO-PO Mapping'!W$5,$AE$29,0), IF('CO-PO Mapping'!W$6,$AF$29,0), IF('CO-PO Mapping'!W$7,$AG$29,0) )=0), "-", IF( SUM( IF('CO-PO Mapping'!W$2,$AH91*$AB$29,0), IF('CO-PO Mapping'!W$3,$AI91*$AC$29,0), IF('CO-PO Mapping'!W$4,$AJ91*$AD$29,0), IF('CO-PO Mapping'!W$5,$AK91*$AE$29,0), IF('CO-PO Mapping'!W$6,$AL91*$AF$29,0), IF('CO-PO Mapping'!W$7,$AM91*$AG$29,0)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IF('CO-PO Mapping'!W$6, IF(OR($AR91="-",SUM(IF('CO-PO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IF('CO-PO Mapping'!W$7, IF(OR($AS91="-",SUM(IF('CO-PO Mapping'!W$2,$AB$29,0),IF('CO-PO Mapping'!W$3,$AC$29,0),IF('CO-PO Mapping'!W$4,$AD$29,0),IF('CO-PO Mapping'!W$5,$AE$29,0),IF('CO-PO Mapping'!W$6,$AF$29,0),IF('CO-PO Mapping'!W$7,$AG$29,0))=0), "-", IF(SUM(IF('CO-PO Mapping'!W$2,$AH91*$AB$29,0),IF('CO-PO Mapping'!W$3,$AI91*$AC$29,0),IF('CO-PO Mapping'!W$4,$AJ91*$AD$29,0),IF('CO-PO Mapping'!W$5,$AK91*$AE$29,0),IF('CO-PO Mapping'!W$6,$AL91*$AF$29,0),IF('CO-PO Mapping'!W$7,$AM91*$AG$29,0))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1" s="95" t="str">
        <f>IF('CO-PO Mapping'!X$2, IF(OR($AN91="-",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IF(OR($AP91="-", SUM( IF('CO-PO Mapping'!X$2,$AB$29,0), IF('CO-PO Mapping'!X$3,$AC$29,0), IF('CO-PO Mapping'!X$4,$AD$29,0), IF('CO-PO Mapping'!X$5,$AE$29,0), IF('CO-PO Mapping'!X$6,$AF$29,0), IF('CO-PO Mapping'!X$7,$AG$29,0) )=0), "-", IF( SUM( IF('CO-PO Mapping'!X$2,$AH91*$AB$29,0), IF('CO-PO Mapping'!X$3,$AI91*$AC$29,0), IF('CO-PO Mapping'!X$4,$AJ91*$AD$29,0), IF('CO-PO Mapping'!X$5,$AK91*$AE$29,0), IF('CO-PO Mapping'!X$6,$AL91*$AF$29,0), IF('CO-PO Mapping'!X$7,$AM91*$AG$29,0)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IF('CO-PO Mapping'!X$6, IF(OR($AR91="-",SUM(IF('CO-PO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IF('CO-PO Mapping'!X$7, IF(OR($AS91="-",SUM(IF('CO-PO Mapping'!X$2,$AB$29,0),IF('CO-PO Mapping'!X$3,$AC$29,0),IF('CO-PO Mapping'!X$4,$AD$29,0),IF('CO-PO Mapping'!X$5,$AE$29,0),IF('CO-PO Mapping'!X$6,$AF$29,0),IF('CO-PO Mapping'!X$7,$AG$29,0))=0), "-", IF(SUM(IF('CO-PO Mapping'!X$2,$AH91*$AB$29,0),IF('CO-PO Mapping'!X$3,$AI91*$AC$29,0),IF('CO-PO Mapping'!X$4,$AJ91*$AD$29,0),IF('CO-PO Mapping'!X$5,$AK91*$AE$29,0),IF('CO-PO Mapping'!X$6,$AL91*$AF$29,0),IF('CO-PO Mapping'!X$7,$AM91*$AG$29,0))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1" s="95" t="str">
        <f>IF('CO-PO Mapping'!Y$2, IF(OR($AN91="-",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IF(OR($AP91="-", SUM( IF('CO-PO Mapping'!Y$2,$AB$29,0), IF('CO-PO Mapping'!Y$3,$AC$29,0), IF('CO-PO Mapping'!Y$4,$AD$29,0), IF('CO-PO Mapping'!Y$5,$AE$29,0), IF('CO-PO Mapping'!Y$6,$AF$29,0), IF('CO-PO Mapping'!Y$7,$AG$29,0) )=0), "-", IF( SUM( IF('CO-PO Mapping'!Y$2,$AH91*$AB$29,0), IF('CO-PO Mapping'!Y$3,$AI91*$AC$29,0), IF('CO-PO Mapping'!Y$4,$AJ91*$AD$29,0), IF('CO-PO Mapping'!Y$5,$AK91*$AE$29,0), IF('CO-PO Mapping'!Y$6,$AL91*$AF$29,0), IF('CO-PO Mapping'!Y$7,$AM91*$AG$29,0)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IF('CO-PO Mapping'!Y$6, IF(OR($AR91="-",SUM(IF('CO-PO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IF('CO-PO Mapping'!Y$7, IF(OR($AS91="-",SUM(IF('CO-PO Mapping'!Y$2,$AB$29,0),IF('CO-PO Mapping'!Y$3,$AC$29,0),IF('CO-PO Mapping'!Y$4,$AD$29,0),IF('CO-PO Mapping'!Y$5,$AE$29,0),IF('CO-PO Mapping'!Y$6,$AF$29,0),IF('CO-PO Mapping'!Y$7,$AG$29,0))=0), "-", IF(SUM(IF('CO-PO Mapping'!Y$2,$AH91*$AB$29,0),IF('CO-PO Mapping'!Y$3,$AI91*$AC$29,0),IF('CO-PO Mapping'!Y$4,$AJ91*$AD$29,0),IF('CO-PO Mapping'!Y$5,$AK91*$AE$29,0),IF('CO-PO Mapping'!Y$6,$AL91*$AF$29,0),IF('CO-PO Mapping'!Y$7,$AM91*$AG$29,0))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1" s="95" t="str">
        <f>IF('CO-PO Mapping'!Z$2, IF(OR($AN91="-",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IF(OR($AP91="-", SUM( IF('CO-PO Mapping'!Z$2,$AB$29,0), IF('CO-PO Mapping'!Z$3,$AC$29,0), IF('CO-PO Mapping'!Z$4,$AD$29,0), IF('CO-PO Mapping'!Z$5,$AE$29,0), IF('CO-PO Mapping'!Z$6,$AF$29,0), IF('CO-PO Mapping'!Z$7,$AG$29,0) )=0), "-", IF( SUM( IF('CO-PO Mapping'!Z$2,$AH91*$AB$29,0), IF('CO-PO Mapping'!Z$3,$AI91*$AC$29,0), IF('CO-PO Mapping'!Z$4,$AJ91*$AD$29,0), IF('CO-PO Mapping'!Z$5,$AK91*$AE$29,0), IF('CO-PO Mapping'!Z$6,$AL91*$AF$29,0), IF('CO-PO Mapping'!Z$7,$AM91*$AG$29,0)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IF('CO-PO Mapping'!Z$6, IF(OR($AR91="-",SUM(IF('CO-PO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IF('CO-PO Mapping'!Z$7, IF(OR($AS91="-",SUM(IF('CO-PO Mapping'!Z$2,$AB$29,0),IF('CO-PO Mapping'!Z$3,$AC$29,0),IF('CO-PO Mapping'!Z$4,$AD$29,0),IF('CO-PO Mapping'!Z$5,$AE$29,0),IF('CO-PO Mapping'!Z$6,$AF$29,0),IF('CO-PO Mapping'!Z$7,$AG$29,0))=0), "-", IF(SUM(IF('CO-PO Mapping'!Z$2,$AH91*$AB$29,0),IF('CO-PO Mapping'!Z$3,$AI91*$AC$29,0),IF('CO-PO Mapping'!Z$4,$AJ91*$AD$29,0),IF('CO-PO Mapping'!Z$5,$AK91*$AE$29,0),IF('CO-PO Mapping'!Z$6,$AL91*$AF$29,0),IF('CO-PO Mapping'!Z$7,$AM91*$AG$29,0))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2" spans="1:57" ht="15" customHeight="1">
      <c r="A92" s="88"/>
      <c r="B92" s="85"/>
      <c r="C92" s="74"/>
      <c r="D92" s="74"/>
      <c r="E92" s="75"/>
      <c r="F92" s="75"/>
      <c r="G92" s="75"/>
      <c r="H92" s="103" t="str">
        <f t="shared" si="29"/>
        <v>-</v>
      </c>
      <c r="I92" s="75"/>
      <c r="J92" s="75"/>
      <c r="K92" s="75"/>
      <c r="L92" s="75"/>
      <c r="M92" s="75"/>
      <c r="N92" s="75"/>
      <c r="O92" s="105" t="str">
        <f t="shared" si="30"/>
        <v>-</v>
      </c>
      <c r="P92" s="75"/>
      <c r="Q92" s="75"/>
      <c r="R92" s="75"/>
      <c r="S92" s="75"/>
      <c r="T92" s="75"/>
      <c r="U92" s="75"/>
      <c r="V92" s="104" t="str">
        <f t="shared" si="31"/>
        <v>-</v>
      </c>
      <c r="W92" s="83" t="str">
        <f t="shared" si="28"/>
        <v>-</v>
      </c>
      <c r="X92" s="98" t="str">
        <f t="shared" si="32"/>
        <v>-</v>
      </c>
      <c r="Z92" s="42" t="str">
        <f t="shared" si="26"/>
        <v/>
      </c>
      <c r="AA92" s="43" t="str">
        <f t="shared" si="27"/>
        <v/>
      </c>
      <c r="AB92" s="90">
        <f t="shared" si="11"/>
        <v>0</v>
      </c>
      <c r="AC92" s="90">
        <f t="shared" si="11"/>
        <v>0</v>
      </c>
      <c r="AD92" s="90">
        <f t="shared" si="11"/>
        <v>0</v>
      </c>
      <c r="AE92" s="90">
        <f t="shared" si="11"/>
        <v>0</v>
      </c>
      <c r="AF92" s="90">
        <f t="shared" si="33"/>
        <v>0</v>
      </c>
      <c r="AG92" s="90">
        <f t="shared" si="25"/>
        <v>0</v>
      </c>
      <c r="AH92" s="92">
        <f t="shared" si="12"/>
        <v>0</v>
      </c>
      <c r="AI92" s="92">
        <f t="shared" si="13"/>
        <v>0</v>
      </c>
      <c r="AJ92" s="92">
        <f t="shared" si="14"/>
        <v>0</v>
      </c>
      <c r="AK92" s="92">
        <f t="shared" si="22"/>
        <v>0</v>
      </c>
      <c r="AL92" s="92">
        <f t="shared" si="15"/>
        <v>0</v>
      </c>
      <c r="AM92" s="92">
        <f t="shared" si="16"/>
        <v>0</v>
      </c>
      <c r="AN92" s="93" t="str">
        <f t="shared" si="23"/>
        <v>-</v>
      </c>
      <c r="AO92" s="93" t="str">
        <f t="shared" si="17"/>
        <v>-</v>
      </c>
      <c r="AP92" s="93" t="str">
        <f t="shared" si="18"/>
        <v>-</v>
      </c>
      <c r="AQ92" s="93" t="str">
        <f t="shared" si="19"/>
        <v>-</v>
      </c>
      <c r="AR92" s="93" t="str">
        <f t="shared" si="20"/>
        <v>-</v>
      </c>
      <c r="AS92" s="93" t="str">
        <f t="shared" si="21"/>
        <v>-</v>
      </c>
      <c r="AT92" s="95" t="str">
        <f>IF('CO-PO Mapping'!O$2, IF(OR($AN92="-",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IF(OR($AP92="-", SUM( IF('CO-PO Mapping'!O$2,$AB$29,0), IF('CO-PO Mapping'!O$3,$AC$29,0), IF('CO-PO Mapping'!O$4,$AD$29,0), IF('CO-PO Mapping'!O$5,$AE$29,0), IF('CO-PO Mapping'!O$6,$AF$29,0), IF('CO-PO Mapping'!O$7,$AG$29,0) )=0), "-", IF( SUM( IF('CO-PO Mapping'!O$2,$AH92*$AB$29,0), IF('CO-PO Mapping'!O$3,$AI92*$AC$29,0), IF('CO-PO Mapping'!O$4,$AJ92*$AD$29,0), IF('CO-PO Mapping'!O$5,$AK92*$AE$29,0), IF('CO-PO Mapping'!O$6,$AL92*$AF$29,0), IF('CO-PO Mapping'!O$7,$AM92*$AG$29,0)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IF('CO-PO Mapping'!O$6, IF(OR($AR92="-",SUM(IF('CO-PO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IF('CO-PO Mapping'!O$7, IF(OR($AS92="-",SUM(IF('CO-PO Mapping'!O$2,$AB$29,0),IF('CO-PO Mapping'!O$3,$AC$29,0),IF('CO-PO Mapping'!O$4,$AD$29,0),IF('CO-PO Mapping'!O$5,$AE$29,0),IF('CO-PO Mapping'!O$6,$AF$29,0),IF('CO-PO Mapping'!O$7,$AG$29,0))=0), "-", IF(SUM(IF('CO-PO Mapping'!O$2,$AH92*$AB$29,0),IF('CO-PO Mapping'!O$3,$AI92*$AC$29,0),IF('CO-PO Mapping'!O$4,$AJ92*$AD$29,0),IF('CO-PO Mapping'!O$5,$AK92*$AE$29,0),IF('CO-PO Mapping'!O$6,$AL92*$AF$29,0),IF('CO-PO Mapping'!O$7,$AM92*$AG$29,0))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2" s="95" t="str">
        <f>IF('CO-PO Mapping'!P$2, IF(OR($AN92="-",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IF(OR($AP92="-", SUM( IF('CO-PO Mapping'!P$2,$AB$29,0), IF('CO-PO Mapping'!P$3,$AC$29,0), IF('CO-PO Mapping'!P$4,$AD$29,0), IF('CO-PO Mapping'!P$5,$AE$29,0), IF('CO-PO Mapping'!P$6,$AF$29,0), IF('CO-PO Mapping'!P$7,$AG$29,0) )=0), "-", IF( SUM( IF('CO-PO Mapping'!P$2,$AH92*$AB$29,0), IF('CO-PO Mapping'!P$3,$AI92*$AC$29,0), IF('CO-PO Mapping'!P$4,$AJ92*$AD$29,0), IF('CO-PO Mapping'!P$5,$AK92*$AE$29,0), IF('CO-PO Mapping'!P$6,$AL92*$AF$29,0), IF('CO-PO Mapping'!P$7,$AM92*$AG$29,0)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IF('CO-PO Mapping'!P$6, IF(OR($AR92="-",SUM(IF('CO-PO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IF('CO-PO Mapping'!P$7, IF(OR($AS92="-",SUM(IF('CO-PO Mapping'!P$2,$AB$29,0),IF('CO-PO Mapping'!P$3,$AC$29,0),IF('CO-PO Mapping'!P$4,$AD$29,0),IF('CO-PO Mapping'!P$5,$AE$29,0),IF('CO-PO Mapping'!P$6,$AF$29,0),IF('CO-PO Mapping'!P$7,$AG$29,0))=0), "-", IF(SUM(IF('CO-PO Mapping'!P$2,$AH92*$AB$29,0),IF('CO-PO Mapping'!P$3,$AI92*$AC$29,0),IF('CO-PO Mapping'!P$4,$AJ92*$AD$29,0),IF('CO-PO Mapping'!P$5,$AK92*$AE$29,0),IF('CO-PO Mapping'!P$6,$AL92*$AF$29,0),IF('CO-PO Mapping'!P$7,$AM92*$AG$29,0))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2" s="95" t="str">
        <f>IF('CO-PO Mapping'!Q$2, IF(OR($AN92="-",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IF(OR($AP92="-", SUM( IF('CO-PO Mapping'!Q$2,$AB$29,0), IF('CO-PO Mapping'!Q$3,$AC$29,0), IF('CO-PO Mapping'!Q$4,$AD$29,0), IF('CO-PO Mapping'!Q$5,$AE$29,0), IF('CO-PO Mapping'!Q$6,$AF$29,0), IF('CO-PO Mapping'!Q$7,$AG$29,0) )=0), "-", IF( SUM( IF('CO-PO Mapping'!Q$2,$AH92*$AB$29,0), IF('CO-PO Mapping'!Q$3,$AI92*$AC$29,0), IF('CO-PO Mapping'!Q$4,$AJ92*$AD$29,0), IF('CO-PO Mapping'!Q$5,$AK92*$AE$29,0), IF('CO-PO Mapping'!Q$6,$AL92*$AF$29,0), IF('CO-PO Mapping'!Q$7,$AM92*$AG$29,0)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IF('CO-PO Mapping'!Q$6, IF(OR($AR92="-",SUM(IF('CO-PO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IF('CO-PO Mapping'!Q$7, IF(OR($AS92="-",SUM(IF('CO-PO Mapping'!Q$2,$AB$29,0),IF('CO-PO Mapping'!Q$3,$AC$29,0),IF('CO-PO Mapping'!Q$4,$AD$29,0),IF('CO-PO Mapping'!Q$5,$AE$29,0),IF('CO-PO Mapping'!Q$6,$AF$29,0),IF('CO-PO Mapping'!Q$7,$AG$29,0))=0), "-", IF(SUM(IF('CO-PO Mapping'!Q$2,$AH92*$AB$29,0),IF('CO-PO Mapping'!Q$3,$AI92*$AC$29,0),IF('CO-PO Mapping'!Q$4,$AJ92*$AD$29,0),IF('CO-PO Mapping'!Q$5,$AK92*$AE$29,0),IF('CO-PO Mapping'!Q$6,$AL92*$AF$29,0),IF('CO-PO Mapping'!Q$7,$AM92*$AG$29,0))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2" s="95" t="str">
        <f>IF('CO-PO Mapping'!R$2, IF(OR($AN92="-",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IF(OR($AP92="-", SUM( IF('CO-PO Mapping'!R$2,$AB$29,0), IF('CO-PO Mapping'!R$3,$AC$29,0), IF('CO-PO Mapping'!R$4,$AD$29,0), IF('CO-PO Mapping'!R$5,$AE$29,0), IF('CO-PO Mapping'!R$6,$AF$29,0), IF('CO-PO Mapping'!R$7,$AG$29,0) )=0), "-", IF( SUM( IF('CO-PO Mapping'!R$2,$AH92*$AB$29,0), IF('CO-PO Mapping'!R$3,$AI92*$AC$29,0), IF('CO-PO Mapping'!R$4,$AJ92*$AD$29,0), IF('CO-PO Mapping'!R$5,$AK92*$AE$29,0), IF('CO-PO Mapping'!R$6,$AL92*$AF$29,0), IF('CO-PO Mapping'!R$7,$AM92*$AG$29,0)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IF('CO-PO Mapping'!R$6, IF(OR($AR92="-",SUM(IF('CO-PO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IF('CO-PO Mapping'!R$7, IF(OR($AS92="-",SUM(IF('CO-PO Mapping'!R$2,$AB$29,0),IF('CO-PO Mapping'!R$3,$AC$29,0),IF('CO-PO Mapping'!R$4,$AD$29,0),IF('CO-PO Mapping'!R$5,$AE$29,0),IF('CO-PO Mapping'!R$6,$AF$29,0),IF('CO-PO Mapping'!R$7,$AG$29,0))=0), "-", IF(SUM(IF('CO-PO Mapping'!R$2,$AH92*$AB$29,0),IF('CO-PO Mapping'!R$3,$AI92*$AC$29,0),IF('CO-PO Mapping'!R$4,$AJ92*$AD$29,0),IF('CO-PO Mapping'!R$5,$AK92*$AE$29,0),IF('CO-PO Mapping'!R$6,$AL92*$AF$29,0),IF('CO-PO Mapping'!R$7,$AM92*$AG$29,0))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2" s="95" t="str">
        <f>IF('CO-PO Mapping'!S$2, IF(OR($AN92="-",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IF(OR($AP92="-", SUM( IF('CO-PO Mapping'!S$2,$AB$29,0), IF('CO-PO Mapping'!S$3,$AC$29,0), IF('CO-PO Mapping'!S$4,$AD$29,0), IF('CO-PO Mapping'!S$5,$AE$29,0), IF('CO-PO Mapping'!S$6,$AF$29,0), IF('CO-PO Mapping'!S$7,$AG$29,0) )=0), "-", IF( SUM( IF('CO-PO Mapping'!S$2,$AH92*$AB$29,0), IF('CO-PO Mapping'!S$3,$AI92*$AC$29,0), IF('CO-PO Mapping'!S$4,$AJ92*$AD$29,0), IF('CO-PO Mapping'!S$5,$AK92*$AE$29,0), IF('CO-PO Mapping'!S$6,$AL92*$AF$29,0), IF('CO-PO Mapping'!S$7,$AM92*$AG$29,0)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IF('CO-PO Mapping'!S$6, IF(OR($AR92="-",SUM(IF('CO-PO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IF('CO-PO Mapping'!S$7, IF(OR($AS92="-",SUM(IF('CO-PO Mapping'!S$2,$AB$29,0),IF('CO-PO Mapping'!S$3,$AC$29,0),IF('CO-PO Mapping'!S$4,$AD$29,0),IF('CO-PO Mapping'!S$5,$AE$29,0),IF('CO-PO Mapping'!S$6,$AF$29,0),IF('CO-PO Mapping'!S$7,$AG$29,0))=0), "-", IF(SUM(IF('CO-PO Mapping'!S$2,$AH92*$AB$29,0),IF('CO-PO Mapping'!S$3,$AI92*$AC$29,0),IF('CO-PO Mapping'!S$4,$AJ92*$AD$29,0),IF('CO-PO Mapping'!S$5,$AK92*$AE$29,0),IF('CO-PO Mapping'!S$6,$AL92*$AF$29,0),IF('CO-PO Mapping'!S$7,$AM92*$AG$29,0))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2" s="95" t="str">
        <f>IF('CO-PO Mapping'!T$2, IF(OR($AN92="-",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IF(OR($AP92="-", SUM( IF('CO-PO Mapping'!T$2,$AB$29,0), IF('CO-PO Mapping'!T$3,$AC$29,0), IF('CO-PO Mapping'!T$4,$AD$29,0), IF('CO-PO Mapping'!T$5,$AE$29,0), IF('CO-PO Mapping'!T$6,$AF$29,0), IF('CO-PO Mapping'!T$7,$AG$29,0) )=0), "-", IF( SUM( IF('CO-PO Mapping'!T$2,$AH92*$AB$29,0), IF('CO-PO Mapping'!T$3,$AI92*$AC$29,0), IF('CO-PO Mapping'!T$4,$AJ92*$AD$29,0), IF('CO-PO Mapping'!T$5,$AK92*$AE$29,0), IF('CO-PO Mapping'!T$6,$AL92*$AF$29,0), IF('CO-PO Mapping'!T$7,$AM92*$AG$29,0)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IF('CO-PO Mapping'!T$6, IF(OR($AR92="-",SUM(IF('CO-PO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IF('CO-PO Mapping'!T$7, IF(OR($AS92="-",SUM(IF('CO-PO Mapping'!T$2,$AB$29,0),IF('CO-PO Mapping'!T$3,$AC$29,0),IF('CO-PO Mapping'!T$4,$AD$29,0),IF('CO-PO Mapping'!T$5,$AE$29,0),IF('CO-PO Mapping'!T$6,$AF$29,0),IF('CO-PO Mapping'!T$7,$AG$29,0))=0), "-", IF(SUM(IF('CO-PO Mapping'!T$2,$AH92*$AB$29,0),IF('CO-PO Mapping'!T$3,$AI92*$AC$29,0),IF('CO-PO Mapping'!T$4,$AJ92*$AD$29,0),IF('CO-PO Mapping'!T$5,$AK92*$AE$29,0),IF('CO-PO Mapping'!T$6,$AL92*$AF$29,0),IF('CO-PO Mapping'!T$7,$AM92*$AG$29,0))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2" s="95" t="str">
        <f>IF('CO-PO Mapping'!U$2, IF(OR($AN92="-",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IF(OR($AP92="-", SUM( IF('CO-PO Mapping'!U$2,$AB$29,0), IF('CO-PO Mapping'!U$3,$AC$29,0), IF('CO-PO Mapping'!U$4,$AD$29,0), IF('CO-PO Mapping'!U$5,$AE$29,0), IF('CO-PO Mapping'!U$6,$AF$29,0), IF('CO-PO Mapping'!U$7,$AG$29,0) )=0), "-", IF( SUM( IF('CO-PO Mapping'!U$2,$AH92*$AB$29,0), IF('CO-PO Mapping'!U$3,$AI92*$AC$29,0), IF('CO-PO Mapping'!U$4,$AJ92*$AD$29,0), IF('CO-PO Mapping'!U$5,$AK92*$AE$29,0), IF('CO-PO Mapping'!U$6,$AL92*$AF$29,0), IF('CO-PO Mapping'!U$7,$AM92*$AG$29,0)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IF('CO-PO Mapping'!U$6, IF(OR($AR92="-",SUM(IF('CO-PO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IF('CO-PO Mapping'!U$7, IF(OR($AS92="-",SUM(IF('CO-PO Mapping'!U$2,$AB$29,0),IF('CO-PO Mapping'!U$3,$AC$29,0),IF('CO-PO Mapping'!U$4,$AD$29,0),IF('CO-PO Mapping'!U$5,$AE$29,0),IF('CO-PO Mapping'!U$6,$AF$29,0),IF('CO-PO Mapping'!U$7,$AG$29,0))=0), "-", IF(SUM(IF('CO-PO Mapping'!U$2,$AH92*$AB$29,0),IF('CO-PO Mapping'!U$3,$AI92*$AC$29,0),IF('CO-PO Mapping'!U$4,$AJ92*$AD$29,0),IF('CO-PO Mapping'!U$5,$AK92*$AE$29,0),IF('CO-PO Mapping'!U$6,$AL92*$AF$29,0),IF('CO-PO Mapping'!U$7,$AM92*$AG$29,0))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2" s="95" t="str">
        <f>IF('CO-PO Mapping'!V$2, IF(OR($AN92="-",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IF(OR($AP92="-", SUM( IF('CO-PO Mapping'!V$2,$AB$29,0), IF('CO-PO Mapping'!V$3,$AC$29,0), IF('CO-PO Mapping'!V$4,$AD$29,0), IF('CO-PO Mapping'!V$5,$AE$29,0), IF('CO-PO Mapping'!V$6,$AF$29,0), IF('CO-PO Mapping'!V$7,$AG$29,0) )=0), "-", IF( SUM( IF('CO-PO Mapping'!V$2,$AH92*$AB$29,0), IF('CO-PO Mapping'!V$3,$AI92*$AC$29,0), IF('CO-PO Mapping'!V$4,$AJ92*$AD$29,0), IF('CO-PO Mapping'!V$5,$AK92*$AE$29,0), IF('CO-PO Mapping'!V$6,$AL92*$AF$29,0), IF('CO-PO Mapping'!V$7,$AM92*$AG$29,0)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IF('CO-PO Mapping'!V$6, IF(OR($AR92="-",SUM(IF('CO-PO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IF('CO-PO Mapping'!V$7, IF(OR($AS92="-",SUM(IF('CO-PO Mapping'!V$2,$AB$29,0),IF('CO-PO Mapping'!V$3,$AC$29,0),IF('CO-PO Mapping'!V$4,$AD$29,0),IF('CO-PO Mapping'!V$5,$AE$29,0),IF('CO-PO Mapping'!V$6,$AF$29,0),IF('CO-PO Mapping'!V$7,$AG$29,0))=0), "-", IF(SUM(IF('CO-PO Mapping'!V$2,$AH92*$AB$29,0),IF('CO-PO Mapping'!V$3,$AI92*$AC$29,0),IF('CO-PO Mapping'!V$4,$AJ92*$AD$29,0),IF('CO-PO Mapping'!V$5,$AK92*$AE$29,0),IF('CO-PO Mapping'!V$6,$AL92*$AF$29,0),IF('CO-PO Mapping'!V$7,$AM92*$AG$29,0))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2" s="95" t="str">
        <f>IF('CO-PO Mapping'!W$2, IF(OR($AN92="-",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IF(OR($AP92="-", SUM( IF('CO-PO Mapping'!W$2,$AB$29,0), IF('CO-PO Mapping'!W$3,$AC$29,0), IF('CO-PO Mapping'!W$4,$AD$29,0), IF('CO-PO Mapping'!W$5,$AE$29,0), IF('CO-PO Mapping'!W$6,$AF$29,0), IF('CO-PO Mapping'!W$7,$AG$29,0) )=0), "-", IF( SUM( IF('CO-PO Mapping'!W$2,$AH92*$AB$29,0), IF('CO-PO Mapping'!W$3,$AI92*$AC$29,0), IF('CO-PO Mapping'!W$4,$AJ92*$AD$29,0), IF('CO-PO Mapping'!W$5,$AK92*$AE$29,0), IF('CO-PO Mapping'!W$6,$AL92*$AF$29,0), IF('CO-PO Mapping'!W$7,$AM92*$AG$29,0)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IF('CO-PO Mapping'!W$6, IF(OR($AR92="-",SUM(IF('CO-PO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IF('CO-PO Mapping'!W$7, IF(OR($AS92="-",SUM(IF('CO-PO Mapping'!W$2,$AB$29,0),IF('CO-PO Mapping'!W$3,$AC$29,0),IF('CO-PO Mapping'!W$4,$AD$29,0),IF('CO-PO Mapping'!W$5,$AE$29,0),IF('CO-PO Mapping'!W$6,$AF$29,0),IF('CO-PO Mapping'!W$7,$AG$29,0))=0), "-", IF(SUM(IF('CO-PO Mapping'!W$2,$AH92*$AB$29,0),IF('CO-PO Mapping'!W$3,$AI92*$AC$29,0),IF('CO-PO Mapping'!W$4,$AJ92*$AD$29,0),IF('CO-PO Mapping'!W$5,$AK92*$AE$29,0),IF('CO-PO Mapping'!W$6,$AL92*$AF$29,0),IF('CO-PO Mapping'!W$7,$AM92*$AG$29,0))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2" s="95" t="str">
        <f>IF('CO-PO Mapping'!X$2, IF(OR($AN92="-",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IF(OR($AP92="-", SUM( IF('CO-PO Mapping'!X$2,$AB$29,0), IF('CO-PO Mapping'!X$3,$AC$29,0), IF('CO-PO Mapping'!X$4,$AD$29,0), IF('CO-PO Mapping'!X$5,$AE$29,0), IF('CO-PO Mapping'!X$6,$AF$29,0), IF('CO-PO Mapping'!X$7,$AG$29,0) )=0), "-", IF( SUM( IF('CO-PO Mapping'!X$2,$AH92*$AB$29,0), IF('CO-PO Mapping'!X$3,$AI92*$AC$29,0), IF('CO-PO Mapping'!X$4,$AJ92*$AD$29,0), IF('CO-PO Mapping'!X$5,$AK92*$AE$29,0), IF('CO-PO Mapping'!X$6,$AL92*$AF$29,0), IF('CO-PO Mapping'!X$7,$AM92*$AG$29,0)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IF('CO-PO Mapping'!X$6, IF(OR($AR92="-",SUM(IF('CO-PO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IF('CO-PO Mapping'!X$7, IF(OR($AS92="-",SUM(IF('CO-PO Mapping'!X$2,$AB$29,0),IF('CO-PO Mapping'!X$3,$AC$29,0),IF('CO-PO Mapping'!X$4,$AD$29,0),IF('CO-PO Mapping'!X$5,$AE$29,0),IF('CO-PO Mapping'!X$6,$AF$29,0),IF('CO-PO Mapping'!X$7,$AG$29,0))=0), "-", IF(SUM(IF('CO-PO Mapping'!X$2,$AH92*$AB$29,0),IF('CO-PO Mapping'!X$3,$AI92*$AC$29,0),IF('CO-PO Mapping'!X$4,$AJ92*$AD$29,0),IF('CO-PO Mapping'!X$5,$AK92*$AE$29,0),IF('CO-PO Mapping'!X$6,$AL92*$AF$29,0),IF('CO-PO Mapping'!X$7,$AM92*$AG$29,0))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2" s="95" t="str">
        <f>IF('CO-PO Mapping'!Y$2, IF(OR($AN92="-",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IF(OR($AP92="-", SUM( IF('CO-PO Mapping'!Y$2,$AB$29,0), IF('CO-PO Mapping'!Y$3,$AC$29,0), IF('CO-PO Mapping'!Y$4,$AD$29,0), IF('CO-PO Mapping'!Y$5,$AE$29,0), IF('CO-PO Mapping'!Y$6,$AF$29,0), IF('CO-PO Mapping'!Y$7,$AG$29,0) )=0), "-", IF( SUM( IF('CO-PO Mapping'!Y$2,$AH92*$AB$29,0), IF('CO-PO Mapping'!Y$3,$AI92*$AC$29,0), IF('CO-PO Mapping'!Y$4,$AJ92*$AD$29,0), IF('CO-PO Mapping'!Y$5,$AK92*$AE$29,0), IF('CO-PO Mapping'!Y$6,$AL92*$AF$29,0), IF('CO-PO Mapping'!Y$7,$AM92*$AG$29,0)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IF('CO-PO Mapping'!Y$6, IF(OR($AR92="-",SUM(IF('CO-PO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IF('CO-PO Mapping'!Y$7, IF(OR($AS92="-",SUM(IF('CO-PO Mapping'!Y$2,$AB$29,0),IF('CO-PO Mapping'!Y$3,$AC$29,0),IF('CO-PO Mapping'!Y$4,$AD$29,0),IF('CO-PO Mapping'!Y$5,$AE$29,0),IF('CO-PO Mapping'!Y$6,$AF$29,0),IF('CO-PO Mapping'!Y$7,$AG$29,0))=0), "-", IF(SUM(IF('CO-PO Mapping'!Y$2,$AH92*$AB$29,0),IF('CO-PO Mapping'!Y$3,$AI92*$AC$29,0),IF('CO-PO Mapping'!Y$4,$AJ92*$AD$29,0),IF('CO-PO Mapping'!Y$5,$AK92*$AE$29,0),IF('CO-PO Mapping'!Y$6,$AL92*$AF$29,0),IF('CO-PO Mapping'!Y$7,$AM92*$AG$29,0))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2" s="95" t="str">
        <f>IF('CO-PO Mapping'!Z$2, IF(OR($AN92="-",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IF(OR($AP92="-", SUM( IF('CO-PO Mapping'!Z$2,$AB$29,0), IF('CO-PO Mapping'!Z$3,$AC$29,0), IF('CO-PO Mapping'!Z$4,$AD$29,0), IF('CO-PO Mapping'!Z$5,$AE$29,0), IF('CO-PO Mapping'!Z$6,$AF$29,0), IF('CO-PO Mapping'!Z$7,$AG$29,0) )=0), "-", IF( SUM( IF('CO-PO Mapping'!Z$2,$AH92*$AB$29,0), IF('CO-PO Mapping'!Z$3,$AI92*$AC$29,0), IF('CO-PO Mapping'!Z$4,$AJ92*$AD$29,0), IF('CO-PO Mapping'!Z$5,$AK92*$AE$29,0), IF('CO-PO Mapping'!Z$6,$AL92*$AF$29,0), IF('CO-PO Mapping'!Z$7,$AM92*$AG$29,0)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IF('CO-PO Mapping'!Z$6, IF(OR($AR92="-",SUM(IF('CO-PO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IF('CO-PO Mapping'!Z$7, IF(OR($AS92="-",SUM(IF('CO-PO Mapping'!Z$2,$AB$29,0),IF('CO-PO Mapping'!Z$3,$AC$29,0),IF('CO-PO Mapping'!Z$4,$AD$29,0),IF('CO-PO Mapping'!Z$5,$AE$29,0),IF('CO-PO Mapping'!Z$6,$AF$29,0),IF('CO-PO Mapping'!Z$7,$AG$29,0))=0), "-", IF(SUM(IF('CO-PO Mapping'!Z$2,$AH92*$AB$29,0),IF('CO-PO Mapping'!Z$3,$AI92*$AC$29,0),IF('CO-PO Mapping'!Z$4,$AJ92*$AD$29,0),IF('CO-PO Mapping'!Z$5,$AK92*$AE$29,0),IF('CO-PO Mapping'!Z$6,$AL92*$AF$29,0),IF('CO-PO Mapping'!Z$7,$AM92*$AG$29,0))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3" spans="1:57" ht="15" customHeight="1">
      <c r="A93" s="88"/>
      <c r="B93" s="85"/>
      <c r="C93" s="74"/>
      <c r="D93" s="74"/>
      <c r="E93" s="75"/>
      <c r="F93" s="75"/>
      <c r="G93" s="75"/>
      <c r="H93" s="103" t="str">
        <f t="shared" si="29"/>
        <v>-</v>
      </c>
      <c r="I93" s="75"/>
      <c r="J93" s="75"/>
      <c r="K93" s="75"/>
      <c r="L93" s="75"/>
      <c r="M93" s="75"/>
      <c r="N93" s="75"/>
      <c r="O93" s="105" t="str">
        <f t="shared" si="30"/>
        <v>-</v>
      </c>
      <c r="P93" s="75"/>
      <c r="Q93" s="75"/>
      <c r="R93" s="75"/>
      <c r="S93" s="75"/>
      <c r="T93" s="75"/>
      <c r="U93" s="75"/>
      <c r="V93" s="104" t="str">
        <f t="shared" si="31"/>
        <v>-</v>
      </c>
      <c r="W93" s="83" t="str">
        <f t="shared" si="28"/>
        <v>-</v>
      </c>
      <c r="X93" s="98" t="str">
        <f t="shared" si="32"/>
        <v>-</v>
      </c>
      <c r="Z93" s="42" t="str">
        <f t="shared" si="26"/>
        <v/>
      </c>
      <c r="AA93" s="43" t="str">
        <f t="shared" si="27"/>
        <v/>
      </c>
      <c r="AB93" s="90">
        <f t="shared" si="11"/>
        <v>0</v>
      </c>
      <c r="AC93" s="90">
        <f t="shared" si="11"/>
        <v>0</v>
      </c>
      <c r="AD93" s="90">
        <f t="shared" si="11"/>
        <v>0</v>
      </c>
      <c r="AE93" s="90">
        <f t="shared" si="11"/>
        <v>0</v>
      </c>
      <c r="AF93" s="90">
        <f t="shared" si="33"/>
        <v>0</v>
      </c>
      <c r="AG93" s="90">
        <f t="shared" si="25"/>
        <v>0</v>
      </c>
      <c r="AH93" s="92">
        <f t="shared" si="12"/>
        <v>0</v>
      </c>
      <c r="AI93" s="92">
        <f t="shared" si="13"/>
        <v>0</v>
      </c>
      <c r="AJ93" s="92">
        <f t="shared" si="14"/>
        <v>0</v>
      </c>
      <c r="AK93" s="92">
        <f t="shared" si="22"/>
        <v>0</v>
      </c>
      <c r="AL93" s="92">
        <f t="shared" si="15"/>
        <v>0</v>
      </c>
      <c r="AM93" s="92">
        <f t="shared" si="16"/>
        <v>0</v>
      </c>
      <c r="AN93" s="93" t="str">
        <f t="shared" si="23"/>
        <v>-</v>
      </c>
      <c r="AO93" s="93" t="str">
        <f t="shared" si="17"/>
        <v>-</v>
      </c>
      <c r="AP93" s="93" t="str">
        <f t="shared" si="18"/>
        <v>-</v>
      </c>
      <c r="AQ93" s="93" t="str">
        <f t="shared" si="19"/>
        <v>-</v>
      </c>
      <c r="AR93" s="93" t="str">
        <f t="shared" si="20"/>
        <v>-</v>
      </c>
      <c r="AS93" s="93" t="str">
        <f t="shared" si="21"/>
        <v>-</v>
      </c>
      <c r="AT93" s="95" t="str">
        <f>IF('CO-PO Mapping'!O$2, IF(OR($AN93="-",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IF(OR($AP93="-", SUM( IF('CO-PO Mapping'!O$2,$AB$29,0), IF('CO-PO Mapping'!O$3,$AC$29,0), IF('CO-PO Mapping'!O$4,$AD$29,0), IF('CO-PO Mapping'!O$5,$AE$29,0), IF('CO-PO Mapping'!O$6,$AF$29,0), IF('CO-PO Mapping'!O$7,$AG$29,0) )=0), "-", IF( SUM( IF('CO-PO Mapping'!O$2,$AH93*$AB$29,0), IF('CO-PO Mapping'!O$3,$AI93*$AC$29,0), IF('CO-PO Mapping'!O$4,$AJ93*$AD$29,0), IF('CO-PO Mapping'!O$5,$AK93*$AE$29,0), IF('CO-PO Mapping'!O$6,$AL93*$AF$29,0), IF('CO-PO Mapping'!O$7,$AM93*$AG$29,0)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IF('CO-PO Mapping'!O$6, IF(OR($AR93="-",SUM(IF('CO-PO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IF('CO-PO Mapping'!O$7, IF(OR($AS93="-",SUM(IF('CO-PO Mapping'!O$2,$AB$29,0),IF('CO-PO Mapping'!O$3,$AC$29,0),IF('CO-PO Mapping'!O$4,$AD$29,0),IF('CO-PO Mapping'!O$5,$AE$29,0),IF('CO-PO Mapping'!O$6,$AF$29,0),IF('CO-PO Mapping'!O$7,$AG$29,0))=0), "-", IF(SUM(IF('CO-PO Mapping'!O$2,$AH93*$AB$29,0),IF('CO-PO Mapping'!O$3,$AI93*$AC$29,0),IF('CO-PO Mapping'!O$4,$AJ93*$AD$29,0),IF('CO-PO Mapping'!O$5,$AK93*$AE$29,0),IF('CO-PO Mapping'!O$6,$AL93*$AF$29,0),IF('CO-PO Mapping'!O$7,$AM93*$AG$29,0))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3" s="95" t="str">
        <f>IF('CO-PO Mapping'!P$2, IF(OR($AN93="-",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IF(OR($AP93="-", SUM( IF('CO-PO Mapping'!P$2,$AB$29,0), IF('CO-PO Mapping'!P$3,$AC$29,0), IF('CO-PO Mapping'!P$4,$AD$29,0), IF('CO-PO Mapping'!P$5,$AE$29,0), IF('CO-PO Mapping'!P$6,$AF$29,0), IF('CO-PO Mapping'!P$7,$AG$29,0) )=0), "-", IF( SUM( IF('CO-PO Mapping'!P$2,$AH93*$AB$29,0), IF('CO-PO Mapping'!P$3,$AI93*$AC$29,0), IF('CO-PO Mapping'!P$4,$AJ93*$AD$29,0), IF('CO-PO Mapping'!P$5,$AK93*$AE$29,0), IF('CO-PO Mapping'!P$6,$AL93*$AF$29,0), IF('CO-PO Mapping'!P$7,$AM93*$AG$29,0)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IF('CO-PO Mapping'!P$6, IF(OR($AR93="-",SUM(IF('CO-PO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IF('CO-PO Mapping'!P$7, IF(OR($AS93="-",SUM(IF('CO-PO Mapping'!P$2,$AB$29,0),IF('CO-PO Mapping'!P$3,$AC$29,0),IF('CO-PO Mapping'!P$4,$AD$29,0),IF('CO-PO Mapping'!P$5,$AE$29,0),IF('CO-PO Mapping'!P$6,$AF$29,0),IF('CO-PO Mapping'!P$7,$AG$29,0))=0), "-", IF(SUM(IF('CO-PO Mapping'!P$2,$AH93*$AB$29,0),IF('CO-PO Mapping'!P$3,$AI93*$AC$29,0),IF('CO-PO Mapping'!P$4,$AJ93*$AD$29,0),IF('CO-PO Mapping'!P$5,$AK93*$AE$29,0),IF('CO-PO Mapping'!P$6,$AL93*$AF$29,0),IF('CO-PO Mapping'!P$7,$AM93*$AG$29,0))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3" s="95" t="str">
        <f>IF('CO-PO Mapping'!Q$2, IF(OR($AN93="-",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IF(OR($AP93="-", SUM( IF('CO-PO Mapping'!Q$2,$AB$29,0), IF('CO-PO Mapping'!Q$3,$AC$29,0), IF('CO-PO Mapping'!Q$4,$AD$29,0), IF('CO-PO Mapping'!Q$5,$AE$29,0), IF('CO-PO Mapping'!Q$6,$AF$29,0), IF('CO-PO Mapping'!Q$7,$AG$29,0) )=0), "-", IF( SUM( IF('CO-PO Mapping'!Q$2,$AH93*$AB$29,0), IF('CO-PO Mapping'!Q$3,$AI93*$AC$29,0), IF('CO-PO Mapping'!Q$4,$AJ93*$AD$29,0), IF('CO-PO Mapping'!Q$5,$AK93*$AE$29,0), IF('CO-PO Mapping'!Q$6,$AL93*$AF$29,0), IF('CO-PO Mapping'!Q$7,$AM93*$AG$29,0)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IF('CO-PO Mapping'!Q$6, IF(OR($AR93="-",SUM(IF('CO-PO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IF('CO-PO Mapping'!Q$7, IF(OR($AS93="-",SUM(IF('CO-PO Mapping'!Q$2,$AB$29,0),IF('CO-PO Mapping'!Q$3,$AC$29,0),IF('CO-PO Mapping'!Q$4,$AD$29,0),IF('CO-PO Mapping'!Q$5,$AE$29,0),IF('CO-PO Mapping'!Q$6,$AF$29,0),IF('CO-PO Mapping'!Q$7,$AG$29,0))=0), "-", IF(SUM(IF('CO-PO Mapping'!Q$2,$AH93*$AB$29,0),IF('CO-PO Mapping'!Q$3,$AI93*$AC$29,0),IF('CO-PO Mapping'!Q$4,$AJ93*$AD$29,0),IF('CO-PO Mapping'!Q$5,$AK93*$AE$29,0),IF('CO-PO Mapping'!Q$6,$AL93*$AF$29,0),IF('CO-PO Mapping'!Q$7,$AM93*$AG$29,0))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3" s="95" t="str">
        <f>IF('CO-PO Mapping'!R$2, IF(OR($AN93="-",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IF(OR($AP93="-", SUM( IF('CO-PO Mapping'!R$2,$AB$29,0), IF('CO-PO Mapping'!R$3,$AC$29,0), IF('CO-PO Mapping'!R$4,$AD$29,0), IF('CO-PO Mapping'!R$5,$AE$29,0), IF('CO-PO Mapping'!R$6,$AF$29,0), IF('CO-PO Mapping'!R$7,$AG$29,0) )=0), "-", IF( SUM( IF('CO-PO Mapping'!R$2,$AH93*$AB$29,0), IF('CO-PO Mapping'!R$3,$AI93*$AC$29,0), IF('CO-PO Mapping'!R$4,$AJ93*$AD$29,0), IF('CO-PO Mapping'!R$5,$AK93*$AE$29,0), IF('CO-PO Mapping'!R$6,$AL93*$AF$29,0), IF('CO-PO Mapping'!R$7,$AM93*$AG$29,0)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IF('CO-PO Mapping'!R$6, IF(OR($AR93="-",SUM(IF('CO-PO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IF('CO-PO Mapping'!R$7, IF(OR($AS93="-",SUM(IF('CO-PO Mapping'!R$2,$AB$29,0),IF('CO-PO Mapping'!R$3,$AC$29,0),IF('CO-PO Mapping'!R$4,$AD$29,0),IF('CO-PO Mapping'!R$5,$AE$29,0),IF('CO-PO Mapping'!R$6,$AF$29,0),IF('CO-PO Mapping'!R$7,$AG$29,0))=0), "-", IF(SUM(IF('CO-PO Mapping'!R$2,$AH93*$AB$29,0),IF('CO-PO Mapping'!R$3,$AI93*$AC$29,0),IF('CO-PO Mapping'!R$4,$AJ93*$AD$29,0),IF('CO-PO Mapping'!R$5,$AK93*$AE$29,0),IF('CO-PO Mapping'!R$6,$AL93*$AF$29,0),IF('CO-PO Mapping'!R$7,$AM93*$AG$29,0))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3" s="95" t="str">
        <f>IF('CO-PO Mapping'!S$2, IF(OR($AN93="-",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IF(OR($AP93="-", SUM( IF('CO-PO Mapping'!S$2,$AB$29,0), IF('CO-PO Mapping'!S$3,$AC$29,0), IF('CO-PO Mapping'!S$4,$AD$29,0), IF('CO-PO Mapping'!S$5,$AE$29,0), IF('CO-PO Mapping'!S$6,$AF$29,0), IF('CO-PO Mapping'!S$7,$AG$29,0) )=0), "-", IF( SUM( IF('CO-PO Mapping'!S$2,$AH93*$AB$29,0), IF('CO-PO Mapping'!S$3,$AI93*$AC$29,0), IF('CO-PO Mapping'!S$4,$AJ93*$AD$29,0), IF('CO-PO Mapping'!S$5,$AK93*$AE$29,0), IF('CO-PO Mapping'!S$6,$AL93*$AF$29,0), IF('CO-PO Mapping'!S$7,$AM93*$AG$29,0)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IF('CO-PO Mapping'!S$6, IF(OR($AR93="-",SUM(IF('CO-PO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IF('CO-PO Mapping'!S$7, IF(OR($AS93="-",SUM(IF('CO-PO Mapping'!S$2,$AB$29,0),IF('CO-PO Mapping'!S$3,$AC$29,0),IF('CO-PO Mapping'!S$4,$AD$29,0),IF('CO-PO Mapping'!S$5,$AE$29,0),IF('CO-PO Mapping'!S$6,$AF$29,0),IF('CO-PO Mapping'!S$7,$AG$29,0))=0), "-", IF(SUM(IF('CO-PO Mapping'!S$2,$AH93*$AB$29,0),IF('CO-PO Mapping'!S$3,$AI93*$AC$29,0),IF('CO-PO Mapping'!S$4,$AJ93*$AD$29,0),IF('CO-PO Mapping'!S$5,$AK93*$AE$29,0),IF('CO-PO Mapping'!S$6,$AL93*$AF$29,0),IF('CO-PO Mapping'!S$7,$AM93*$AG$29,0))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3" s="95" t="str">
        <f>IF('CO-PO Mapping'!T$2, IF(OR($AN93="-",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IF(OR($AP93="-", SUM( IF('CO-PO Mapping'!T$2,$AB$29,0), IF('CO-PO Mapping'!T$3,$AC$29,0), IF('CO-PO Mapping'!T$4,$AD$29,0), IF('CO-PO Mapping'!T$5,$AE$29,0), IF('CO-PO Mapping'!T$6,$AF$29,0), IF('CO-PO Mapping'!T$7,$AG$29,0) )=0), "-", IF( SUM( IF('CO-PO Mapping'!T$2,$AH93*$AB$29,0), IF('CO-PO Mapping'!T$3,$AI93*$AC$29,0), IF('CO-PO Mapping'!T$4,$AJ93*$AD$29,0), IF('CO-PO Mapping'!T$5,$AK93*$AE$29,0), IF('CO-PO Mapping'!T$6,$AL93*$AF$29,0), IF('CO-PO Mapping'!T$7,$AM93*$AG$29,0)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IF('CO-PO Mapping'!T$6, IF(OR($AR93="-",SUM(IF('CO-PO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IF('CO-PO Mapping'!T$7, IF(OR($AS93="-",SUM(IF('CO-PO Mapping'!T$2,$AB$29,0),IF('CO-PO Mapping'!T$3,$AC$29,0),IF('CO-PO Mapping'!T$4,$AD$29,0),IF('CO-PO Mapping'!T$5,$AE$29,0),IF('CO-PO Mapping'!T$6,$AF$29,0),IF('CO-PO Mapping'!T$7,$AG$29,0))=0), "-", IF(SUM(IF('CO-PO Mapping'!T$2,$AH93*$AB$29,0),IF('CO-PO Mapping'!T$3,$AI93*$AC$29,0),IF('CO-PO Mapping'!T$4,$AJ93*$AD$29,0),IF('CO-PO Mapping'!T$5,$AK93*$AE$29,0),IF('CO-PO Mapping'!T$6,$AL93*$AF$29,0),IF('CO-PO Mapping'!T$7,$AM93*$AG$29,0))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3" s="95" t="str">
        <f>IF('CO-PO Mapping'!U$2, IF(OR($AN93="-",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IF(OR($AP93="-", SUM( IF('CO-PO Mapping'!U$2,$AB$29,0), IF('CO-PO Mapping'!U$3,$AC$29,0), IF('CO-PO Mapping'!U$4,$AD$29,0), IF('CO-PO Mapping'!U$5,$AE$29,0), IF('CO-PO Mapping'!U$6,$AF$29,0), IF('CO-PO Mapping'!U$7,$AG$29,0) )=0), "-", IF( SUM( IF('CO-PO Mapping'!U$2,$AH93*$AB$29,0), IF('CO-PO Mapping'!U$3,$AI93*$AC$29,0), IF('CO-PO Mapping'!U$4,$AJ93*$AD$29,0), IF('CO-PO Mapping'!U$5,$AK93*$AE$29,0), IF('CO-PO Mapping'!U$6,$AL93*$AF$29,0), IF('CO-PO Mapping'!U$7,$AM93*$AG$29,0)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IF('CO-PO Mapping'!U$6, IF(OR($AR93="-",SUM(IF('CO-PO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IF('CO-PO Mapping'!U$7, IF(OR($AS93="-",SUM(IF('CO-PO Mapping'!U$2,$AB$29,0),IF('CO-PO Mapping'!U$3,$AC$29,0),IF('CO-PO Mapping'!U$4,$AD$29,0),IF('CO-PO Mapping'!U$5,$AE$29,0),IF('CO-PO Mapping'!U$6,$AF$29,0),IF('CO-PO Mapping'!U$7,$AG$29,0))=0), "-", IF(SUM(IF('CO-PO Mapping'!U$2,$AH93*$AB$29,0),IF('CO-PO Mapping'!U$3,$AI93*$AC$29,0),IF('CO-PO Mapping'!U$4,$AJ93*$AD$29,0),IF('CO-PO Mapping'!U$5,$AK93*$AE$29,0),IF('CO-PO Mapping'!U$6,$AL93*$AF$29,0),IF('CO-PO Mapping'!U$7,$AM93*$AG$29,0))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3" s="95" t="str">
        <f>IF('CO-PO Mapping'!V$2, IF(OR($AN93="-",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IF(OR($AP93="-", SUM( IF('CO-PO Mapping'!V$2,$AB$29,0), IF('CO-PO Mapping'!V$3,$AC$29,0), IF('CO-PO Mapping'!V$4,$AD$29,0), IF('CO-PO Mapping'!V$5,$AE$29,0), IF('CO-PO Mapping'!V$6,$AF$29,0), IF('CO-PO Mapping'!V$7,$AG$29,0) )=0), "-", IF( SUM( IF('CO-PO Mapping'!V$2,$AH93*$AB$29,0), IF('CO-PO Mapping'!V$3,$AI93*$AC$29,0), IF('CO-PO Mapping'!V$4,$AJ93*$AD$29,0), IF('CO-PO Mapping'!V$5,$AK93*$AE$29,0), IF('CO-PO Mapping'!V$6,$AL93*$AF$29,0), IF('CO-PO Mapping'!V$7,$AM93*$AG$29,0)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IF('CO-PO Mapping'!V$6, IF(OR($AR93="-",SUM(IF('CO-PO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IF('CO-PO Mapping'!V$7, IF(OR($AS93="-",SUM(IF('CO-PO Mapping'!V$2,$AB$29,0),IF('CO-PO Mapping'!V$3,$AC$29,0),IF('CO-PO Mapping'!V$4,$AD$29,0),IF('CO-PO Mapping'!V$5,$AE$29,0),IF('CO-PO Mapping'!V$6,$AF$29,0),IF('CO-PO Mapping'!V$7,$AG$29,0))=0), "-", IF(SUM(IF('CO-PO Mapping'!V$2,$AH93*$AB$29,0),IF('CO-PO Mapping'!V$3,$AI93*$AC$29,0),IF('CO-PO Mapping'!V$4,$AJ93*$AD$29,0),IF('CO-PO Mapping'!V$5,$AK93*$AE$29,0),IF('CO-PO Mapping'!V$6,$AL93*$AF$29,0),IF('CO-PO Mapping'!V$7,$AM93*$AG$29,0))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3" s="95" t="str">
        <f>IF('CO-PO Mapping'!W$2, IF(OR($AN93="-",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IF(OR($AP93="-", SUM( IF('CO-PO Mapping'!W$2,$AB$29,0), IF('CO-PO Mapping'!W$3,$AC$29,0), IF('CO-PO Mapping'!W$4,$AD$29,0), IF('CO-PO Mapping'!W$5,$AE$29,0), IF('CO-PO Mapping'!W$6,$AF$29,0), IF('CO-PO Mapping'!W$7,$AG$29,0) )=0), "-", IF( SUM( IF('CO-PO Mapping'!W$2,$AH93*$AB$29,0), IF('CO-PO Mapping'!W$3,$AI93*$AC$29,0), IF('CO-PO Mapping'!W$4,$AJ93*$AD$29,0), IF('CO-PO Mapping'!W$5,$AK93*$AE$29,0), IF('CO-PO Mapping'!W$6,$AL93*$AF$29,0), IF('CO-PO Mapping'!W$7,$AM93*$AG$29,0)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IF('CO-PO Mapping'!W$6, IF(OR($AR93="-",SUM(IF('CO-PO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IF('CO-PO Mapping'!W$7, IF(OR($AS93="-",SUM(IF('CO-PO Mapping'!W$2,$AB$29,0),IF('CO-PO Mapping'!W$3,$AC$29,0),IF('CO-PO Mapping'!W$4,$AD$29,0),IF('CO-PO Mapping'!W$5,$AE$29,0),IF('CO-PO Mapping'!W$6,$AF$29,0),IF('CO-PO Mapping'!W$7,$AG$29,0))=0), "-", IF(SUM(IF('CO-PO Mapping'!W$2,$AH93*$AB$29,0),IF('CO-PO Mapping'!W$3,$AI93*$AC$29,0),IF('CO-PO Mapping'!W$4,$AJ93*$AD$29,0),IF('CO-PO Mapping'!W$5,$AK93*$AE$29,0),IF('CO-PO Mapping'!W$6,$AL93*$AF$29,0),IF('CO-PO Mapping'!W$7,$AM93*$AG$29,0))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3" s="95" t="str">
        <f>IF('CO-PO Mapping'!X$2, IF(OR($AN93="-",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IF(OR($AP93="-", SUM( IF('CO-PO Mapping'!X$2,$AB$29,0), IF('CO-PO Mapping'!X$3,$AC$29,0), IF('CO-PO Mapping'!X$4,$AD$29,0), IF('CO-PO Mapping'!X$5,$AE$29,0), IF('CO-PO Mapping'!X$6,$AF$29,0), IF('CO-PO Mapping'!X$7,$AG$29,0) )=0), "-", IF( SUM( IF('CO-PO Mapping'!X$2,$AH93*$AB$29,0), IF('CO-PO Mapping'!X$3,$AI93*$AC$29,0), IF('CO-PO Mapping'!X$4,$AJ93*$AD$29,0), IF('CO-PO Mapping'!X$5,$AK93*$AE$29,0), IF('CO-PO Mapping'!X$6,$AL93*$AF$29,0), IF('CO-PO Mapping'!X$7,$AM93*$AG$29,0)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IF('CO-PO Mapping'!X$6, IF(OR($AR93="-",SUM(IF('CO-PO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IF('CO-PO Mapping'!X$7, IF(OR($AS93="-",SUM(IF('CO-PO Mapping'!X$2,$AB$29,0),IF('CO-PO Mapping'!X$3,$AC$29,0),IF('CO-PO Mapping'!X$4,$AD$29,0),IF('CO-PO Mapping'!X$5,$AE$29,0),IF('CO-PO Mapping'!X$6,$AF$29,0),IF('CO-PO Mapping'!X$7,$AG$29,0))=0), "-", IF(SUM(IF('CO-PO Mapping'!X$2,$AH93*$AB$29,0),IF('CO-PO Mapping'!X$3,$AI93*$AC$29,0),IF('CO-PO Mapping'!X$4,$AJ93*$AD$29,0),IF('CO-PO Mapping'!X$5,$AK93*$AE$29,0),IF('CO-PO Mapping'!X$6,$AL93*$AF$29,0),IF('CO-PO Mapping'!X$7,$AM93*$AG$29,0))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3" s="95" t="str">
        <f>IF('CO-PO Mapping'!Y$2, IF(OR($AN93="-",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IF(OR($AP93="-", SUM( IF('CO-PO Mapping'!Y$2,$AB$29,0), IF('CO-PO Mapping'!Y$3,$AC$29,0), IF('CO-PO Mapping'!Y$4,$AD$29,0), IF('CO-PO Mapping'!Y$5,$AE$29,0), IF('CO-PO Mapping'!Y$6,$AF$29,0), IF('CO-PO Mapping'!Y$7,$AG$29,0) )=0), "-", IF( SUM( IF('CO-PO Mapping'!Y$2,$AH93*$AB$29,0), IF('CO-PO Mapping'!Y$3,$AI93*$AC$29,0), IF('CO-PO Mapping'!Y$4,$AJ93*$AD$29,0), IF('CO-PO Mapping'!Y$5,$AK93*$AE$29,0), IF('CO-PO Mapping'!Y$6,$AL93*$AF$29,0), IF('CO-PO Mapping'!Y$7,$AM93*$AG$29,0)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IF('CO-PO Mapping'!Y$6, IF(OR($AR93="-",SUM(IF('CO-PO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IF('CO-PO Mapping'!Y$7, IF(OR($AS93="-",SUM(IF('CO-PO Mapping'!Y$2,$AB$29,0),IF('CO-PO Mapping'!Y$3,$AC$29,0),IF('CO-PO Mapping'!Y$4,$AD$29,0),IF('CO-PO Mapping'!Y$5,$AE$29,0),IF('CO-PO Mapping'!Y$6,$AF$29,0),IF('CO-PO Mapping'!Y$7,$AG$29,0))=0), "-", IF(SUM(IF('CO-PO Mapping'!Y$2,$AH93*$AB$29,0),IF('CO-PO Mapping'!Y$3,$AI93*$AC$29,0),IF('CO-PO Mapping'!Y$4,$AJ93*$AD$29,0),IF('CO-PO Mapping'!Y$5,$AK93*$AE$29,0),IF('CO-PO Mapping'!Y$6,$AL93*$AF$29,0),IF('CO-PO Mapping'!Y$7,$AM93*$AG$29,0))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3" s="95" t="str">
        <f>IF('CO-PO Mapping'!Z$2, IF(OR($AN93="-",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IF(OR($AP93="-", SUM( IF('CO-PO Mapping'!Z$2,$AB$29,0), IF('CO-PO Mapping'!Z$3,$AC$29,0), IF('CO-PO Mapping'!Z$4,$AD$29,0), IF('CO-PO Mapping'!Z$5,$AE$29,0), IF('CO-PO Mapping'!Z$6,$AF$29,0), IF('CO-PO Mapping'!Z$7,$AG$29,0) )=0), "-", IF( SUM( IF('CO-PO Mapping'!Z$2,$AH93*$AB$29,0), IF('CO-PO Mapping'!Z$3,$AI93*$AC$29,0), IF('CO-PO Mapping'!Z$4,$AJ93*$AD$29,0), IF('CO-PO Mapping'!Z$5,$AK93*$AE$29,0), IF('CO-PO Mapping'!Z$6,$AL93*$AF$29,0), IF('CO-PO Mapping'!Z$7,$AM93*$AG$29,0)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IF('CO-PO Mapping'!Z$6, IF(OR($AR93="-",SUM(IF('CO-PO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IF('CO-PO Mapping'!Z$7, IF(OR($AS93="-",SUM(IF('CO-PO Mapping'!Z$2,$AB$29,0),IF('CO-PO Mapping'!Z$3,$AC$29,0),IF('CO-PO Mapping'!Z$4,$AD$29,0),IF('CO-PO Mapping'!Z$5,$AE$29,0),IF('CO-PO Mapping'!Z$6,$AF$29,0),IF('CO-PO Mapping'!Z$7,$AG$29,0))=0), "-", IF(SUM(IF('CO-PO Mapping'!Z$2,$AH93*$AB$29,0),IF('CO-PO Mapping'!Z$3,$AI93*$AC$29,0),IF('CO-PO Mapping'!Z$4,$AJ93*$AD$29,0),IF('CO-PO Mapping'!Z$5,$AK93*$AE$29,0),IF('CO-PO Mapping'!Z$6,$AL93*$AF$29,0),IF('CO-PO Mapping'!Z$7,$AM93*$AG$29,0))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4" spans="1:57" ht="15" customHeight="1">
      <c r="A94" s="88"/>
      <c r="B94" s="86"/>
      <c r="C94" s="74"/>
      <c r="D94" s="74"/>
      <c r="E94" s="75"/>
      <c r="F94" s="75"/>
      <c r="G94" s="75"/>
      <c r="H94" s="103" t="str">
        <f t="shared" si="29"/>
        <v>-</v>
      </c>
      <c r="I94" s="75"/>
      <c r="J94" s="75"/>
      <c r="K94" s="75"/>
      <c r="L94" s="75"/>
      <c r="M94" s="75"/>
      <c r="N94" s="75"/>
      <c r="O94" s="105" t="str">
        <f t="shared" si="30"/>
        <v>-</v>
      </c>
      <c r="P94" s="75"/>
      <c r="Q94" s="75"/>
      <c r="R94" s="75"/>
      <c r="S94" s="75"/>
      <c r="T94" s="75"/>
      <c r="U94" s="75"/>
      <c r="V94" s="104" t="str">
        <f t="shared" si="31"/>
        <v>-</v>
      </c>
      <c r="W94" s="83" t="str">
        <f t="shared" si="28"/>
        <v>-</v>
      </c>
      <c r="X94" s="98" t="str">
        <f t="shared" si="32"/>
        <v>-</v>
      </c>
      <c r="Z94" s="42" t="str">
        <f t="shared" ref="Z94:Z100" si="34">IF(A94="","",A94)</f>
        <v/>
      </c>
      <c r="AA94" s="43" t="str">
        <f t="shared" ref="AA94:AA100" si="35">IF(B94="","",B94)</f>
        <v/>
      </c>
      <c r="AB94" s="90">
        <f t="shared" si="11"/>
        <v>0</v>
      </c>
      <c r="AC94" s="90">
        <f t="shared" si="11"/>
        <v>0</v>
      </c>
      <c r="AD94" s="90">
        <f t="shared" si="11"/>
        <v>0</v>
      </c>
      <c r="AE94" s="90">
        <f t="shared" si="11"/>
        <v>0</v>
      </c>
      <c r="AF94" s="90">
        <f t="shared" si="33"/>
        <v>0</v>
      </c>
      <c r="AG94" s="90">
        <f t="shared" si="25"/>
        <v>0</v>
      </c>
      <c r="AH94" s="92">
        <f t="shared" si="12"/>
        <v>0</v>
      </c>
      <c r="AI94" s="92">
        <f t="shared" si="13"/>
        <v>0</v>
      </c>
      <c r="AJ94" s="92">
        <f t="shared" si="14"/>
        <v>0</v>
      </c>
      <c r="AK94" s="92">
        <f t="shared" si="22"/>
        <v>0</v>
      </c>
      <c r="AL94" s="92">
        <f t="shared" si="15"/>
        <v>0</v>
      </c>
      <c r="AM94" s="92">
        <f t="shared" si="16"/>
        <v>0</v>
      </c>
      <c r="AN94" s="93" t="str">
        <f t="shared" si="23"/>
        <v>-</v>
      </c>
      <c r="AO94" s="93" t="str">
        <f t="shared" si="17"/>
        <v>-</v>
      </c>
      <c r="AP94" s="93" t="str">
        <f t="shared" si="18"/>
        <v>-</v>
      </c>
      <c r="AQ94" s="93" t="str">
        <f t="shared" si="19"/>
        <v>-</v>
      </c>
      <c r="AR94" s="93" t="str">
        <f t="shared" si="20"/>
        <v>-</v>
      </c>
      <c r="AS94" s="93" t="str">
        <f t="shared" si="21"/>
        <v>-</v>
      </c>
      <c r="AT94" s="95" t="str">
        <f>IF('CO-PO Mapping'!O$2, IF(OR($AN94="-",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IF(OR($AP94="-", SUM( IF('CO-PO Mapping'!O$2,$AB$29,0), IF('CO-PO Mapping'!O$3,$AC$29,0), IF('CO-PO Mapping'!O$4,$AD$29,0), IF('CO-PO Mapping'!O$5,$AE$29,0), IF('CO-PO Mapping'!O$6,$AF$29,0), IF('CO-PO Mapping'!O$7,$AG$29,0) )=0), "-", IF( SUM( IF('CO-PO Mapping'!O$2,$AH94*$AB$29,0), IF('CO-PO Mapping'!O$3,$AI94*$AC$29,0), IF('CO-PO Mapping'!O$4,$AJ94*$AD$29,0), IF('CO-PO Mapping'!O$5,$AK94*$AE$29,0), IF('CO-PO Mapping'!O$6,$AL94*$AF$29,0), IF('CO-PO Mapping'!O$7,$AM94*$AG$29,0)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IF('CO-PO Mapping'!O$6, IF(OR($AR94="-",SUM(IF('CO-PO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IF('CO-PO Mapping'!O$7, IF(OR($AS94="-",SUM(IF('CO-PO Mapping'!O$2,$AB$29,0),IF('CO-PO Mapping'!O$3,$AC$29,0),IF('CO-PO Mapping'!O$4,$AD$29,0),IF('CO-PO Mapping'!O$5,$AE$29,0),IF('CO-PO Mapping'!O$6,$AF$29,0),IF('CO-PO Mapping'!O$7,$AG$29,0))=0), "-", IF(SUM(IF('CO-PO Mapping'!O$2,$AH94*$AB$29,0),IF('CO-PO Mapping'!O$3,$AI94*$AC$29,0),IF('CO-PO Mapping'!O$4,$AJ94*$AD$29,0),IF('CO-PO Mapping'!O$5,$AK94*$AE$29,0),IF('CO-PO Mapping'!O$6,$AL94*$AF$29,0),IF('CO-PO Mapping'!O$7,$AM94*$AG$29,0))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4" s="95" t="str">
        <f>IF('CO-PO Mapping'!P$2, IF(OR($AN94="-",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IF(OR($AP94="-", SUM( IF('CO-PO Mapping'!P$2,$AB$29,0), IF('CO-PO Mapping'!P$3,$AC$29,0), IF('CO-PO Mapping'!P$4,$AD$29,0), IF('CO-PO Mapping'!P$5,$AE$29,0), IF('CO-PO Mapping'!P$6,$AF$29,0), IF('CO-PO Mapping'!P$7,$AG$29,0) )=0), "-", IF( SUM( IF('CO-PO Mapping'!P$2,$AH94*$AB$29,0), IF('CO-PO Mapping'!P$3,$AI94*$AC$29,0), IF('CO-PO Mapping'!P$4,$AJ94*$AD$29,0), IF('CO-PO Mapping'!P$5,$AK94*$AE$29,0), IF('CO-PO Mapping'!P$6,$AL94*$AF$29,0), IF('CO-PO Mapping'!P$7,$AM94*$AG$29,0)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IF('CO-PO Mapping'!P$6, IF(OR($AR94="-",SUM(IF('CO-PO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IF('CO-PO Mapping'!P$7, IF(OR($AS94="-",SUM(IF('CO-PO Mapping'!P$2,$AB$29,0),IF('CO-PO Mapping'!P$3,$AC$29,0),IF('CO-PO Mapping'!P$4,$AD$29,0),IF('CO-PO Mapping'!P$5,$AE$29,0),IF('CO-PO Mapping'!P$6,$AF$29,0),IF('CO-PO Mapping'!P$7,$AG$29,0))=0), "-", IF(SUM(IF('CO-PO Mapping'!P$2,$AH94*$AB$29,0),IF('CO-PO Mapping'!P$3,$AI94*$AC$29,0),IF('CO-PO Mapping'!P$4,$AJ94*$AD$29,0),IF('CO-PO Mapping'!P$5,$AK94*$AE$29,0),IF('CO-PO Mapping'!P$6,$AL94*$AF$29,0),IF('CO-PO Mapping'!P$7,$AM94*$AG$29,0))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4" s="95" t="str">
        <f>IF('CO-PO Mapping'!Q$2, IF(OR($AN94="-",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IF(OR($AP94="-", SUM( IF('CO-PO Mapping'!Q$2,$AB$29,0), IF('CO-PO Mapping'!Q$3,$AC$29,0), IF('CO-PO Mapping'!Q$4,$AD$29,0), IF('CO-PO Mapping'!Q$5,$AE$29,0), IF('CO-PO Mapping'!Q$6,$AF$29,0), IF('CO-PO Mapping'!Q$7,$AG$29,0) )=0), "-", IF( SUM( IF('CO-PO Mapping'!Q$2,$AH94*$AB$29,0), IF('CO-PO Mapping'!Q$3,$AI94*$AC$29,0), IF('CO-PO Mapping'!Q$4,$AJ94*$AD$29,0), IF('CO-PO Mapping'!Q$5,$AK94*$AE$29,0), IF('CO-PO Mapping'!Q$6,$AL94*$AF$29,0), IF('CO-PO Mapping'!Q$7,$AM94*$AG$29,0)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IF('CO-PO Mapping'!Q$6, IF(OR($AR94="-",SUM(IF('CO-PO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IF('CO-PO Mapping'!Q$7, IF(OR($AS94="-",SUM(IF('CO-PO Mapping'!Q$2,$AB$29,0),IF('CO-PO Mapping'!Q$3,$AC$29,0),IF('CO-PO Mapping'!Q$4,$AD$29,0),IF('CO-PO Mapping'!Q$5,$AE$29,0),IF('CO-PO Mapping'!Q$6,$AF$29,0),IF('CO-PO Mapping'!Q$7,$AG$29,0))=0), "-", IF(SUM(IF('CO-PO Mapping'!Q$2,$AH94*$AB$29,0),IF('CO-PO Mapping'!Q$3,$AI94*$AC$29,0),IF('CO-PO Mapping'!Q$4,$AJ94*$AD$29,0),IF('CO-PO Mapping'!Q$5,$AK94*$AE$29,0),IF('CO-PO Mapping'!Q$6,$AL94*$AF$29,0),IF('CO-PO Mapping'!Q$7,$AM94*$AG$29,0))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4" s="95" t="str">
        <f>IF('CO-PO Mapping'!R$2, IF(OR($AN94="-",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IF(OR($AP94="-", SUM( IF('CO-PO Mapping'!R$2,$AB$29,0), IF('CO-PO Mapping'!R$3,$AC$29,0), IF('CO-PO Mapping'!R$4,$AD$29,0), IF('CO-PO Mapping'!R$5,$AE$29,0), IF('CO-PO Mapping'!R$6,$AF$29,0), IF('CO-PO Mapping'!R$7,$AG$29,0) )=0), "-", IF( SUM( IF('CO-PO Mapping'!R$2,$AH94*$AB$29,0), IF('CO-PO Mapping'!R$3,$AI94*$AC$29,0), IF('CO-PO Mapping'!R$4,$AJ94*$AD$29,0), IF('CO-PO Mapping'!R$5,$AK94*$AE$29,0), IF('CO-PO Mapping'!R$6,$AL94*$AF$29,0), IF('CO-PO Mapping'!R$7,$AM94*$AG$29,0)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IF('CO-PO Mapping'!R$6, IF(OR($AR94="-",SUM(IF('CO-PO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IF('CO-PO Mapping'!R$7, IF(OR($AS94="-",SUM(IF('CO-PO Mapping'!R$2,$AB$29,0),IF('CO-PO Mapping'!R$3,$AC$29,0),IF('CO-PO Mapping'!R$4,$AD$29,0),IF('CO-PO Mapping'!R$5,$AE$29,0),IF('CO-PO Mapping'!R$6,$AF$29,0),IF('CO-PO Mapping'!R$7,$AG$29,0))=0), "-", IF(SUM(IF('CO-PO Mapping'!R$2,$AH94*$AB$29,0),IF('CO-PO Mapping'!R$3,$AI94*$AC$29,0),IF('CO-PO Mapping'!R$4,$AJ94*$AD$29,0),IF('CO-PO Mapping'!R$5,$AK94*$AE$29,0),IF('CO-PO Mapping'!R$6,$AL94*$AF$29,0),IF('CO-PO Mapping'!R$7,$AM94*$AG$29,0))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4" s="95" t="str">
        <f>IF('CO-PO Mapping'!S$2, IF(OR($AN94="-",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IF(OR($AP94="-", SUM( IF('CO-PO Mapping'!S$2,$AB$29,0), IF('CO-PO Mapping'!S$3,$AC$29,0), IF('CO-PO Mapping'!S$4,$AD$29,0), IF('CO-PO Mapping'!S$5,$AE$29,0), IF('CO-PO Mapping'!S$6,$AF$29,0), IF('CO-PO Mapping'!S$7,$AG$29,0) )=0), "-", IF( SUM( IF('CO-PO Mapping'!S$2,$AH94*$AB$29,0), IF('CO-PO Mapping'!S$3,$AI94*$AC$29,0), IF('CO-PO Mapping'!S$4,$AJ94*$AD$29,0), IF('CO-PO Mapping'!S$5,$AK94*$AE$29,0), IF('CO-PO Mapping'!S$6,$AL94*$AF$29,0), IF('CO-PO Mapping'!S$7,$AM94*$AG$29,0)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IF('CO-PO Mapping'!S$6, IF(OR($AR94="-",SUM(IF('CO-PO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IF('CO-PO Mapping'!S$7, IF(OR($AS94="-",SUM(IF('CO-PO Mapping'!S$2,$AB$29,0),IF('CO-PO Mapping'!S$3,$AC$29,0),IF('CO-PO Mapping'!S$4,$AD$29,0),IF('CO-PO Mapping'!S$5,$AE$29,0),IF('CO-PO Mapping'!S$6,$AF$29,0),IF('CO-PO Mapping'!S$7,$AG$29,0))=0), "-", IF(SUM(IF('CO-PO Mapping'!S$2,$AH94*$AB$29,0),IF('CO-PO Mapping'!S$3,$AI94*$AC$29,0),IF('CO-PO Mapping'!S$4,$AJ94*$AD$29,0),IF('CO-PO Mapping'!S$5,$AK94*$AE$29,0),IF('CO-PO Mapping'!S$6,$AL94*$AF$29,0),IF('CO-PO Mapping'!S$7,$AM94*$AG$29,0))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4" s="95" t="str">
        <f>IF('CO-PO Mapping'!T$2, IF(OR($AN94="-",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IF(OR($AP94="-", SUM( IF('CO-PO Mapping'!T$2,$AB$29,0), IF('CO-PO Mapping'!T$3,$AC$29,0), IF('CO-PO Mapping'!T$4,$AD$29,0), IF('CO-PO Mapping'!T$5,$AE$29,0), IF('CO-PO Mapping'!T$6,$AF$29,0), IF('CO-PO Mapping'!T$7,$AG$29,0) )=0), "-", IF( SUM( IF('CO-PO Mapping'!T$2,$AH94*$AB$29,0), IF('CO-PO Mapping'!T$3,$AI94*$AC$29,0), IF('CO-PO Mapping'!T$4,$AJ94*$AD$29,0), IF('CO-PO Mapping'!T$5,$AK94*$AE$29,0), IF('CO-PO Mapping'!T$6,$AL94*$AF$29,0), IF('CO-PO Mapping'!T$7,$AM94*$AG$29,0)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IF('CO-PO Mapping'!T$6, IF(OR($AR94="-",SUM(IF('CO-PO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IF('CO-PO Mapping'!T$7, IF(OR($AS94="-",SUM(IF('CO-PO Mapping'!T$2,$AB$29,0),IF('CO-PO Mapping'!T$3,$AC$29,0),IF('CO-PO Mapping'!T$4,$AD$29,0),IF('CO-PO Mapping'!T$5,$AE$29,0),IF('CO-PO Mapping'!T$6,$AF$29,0),IF('CO-PO Mapping'!T$7,$AG$29,0))=0), "-", IF(SUM(IF('CO-PO Mapping'!T$2,$AH94*$AB$29,0),IF('CO-PO Mapping'!T$3,$AI94*$AC$29,0),IF('CO-PO Mapping'!T$4,$AJ94*$AD$29,0),IF('CO-PO Mapping'!T$5,$AK94*$AE$29,0),IF('CO-PO Mapping'!T$6,$AL94*$AF$29,0),IF('CO-PO Mapping'!T$7,$AM94*$AG$29,0))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4" s="95" t="str">
        <f>IF('CO-PO Mapping'!U$2, IF(OR($AN94="-",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IF(OR($AP94="-", SUM( IF('CO-PO Mapping'!U$2,$AB$29,0), IF('CO-PO Mapping'!U$3,$AC$29,0), IF('CO-PO Mapping'!U$4,$AD$29,0), IF('CO-PO Mapping'!U$5,$AE$29,0), IF('CO-PO Mapping'!U$6,$AF$29,0), IF('CO-PO Mapping'!U$7,$AG$29,0) )=0), "-", IF( SUM( IF('CO-PO Mapping'!U$2,$AH94*$AB$29,0), IF('CO-PO Mapping'!U$3,$AI94*$AC$29,0), IF('CO-PO Mapping'!U$4,$AJ94*$AD$29,0), IF('CO-PO Mapping'!U$5,$AK94*$AE$29,0), IF('CO-PO Mapping'!U$6,$AL94*$AF$29,0), IF('CO-PO Mapping'!U$7,$AM94*$AG$29,0)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IF('CO-PO Mapping'!U$6, IF(OR($AR94="-",SUM(IF('CO-PO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IF('CO-PO Mapping'!U$7, IF(OR($AS94="-",SUM(IF('CO-PO Mapping'!U$2,$AB$29,0),IF('CO-PO Mapping'!U$3,$AC$29,0),IF('CO-PO Mapping'!U$4,$AD$29,0),IF('CO-PO Mapping'!U$5,$AE$29,0),IF('CO-PO Mapping'!U$6,$AF$29,0),IF('CO-PO Mapping'!U$7,$AG$29,0))=0), "-", IF(SUM(IF('CO-PO Mapping'!U$2,$AH94*$AB$29,0),IF('CO-PO Mapping'!U$3,$AI94*$AC$29,0),IF('CO-PO Mapping'!U$4,$AJ94*$AD$29,0),IF('CO-PO Mapping'!U$5,$AK94*$AE$29,0),IF('CO-PO Mapping'!U$6,$AL94*$AF$29,0),IF('CO-PO Mapping'!U$7,$AM94*$AG$29,0))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4" s="95" t="str">
        <f>IF('CO-PO Mapping'!V$2, IF(OR($AN94="-",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IF(OR($AP94="-", SUM( IF('CO-PO Mapping'!V$2,$AB$29,0), IF('CO-PO Mapping'!V$3,$AC$29,0), IF('CO-PO Mapping'!V$4,$AD$29,0), IF('CO-PO Mapping'!V$5,$AE$29,0), IF('CO-PO Mapping'!V$6,$AF$29,0), IF('CO-PO Mapping'!V$7,$AG$29,0) )=0), "-", IF( SUM( IF('CO-PO Mapping'!V$2,$AH94*$AB$29,0), IF('CO-PO Mapping'!V$3,$AI94*$AC$29,0), IF('CO-PO Mapping'!V$4,$AJ94*$AD$29,0), IF('CO-PO Mapping'!V$5,$AK94*$AE$29,0), IF('CO-PO Mapping'!V$6,$AL94*$AF$29,0), IF('CO-PO Mapping'!V$7,$AM94*$AG$29,0)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IF('CO-PO Mapping'!V$6, IF(OR($AR94="-",SUM(IF('CO-PO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IF('CO-PO Mapping'!V$7, IF(OR($AS94="-",SUM(IF('CO-PO Mapping'!V$2,$AB$29,0),IF('CO-PO Mapping'!V$3,$AC$29,0),IF('CO-PO Mapping'!V$4,$AD$29,0),IF('CO-PO Mapping'!V$5,$AE$29,0),IF('CO-PO Mapping'!V$6,$AF$29,0),IF('CO-PO Mapping'!V$7,$AG$29,0))=0), "-", IF(SUM(IF('CO-PO Mapping'!V$2,$AH94*$AB$29,0),IF('CO-PO Mapping'!V$3,$AI94*$AC$29,0),IF('CO-PO Mapping'!V$4,$AJ94*$AD$29,0),IF('CO-PO Mapping'!V$5,$AK94*$AE$29,0),IF('CO-PO Mapping'!V$6,$AL94*$AF$29,0),IF('CO-PO Mapping'!V$7,$AM94*$AG$29,0))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4" s="95" t="str">
        <f>IF('CO-PO Mapping'!W$2, IF(OR($AN94="-",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IF(OR($AP94="-", SUM( IF('CO-PO Mapping'!W$2,$AB$29,0), IF('CO-PO Mapping'!W$3,$AC$29,0), IF('CO-PO Mapping'!W$4,$AD$29,0), IF('CO-PO Mapping'!W$5,$AE$29,0), IF('CO-PO Mapping'!W$6,$AF$29,0), IF('CO-PO Mapping'!W$7,$AG$29,0) )=0), "-", IF( SUM( IF('CO-PO Mapping'!W$2,$AH94*$AB$29,0), IF('CO-PO Mapping'!W$3,$AI94*$AC$29,0), IF('CO-PO Mapping'!W$4,$AJ94*$AD$29,0), IF('CO-PO Mapping'!W$5,$AK94*$AE$29,0), IF('CO-PO Mapping'!W$6,$AL94*$AF$29,0), IF('CO-PO Mapping'!W$7,$AM94*$AG$29,0)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IF('CO-PO Mapping'!W$6, IF(OR($AR94="-",SUM(IF('CO-PO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IF('CO-PO Mapping'!W$7, IF(OR($AS94="-",SUM(IF('CO-PO Mapping'!W$2,$AB$29,0),IF('CO-PO Mapping'!W$3,$AC$29,0),IF('CO-PO Mapping'!W$4,$AD$29,0),IF('CO-PO Mapping'!W$5,$AE$29,0),IF('CO-PO Mapping'!W$6,$AF$29,0),IF('CO-PO Mapping'!W$7,$AG$29,0))=0), "-", IF(SUM(IF('CO-PO Mapping'!W$2,$AH94*$AB$29,0),IF('CO-PO Mapping'!W$3,$AI94*$AC$29,0),IF('CO-PO Mapping'!W$4,$AJ94*$AD$29,0),IF('CO-PO Mapping'!W$5,$AK94*$AE$29,0),IF('CO-PO Mapping'!W$6,$AL94*$AF$29,0),IF('CO-PO Mapping'!W$7,$AM94*$AG$29,0))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4" s="95" t="str">
        <f>IF('CO-PO Mapping'!X$2, IF(OR($AN94="-",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IF(OR($AP94="-", SUM( IF('CO-PO Mapping'!X$2,$AB$29,0), IF('CO-PO Mapping'!X$3,$AC$29,0), IF('CO-PO Mapping'!X$4,$AD$29,0), IF('CO-PO Mapping'!X$5,$AE$29,0), IF('CO-PO Mapping'!X$6,$AF$29,0), IF('CO-PO Mapping'!X$7,$AG$29,0) )=0), "-", IF( SUM( IF('CO-PO Mapping'!X$2,$AH94*$AB$29,0), IF('CO-PO Mapping'!X$3,$AI94*$AC$29,0), IF('CO-PO Mapping'!X$4,$AJ94*$AD$29,0), IF('CO-PO Mapping'!X$5,$AK94*$AE$29,0), IF('CO-PO Mapping'!X$6,$AL94*$AF$29,0), IF('CO-PO Mapping'!X$7,$AM94*$AG$29,0)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IF('CO-PO Mapping'!X$6, IF(OR($AR94="-",SUM(IF('CO-PO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IF('CO-PO Mapping'!X$7, IF(OR($AS94="-",SUM(IF('CO-PO Mapping'!X$2,$AB$29,0),IF('CO-PO Mapping'!X$3,$AC$29,0),IF('CO-PO Mapping'!X$4,$AD$29,0),IF('CO-PO Mapping'!X$5,$AE$29,0),IF('CO-PO Mapping'!X$6,$AF$29,0),IF('CO-PO Mapping'!X$7,$AG$29,0))=0), "-", IF(SUM(IF('CO-PO Mapping'!X$2,$AH94*$AB$29,0),IF('CO-PO Mapping'!X$3,$AI94*$AC$29,0),IF('CO-PO Mapping'!X$4,$AJ94*$AD$29,0),IF('CO-PO Mapping'!X$5,$AK94*$AE$29,0),IF('CO-PO Mapping'!X$6,$AL94*$AF$29,0),IF('CO-PO Mapping'!X$7,$AM94*$AG$29,0))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4" s="95" t="str">
        <f>IF('CO-PO Mapping'!Y$2, IF(OR($AN94="-",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IF(OR($AP94="-", SUM( IF('CO-PO Mapping'!Y$2,$AB$29,0), IF('CO-PO Mapping'!Y$3,$AC$29,0), IF('CO-PO Mapping'!Y$4,$AD$29,0), IF('CO-PO Mapping'!Y$5,$AE$29,0), IF('CO-PO Mapping'!Y$6,$AF$29,0), IF('CO-PO Mapping'!Y$7,$AG$29,0) )=0), "-", IF( SUM( IF('CO-PO Mapping'!Y$2,$AH94*$AB$29,0), IF('CO-PO Mapping'!Y$3,$AI94*$AC$29,0), IF('CO-PO Mapping'!Y$4,$AJ94*$AD$29,0), IF('CO-PO Mapping'!Y$5,$AK94*$AE$29,0), IF('CO-PO Mapping'!Y$6,$AL94*$AF$29,0), IF('CO-PO Mapping'!Y$7,$AM94*$AG$29,0)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IF('CO-PO Mapping'!Y$6, IF(OR($AR94="-",SUM(IF('CO-PO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IF('CO-PO Mapping'!Y$7, IF(OR($AS94="-",SUM(IF('CO-PO Mapping'!Y$2,$AB$29,0),IF('CO-PO Mapping'!Y$3,$AC$29,0),IF('CO-PO Mapping'!Y$4,$AD$29,0),IF('CO-PO Mapping'!Y$5,$AE$29,0),IF('CO-PO Mapping'!Y$6,$AF$29,0),IF('CO-PO Mapping'!Y$7,$AG$29,0))=0), "-", IF(SUM(IF('CO-PO Mapping'!Y$2,$AH94*$AB$29,0),IF('CO-PO Mapping'!Y$3,$AI94*$AC$29,0),IF('CO-PO Mapping'!Y$4,$AJ94*$AD$29,0),IF('CO-PO Mapping'!Y$5,$AK94*$AE$29,0),IF('CO-PO Mapping'!Y$6,$AL94*$AF$29,0),IF('CO-PO Mapping'!Y$7,$AM94*$AG$29,0))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4" s="95" t="str">
        <f>IF('CO-PO Mapping'!Z$2, IF(OR($AN94="-",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IF(OR($AP94="-", SUM( IF('CO-PO Mapping'!Z$2,$AB$29,0), IF('CO-PO Mapping'!Z$3,$AC$29,0), IF('CO-PO Mapping'!Z$4,$AD$29,0), IF('CO-PO Mapping'!Z$5,$AE$29,0), IF('CO-PO Mapping'!Z$6,$AF$29,0), IF('CO-PO Mapping'!Z$7,$AG$29,0) )=0), "-", IF( SUM( IF('CO-PO Mapping'!Z$2,$AH94*$AB$29,0), IF('CO-PO Mapping'!Z$3,$AI94*$AC$29,0), IF('CO-PO Mapping'!Z$4,$AJ94*$AD$29,0), IF('CO-PO Mapping'!Z$5,$AK94*$AE$29,0), IF('CO-PO Mapping'!Z$6,$AL94*$AF$29,0), IF('CO-PO Mapping'!Z$7,$AM94*$AG$29,0)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IF('CO-PO Mapping'!Z$6, IF(OR($AR94="-",SUM(IF('CO-PO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IF('CO-PO Mapping'!Z$7, IF(OR($AS94="-",SUM(IF('CO-PO Mapping'!Z$2,$AB$29,0),IF('CO-PO Mapping'!Z$3,$AC$29,0),IF('CO-PO Mapping'!Z$4,$AD$29,0),IF('CO-PO Mapping'!Z$5,$AE$29,0),IF('CO-PO Mapping'!Z$6,$AF$29,0),IF('CO-PO Mapping'!Z$7,$AG$29,0))=0), "-", IF(SUM(IF('CO-PO Mapping'!Z$2,$AH94*$AB$29,0),IF('CO-PO Mapping'!Z$3,$AI94*$AC$29,0),IF('CO-PO Mapping'!Z$4,$AJ94*$AD$29,0),IF('CO-PO Mapping'!Z$5,$AK94*$AE$29,0),IF('CO-PO Mapping'!Z$6,$AL94*$AF$29,0),IF('CO-PO Mapping'!Z$7,$AM94*$AG$29,0))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5" spans="1:57" ht="15" customHeight="1">
      <c r="A95" s="88"/>
      <c r="B95" s="86"/>
      <c r="C95" s="74"/>
      <c r="D95" s="74"/>
      <c r="E95" s="75"/>
      <c r="F95" s="75"/>
      <c r="G95" s="75"/>
      <c r="H95" s="103" t="str">
        <f t="shared" si="29"/>
        <v>-</v>
      </c>
      <c r="I95" s="75"/>
      <c r="J95" s="75"/>
      <c r="K95" s="75"/>
      <c r="L95" s="75"/>
      <c r="M95" s="75"/>
      <c r="N95" s="75"/>
      <c r="O95" s="105" t="str">
        <f t="shared" si="30"/>
        <v>-</v>
      </c>
      <c r="P95" s="75"/>
      <c r="Q95" s="75"/>
      <c r="R95" s="75"/>
      <c r="S95" s="75"/>
      <c r="T95" s="75"/>
      <c r="U95" s="75"/>
      <c r="V95" s="104" t="str">
        <f t="shared" si="31"/>
        <v>-</v>
      </c>
      <c r="W95" s="83" t="str">
        <f t="shared" si="28"/>
        <v>-</v>
      </c>
      <c r="X95" s="98" t="str">
        <f t="shared" si="32"/>
        <v>-</v>
      </c>
      <c r="Z95" s="42" t="str">
        <f t="shared" si="34"/>
        <v/>
      </c>
      <c r="AA95" s="43" t="str">
        <f t="shared" si="35"/>
        <v/>
      </c>
      <c r="AB95" s="90">
        <f t="shared" ref="AB95:AE100" si="36">IF($W95="Absent",0,SUMIF($C$28:$U$28,SUBSTITUTE(SUBSTITUTE(AB$28,"[",""),"]",""),$C95:$U95))</f>
        <v>0</v>
      </c>
      <c r="AC95" s="90">
        <f t="shared" si="36"/>
        <v>0</v>
      </c>
      <c r="AD95" s="90">
        <f t="shared" si="36"/>
        <v>0</v>
      </c>
      <c r="AE95" s="90">
        <f t="shared" si="36"/>
        <v>0</v>
      </c>
      <c r="AF95" s="90">
        <f t="shared" si="33"/>
        <v>0</v>
      </c>
      <c r="AG95" s="90">
        <f t="shared" si="25"/>
        <v>0</v>
      </c>
      <c r="AH95" s="92">
        <f t="shared" si="12"/>
        <v>0</v>
      </c>
      <c r="AI95" s="92">
        <f t="shared" si="13"/>
        <v>0</v>
      </c>
      <c r="AJ95" s="92">
        <f t="shared" si="14"/>
        <v>0</v>
      </c>
      <c r="AK95" s="92">
        <f t="shared" si="22"/>
        <v>0</v>
      </c>
      <c r="AL95" s="92">
        <f t="shared" ref="AL95:AL100" si="37">IF($AF$29=0,0,AF95*100/$AF$29)</f>
        <v>0</v>
      </c>
      <c r="AM95" s="92">
        <f t="shared" ref="AM95:AM100" si="38">IF($AG$29=0,0,AG95*100/$AG$29)</f>
        <v>0</v>
      </c>
      <c r="AN95" s="93" t="str">
        <f t="shared" si="23"/>
        <v>-</v>
      </c>
      <c r="AO95" s="93" t="str">
        <f t="shared" si="17"/>
        <v>-</v>
      </c>
      <c r="AP95" s="93" t="str">
        <f t="shared" si="18"/>
        <v>-</v>
      </c>
      <c r="AQ95" s="93" t="str">
        <f t="shared" si="19"/>
        <v>-</v>
      </c>
      <c r="AR95" s="93" t="str">
        <f t="shared" si="19"/>
        <v>-</v>
      </c>
      <c r="AS95" s="93" t="str">
        <f t="shared" si="19"/>
        <v>-</v>
      </c>
      <c r="AT95" s="95" t="str">
        <f>IF('CO-PO Mapping'!O$2, IF(OR($AN95="-",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IF(OR($AP95="-", SUM( IF('CO-PO Mapping'!O$2,$AB$29,0), IF('CO-PO Mapping'!O$3,$AC$29,0), IF('CO-PO Mapping'!O$4,$AD$29,0), IF('CO-PO Mapping'!O$5,$AE$29,0), IF('CO-PO Mapping'!O$6,$AF$29,0), IF('CO-PO Mapping'!O$7,$AG$29,0) )=0), "-", IF( SUM( IF('CO-PO Mapping'!O$2,$AH95*$AB$29,0), IF('CO-PO Mapping'!O$3,$AI95*$AC$29,0), IF('CO-PO Mapping'!O$4,$AJ95*$AD$29,0), IF('CO-PO Mapping'!O$5,$AK95*$AE$29,0), IF('CO-PO Mapping'!O$6,$AL95*$AF$29,0), IF('CO-PO Mapping'!O$7,$AM95*$AG$29,0)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IF('CO-PO Mapping'!O$6, IF(OR($AR95="-",SUM(IF('CO-PO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IF('CO-PO Mapping'!O$7, IF(OR($AS95="-",SUM(IF('CO-PO Mapping'!O$2,$AB$29,0),IF('CO-PO Mapping'!O$3,$AC$29,0),IF('CO-PO Mapping'!O$4,$AD$29,0),IF('CO-PO Mapping'!O$5,$AE$29,0),IF('CO-PO Mapping'!O$6,$AF$29,0),IF('CO-PO Mapping'!O$7,$AG$29,0))=0), "-", IF(SUM(IF('CO-PO Mapping'!O$2,$AH95*$AB$29,0),IF('CO-PO Mapping'!O$3,$AI95*$AC$29,0),IF('CO-PO Mapping'!O$4,$AJ95*$AD$29,0),IF('CO-PO Mapping'!O$5,$AK95*$AE$29,0),IF('CO-PO Mapping'!O$6,$AL95*$AF$29,0),IF('CO-PO Mapping'!O$7,$AM95*$AG$29,0))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5" s="95" t="str">
        <f>IF('CO-PO Mapping'!P$2, IF(OR($AN95="-",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IF(OR($AP95="-", SUM( IF('CO-PO Mapping'!P$2,$AB$29,0), IF('CO-PO Mapping'!P$3,$AC$29,0), IF('CO-PO Mapping'!P$4,$AD$29,0), IF('CO-PO Mapping'!P$5,$AE$29,0), IF('CO-PO Mapping'!P$6,$AF$29,0), IF('CO-PO Mapping'!P$7,$AG$29,0) )=0), "-", IF( SUM( IF('CO-PO Mapping'!P$2,$AH95*$AB$29,0), IF('CO-PO Mapping'!P$3,$AI95*$AC$29,0), IF('CO-PO Mapping'!P$4,$AJ95*$AD$29,0), IF('CO-PO Mapping'!P$5,$AK95*$AE$29,0), IF('CO-PO Mapping'!P$6,$AL95*$AF$29,0), IF('CO-PO Mapping'!P$7,$AM95*$AG$29,0)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IF('CO-PO Mapping'!P$6, IF(OR($AR95="-",SUM(IF('CO-PO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IF('CO-PO Mapping'!P$7, IF(OR($AS95="-",SUM(IF('CO-PO Mapping'!P$2,$AB$29,0),IF('CO-PO Mapping'!P$3,$AC$29,0),IF('CO-PO Mapping'!P$4,$AD$29,0),IF('CO-PO Mapping'!P$5,$AE$29,0),IF('CO-PO Mapping'!P$6,$AF$29,0),IF('CO-PO Mapping'!P$7,$AG$29,0))=0), "-", IF(SUM(IF('CO-PO Mapping'!P$2,$AH95*$AB$29,0),IF('CO-PO Mapping'!P$3,$AI95*$AC$29,0),IF('CO-PO Mapping'!P$4,$AJ95*$AD$29,0),IF('CO-PO Mapping'!P$5,$AK95*$AE$29,0),IF('CO-PO Mapping'!P$6,$AL95*$AF$29,0),IF('CO-PO Mapping'!P$7,$AM95*$AG$29,0))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5" s="95" t="str">
        <f>IF('CO-PO Mapping'!Q$2, IF(OR($AN95="-",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IF(OR($AP95="-", SUM( IF('CO-PO Mapping'!Q$2,$AB$29,0), IF('CO-PO Mapping'!Q$3,$AC$29,0), IF('CO-PO Mapping'!Q$4,$AD$29,0), IF('CO-PO Mapping'!Q$5,$AE$29,0), IF('CO-PO Mapping'!Q$6,$AF$29,0), IF('CO-PO Mapping'!Q$7,$AG$29,0) )=0), "-", IF( SUM( IF('CO-PO Mapping'!Q$2,$AH95*$AB$29,0), IF('CO-PO Mapping'!Q$3,$AI95*$AC$29,0), IF('CO-PO Mapping'!Q$4,$AJ95*$AD$29,0), IF('CO-PO Mapping'!Q$5,$AK95*$AE$29,0), IF('CO-PO Mapping'!Q$6,$AL95*$AF$29,0), IF('CO-PO Mapping'!Q$7,$AM95*$AG$29,0)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IF('CO-PO Mapping'!Q$6, IF(OR($AR95="-",SUM(IF('CO-PO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IF('CO-PO Mapping'!Q$7, IF(OR($AS95="-",SUM(IF('CO-PO Mapping'!Q$2,$AB$29,0),IF('CO-PO Mapping'!Q$3,$AC$29,0),IF('CO-PO Mapping'!Q$4,$AD$29,0),IF('CO-PO Mapping'!Q$5,$AE$29,0),IF('CO-PO Mapping'!Q$6,$AF$29,0),IF('CO-PO Mapping'!Q$7,$AG$29,0))=0), "-", IF(SUM(IF('CO-PO Mapping'!Q$2,$AH95*$AB$29,0),IF('CO-PO Mapping'!Q$3,$AI95*$AC$29,0),IF('CO-PO Mapping'!Q$4,$AJ95*$AD$29,0),IF('CO-PO Mapping'!Q$5,$AK95*$AE$29,0),IF('CO-PO Mapping'!Q$6,$AL95*$AF$29,0),IF('CO-PO Mapping'!Q$7,$AM95*$AG$29,0))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5" s="95" t="str">
        <f>IF('CO-PO Mapping'!R$2, IF(OR($AN95="-",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IF(OR($AP95="-", SUM( IF('CO-PO Mapping'!R$2,$AB$29,0), IF('CO-PO Mapping'!R$3,$AC$29,0), IF('CO-PO Mapping'!R$4,$AD$29,0), IF('CO-PO Mapping'!R$5,$AE$29,0), IF('CO-PO Mapping'!R$6,$AF$29,0), IF('CO-PO Mapping'!R$7,$AG$29,0) )=0), "-", IF( SUM( IF('CO-PO Mapping'!R$2,$AH95*$AB$29,0), IF('CO-PO Mapping'!R$3,$AI95*$AC$29,0), IF('CO-PO Mapping'!R$4,$AJ95*$AD$29,0), IF('CO-PO Mapping'!R$5,$AK95*$AE$29,0), IF('CO-PO Mapping'!R$6,$AL95*$AF$29,0), IF('CO-PO Mapping'!R$7,$AM95*$AG$29,0)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IF('CO-PO Mapping'!R$6, IF(OR($AR95="-",SUM(IF('CO-PO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IF('CO-PO Mapping'!R$7, IF(OR($AS95="-",SUM(IF('CO-PO Mapping'!R$2,$AB$29,0),IF('CO-PO Mapping'!R$3,$AC$29,0),IF('CO-PO Mapping'!R$4,$AD$29,0),IF('CO-PO Mapping'!R$5,$AE$29,0),IF('CO-PO Mapping'!R$6,$AF$29,0),IF('CO-PO Mapping'!R$7,$AG$29,0))=0), "-", IF(SUM(IF('CO-PO Mapping'!R$2,$AH95*$AB$29,0),IF('CO-PO Mapping'!R$3,$AI95*$AC$29,0),IF('CO-PO Mapping'!R$4,$AJ95*$AD$29,0),IF('CO-PO Mapping'!R$5,$AK95*$AE$29,0),IF('CO-PO Mapping'!R$6,$AL95*$AF$29,0),IF('CO-PO Mapping'!R$7,$AM95*$AG$29,0))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5" s="95" t="str">
        <f>IF('CO-PO Mapping'!S$2, IF(OR($AN95="-",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IF(OR($AP95="-", SUM( IF('CO-PO Mapping'!S$2,$AB$29,0), IF('CO-PO Mapping'!S$3,$AC$29,0), IF('CO-PO Mapping'!S$4,$AD$29,0), IF('CO-PO Mapping'!S$5,$AE$29,0), IF('CO-PO Mapping'!S$6,$AF$29,0), IF('CO-PO Mapping'!S$7,$AG$29,0) )=0), "-", IF( SUM( IF('CO-PO Mapping'!S$2,$AH95*$AB$29,0), IF('CO-PO Mapping'!S$3,$AI95*$AC$29,0), IF('CO-PO Mapping'!S$4,$AJ95*$AD$29,0), IF('CO-PO Mapping'!S$5,$AK95*$AE$29,0), IF('CO-PO Mapping'!S$6,$AL95*$AF$29,0), IF('CO-PO Mapping'!S$7,$AM95*$AG$29,0)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IF('CO-PO Mapping'!S$6, IF(OR($AR95="-",SUM(IF('CO-PO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IF('CO-PO Mapping'!S$7, IF(OR($AS95="-",SUM(IF('CO-PO Mapping'!S$2,$AB$29,0),IF('CO-PO Mapping'!S$3,$AC$29,0),IF('CO-PO Mapping'!S$4,$AD$29,0),IF('CO-PO Mapping'!S$5,$AE$29,0),IF('CO-PO Mapping'!S$6,$AF$29,0),IF('CO-PO Mapping'!S$7,$AG$29,0))=0), "-", IF(SUM(IF('CO-PO Mapping'!S$2,$AH95*$AB$29,0),IF('CO-PO Mapping'!S$3,$AI95*$AC$29,0),IF('CO-PO Mapping'!S$4,$AJ95*$AD$29,0),IF('CO-PO Mapping'!S$5,$AK95*$AE$29,0),IF('CO-PO Mapping'!S$6,$AL95*$AF$29,0),IF('CO-PO Mapping'!S$7,$AM95*$AG$29,0))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5" s="95" t="str">
        <f>IF('CO-PO Mapping'!T$2, IF(OR($AN95="-",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IF(OR($AP95="-", SUM( IF('CO-PO Mapping'!T$2,$AB$29,0), IF('CO-PO Mapping'!T$3,$AC$29,0), IF('CO-PO Mapping'!T$4,$AD$29,0), IF('CO-PO Mapping'!T$5,$AE$29,0), IF('CO-PO Mapping'!T$6,$AF$29,0), IF('CO-PO Mapping'!T$7,$AG$29,0) )=0), "-", IF( SUM( IF('CO-PO Mapping'!T$2,$AH95*$AB$29,0), IF('CO-PO Mapping'!T$3,$AI95*$AC$29,0), IF('CO-PO Mapping'!T$4,$AJ95*$AD$29,0), IF('CO-PO Mapping'!T$5,$AK95*$AE$29,0), IF('CO-PO Mapping'!T$6,$AL95*$AF$29,0), IF('CO-PO Mapping'!T$7,$AM95*$AG$29,0)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IF('CO-PO Mapping'!T$6, IF(OR($AR95="-",SUM(IF('CO-PO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IF('CO-PO Mapping'!T$7, IF(OR($AS95="-",SUM(IF('CO-PO Mapping'!T$2,$AB$29,0),IF('CO-PO Mapping'!T$3,$AC$29,0),IF('CO-PO Mapping'!T$4,$AD$29,0),IF('CO-PO Mapping'!T$5,$AE$29,0),IF('CO-PO Mapping'!T$6,$AF$29,0),IF('CO-PO Mapping'!T$7,$AG$29,0))=0), "-", IF(SUM(IF('CO-PO Mapping'!T$2,$AH95*$AB$29,0),IF('CO-PO Mapping'!T$3,$AI95*$AC$29,0),IF('CO-PO Mapping'!T$4,$AJ95*$AD$29,0),IF('CO-PO Mapping'!T$5,$AK95*$AE$29,0),IF('CO-PO Mapping'!T$6,$AL95*$AF$29,0),IF('CO-PO Mapping'!T$7,$AM95*$AG$29,0))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5" s="95" t="str">
        <f>IF('CO-PO Mapping'!U$2, IF(OR($AN95="-",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IF(OR($AP95="-", SUM( IF('CO-PO Mapping'!U$2,$AB$29,0), IF('CO-PO Mapping'!U$3,$AC$29,0), IF('CO-PO Mapping'!U$4,$AD$29,0), IF('CO-PO Mapping'!U$5,$AE$29,0), IF('CO-PO Mapping'!U$6,$AF$29,0), IF('CO-PO Mapping'!U$7,$AG$29,0) )=0), "-", IF( SUM( IF('CO-PO Mapping'!U$2,$AH95*$AB$29,0), IF('CO-PO Mapping'!U$3,$AI95*$AC$29,0), IF('CO-PO Mapping'!U$4,$AJ95*$AD$29,0), IF('CO-PO Mapping'!U$5,$AK95*$AE$29,0), IF('CO-PO Mapping'!U$6,$AL95*$AF$29,0), IF('CO-PO Mapping'!U$7,$AM95*$AG$29,0)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IF('CO-PO Mapping'!U$6, IF(OR($AR95="-",SUM(IF('CO-PO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IF('CO-PO Mapping'!U$7, IF(OR($AS95="-",SUM(IF('CO-PO Mapping'!U$2,$AB$29,0),IF('CO-PO Mapping'!U$3,$AC$29,0),IF('CO-PO Mapping'!U$4,$AD$29,0),IF('CO-PO Mapping'!U$5,$AE$29,0),IF('CO-PO Mapping'!U$6,$AF$29,0),IF('CO-PO Mapping'!U$7,$AG$29,0))=0), "-", IF(SUM(IF('CO-PO Mapping'!U$2,$AH95*$AB$29,0),IF('CO-PO Mapping'!U$3,$AI95*$AC$29,0),IF('CO-PO Mapping'!U$4,$AJ95*$AD$29,0),IF('CO-PO Mapping'!U$5,$AK95*$AE$29,0),IF('CO-PO Mapping'!U$6,$AL95*$AF$29,0),IF('CO-PO Mapping'!U$7,$AM95*$AG$29,0))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5" s="95" t="str">
        <f>IF('CO-PO Mapping'!V$2, IF(OR($AN95="-",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IF(OR($AP95="-", SUM( IF('CO-PO Mapping'!V$2,$AB$29,0), IF('CO-PO Mapping'!V$3,$AC$29,0), IF('CO-PO Mapping'!V$4,$AD$29,0), IF('CO-PO Mapping'!V$5,$AE$29,0), IF('CO-PO Mapping'!V$6,$AF$29,0), IF('CO-PO Mapping'!V$7,$AG$29,0) )=0), "-", IF( SUM( IF('CO-PO Mapping'!V$2,$AH95*$AB$29,0), IF('CO-PO Mapping'!V$3,$AI95*$AC$29,0), IF('CO-PO Mapping'!V$4,$AJ95*$AD$29,0), IF('CO-PO Mapping'!V$5,$AK95*$AE$29,0), IF('CO-PO Mapping'!V$6,$AL95*$AF$29,0), IF('CO-PO Mapping'!V$7,$AM95*$AG$29,0)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IF('CO-PO Mapping'!V$6, IF(OR($AR95="-",SUM(IF('CO-PO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IF('CO-PO Mapping'!V$7, IF(OR($AS95="-",SUM(IF('CO-PO Mapping'!V$2,$AB$29,0),IF('CO-PO Mapping'!V$3,$AC$29,0),IF('CO-PO Mapping'!V$4,$AD$29,0),IF('CO-PO Mapping'!V$5,$AE$29,0),IF('CO-PO Mapping'!V$6,$AF$29,0),IF('CO-PO Mapping'!V$7,$AG$29,0))=0), "-", IF(SUM(IF('CO-PO Mapping'!V$2,$AH95*$AB$29,0),IF('CO-PO Mapping'!V$3,$AI95*$AC$29,0),IF('CO-PO Mapping'!V$4,$AJ95*$AD$29,0),IF('CO-PO Mapping'!V$5,$AK95*$AE$29,0),IF('CO-PO Mapping'!V$6,$AL95*$AF$29,0),IF('CO-PO Mapping'!V$7,$AM95*$AG$29,0))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5" s="95" t="str">
        <f>IF('CO-PO Mapping'!W$2, IF(OR($AN95="-",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IF(OR($AP95="-", SUM( IF('CO-PO Mapping'!W$2,$AB$29,0), IF('CO-PO Mapping'!W$3,$AC$29,0), IF('CO-PO Mapping'!W$4,$AD$29,0), IF('CO-PO Mapping'!W$5,$AE$29,0), IF('CO-PO Mapping'!W$6,$AF$29,0), IF('CO-PO Mapping'!W$7,$AG$29,0) )=0), "-", IF( SUM( IF('CO-PO Mapping'!W$2,$AH95*$AB$29,0), IF('CO-PO Mapping'!W$3,$AI95*$AC$29,0), IF('CO-PO Mapping'!W$4,$AJ95*$AD$29,0), IF('CO-PO Mapping'!W$5,$AK95*$AE$29,0), IF('CO-PO Mapping'!W$6,$AL95*$AF$29,0), IF('CO-PO Mapping'!W$7,$AM95*$AG$29,0)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IF('CO-PO Mapping'!W$6, IF(OR($AR95="-",SUM(IF('CO-PO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IF('CO-PO Mapping'!W$7, IF(OR($AS95="-",SUM(IF('CO-PO Mapping'!W$2,$AB$29,0),IF('CO-PO Mapping'!W$3,$AC$29,0),IF('CO-PO Mapping'!W$4,$AD$29,0),IF('CO-PO Mapping'!W$5,$AE$29,0),IF('CO-PO Mapping'!W$6,$AF$29,0),IF('CO-PO Mapping'!W$7,$AG$29,0))=0), "-", IF(SUM(IF('CO-PO Mapping'!W$2,$AH95*$AB$29,0),IF('CO-PO Mapping'!W$3,$AI95*$AC$29,0),IF('CO-PO Mapping'!W$4,$AJ95*$AD$29,0),IF('CO-PO Mapping'!W$5,$AK95*$AE$29,0),IF('CO-PO Mapping'!W$6,$AL95*$AF$29,0),IF('CO-PO Mapping'!W$7,$AM95*$AG$29,0))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5" s="95" t="str">
        <f>IF('CO-PO Mapping'!X$2, IF(OR($AN95="-",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IF(OR($AP95="-", SUM( IF('CO-PO Mapping'!X$2,$AB$29,0), IF('CO-PO Mapping'!X$3,$AC$29,0), IF('CO-PO Mapping'!X$4,$AD$29,0), IF('CO-PO Mapping'!X$5,$AE$29,0), IF('CO-PO Mapping'!X$6,$AF$29,0), IF('CO-PO Mapping'!X$7,$AG$29,0) )=0), "-", IF( SUM( IF('CO-PO Mapping'!X$2,$AH95*$AB$29,0), IF('CO-PO Mapping'!X$3,$AI95*$AC$29,0), IF('CO-PO Mapping'!X$4,$AJ95*$AD$29,0), IF('CO-PO Mapping'!X$5,$AK95*$AE$29,0), IF('CO-PO Mapping'!X$6,$AL95*$AF$29,0), IF('CO-PO Mapping'!X$7,$AM95*$AG$29,0)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IF('CO-PO Mapping'!X$6, IF(OR($AR95="-",SUM(IF('CO-PO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IF('CO-PO Mapping'!X$7, IF(OR($AS95="-",SUM(IF('CO-PO Mapping'!X$2,$AB$29,0),IF('CO-PO Mapping'!X$3,$AC$29,0),IF('CO-PO Mapping'!X$4,$AD$29,0),IF('CO-PO Mapping'!X$5,$AE$29,0),IF('CO-PO Mapping'!X$6,$AF$29,0),IF('CO-PO Mapping'!X$7,$AG$29,0))=0), "-", IF(SUM(IF('CO-PO Mapping'!X$2,$AH95*$AB$29,0),IF('CO-PO Mapping'!X$3,$AI95*$AC$29,0),IF('CO-PO Mapping'!X$4,$AJ95*$AD$29,0),IF('CO-PO Mapping'!X$5,$AK95*$AE$29,0),IF('CO-PO Mapping'!X$6,$AL95*$AF$29,0),IF('CO-PO Mapping'!X$7,$AM95*$AG$29,0))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5" s="95" t="str">
        <f>IF('CO-PO Mapping'!Y$2, IF(OR($AN95="-",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IF(OR($AP95="-", SUM( IF('CO-PO Mapping'!Y$2,$AB$29,0), IF('CO-PO Mapping'!Y$3,$AC$29,0), IF('CO-PO Mapping'!Y$4,$AD$29,0), IF('CO-PO Mapping'!Y$5,$AE$29,0), IF('CO-PO Mapping'!Y$6,$AF$29,0), IF('CO-PO Mapping'!Y$7,$AG$29,0) )=0), "-", IF( SUM( IF('CO-PO Mapping'!Y$2,$AH95*$AB$29,0), IF('CO-PO Mapping'!Y$3,$AI95*$AC$29,0), IF('CO-PO Mapping'!Y$4,$AJ95*$AD$29,0), IF('CO-PO Mapping'!Y$5,$AK95*$AE$29,0), IF('CO-PO Mapping'!Y$6,$AL95*$AF$29,0), IF('CO-PO Mapping'!Y$7,$AM95*$AG$29,0)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IF('CO-PO Mapping'!Y$6, IF(OR($AR95="-",SUM(IF('CO-PO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IF('CO-PO Mapping'!Y$7, IF(OR($AS95="-",SUM(IF('CO-PO Mapping'!Y$2,$AB$29,0),IF('CO-PO Mapping'!Y$3,$AC$29,0),IF('CO-PO Mapping'!Y$4,$AD$29,0),IF('CO-PO Mapping'!Y$5,$AE$29,0),IF('CO-PO Mapping'!Y$6,$AF$29,0),IF('CO-PO Mapping'!Y$7,$AG$29,0))=0), "-", IF(SUM(IF('CO-PO Mapping'!Y$2,$AH95*$AB$29,0),IF('CO-PO Mapping'!Y$3,$AI95*$AC$29,0),IF('CO-PO Mapping'!Y$4,$AJ95*$AD$29,0),IF('CO-PO Mapping'!Y$5,$AK95*$AE$29,0),IF('CO-PO Mapping'!Y$6,$AL95*$AF$29,0),IF('CO-PO Mapping'!Y$7,$AM95*$AG$29,0))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5" s="95" t="str">
        <f>IF('CO-PO Mapping'!Z$2, IF(OR($AN95="-",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IF(OR($AP95="-", SUM( IF('CO-PO Mapping'!Z$2,$AB$29,0), IF('CO-PO Mapping'!Z$3,$AC$29,0), IF('CO-PO Mapping'!Z$4,$AD$29,0), IF('CO-PO Mapping'!Z$5,$AE$29,0), IF('CO-PO Mapping'!Z$6,$AF$29,0), IF('CO-PO Mapping'!Z$7,$AG$29,0) )=0), "-", IF( SUM( IF('CO-PO Mapping'!Z$2,$AH95*$AB$29,0), IF('CO-PO Mapping'!Z$3,$AI95*$AC$29,0), IF('CO-PO Mapping'!Z$4,$AJ95*$AD$29,0), IF('CO-PO Mapping'!Z$5,$AK95*$AE$29,0), IF('CO-PO Mapping'!Z$6,$AL95*$AF$29,0), IF('CO-PO Mapping'!Z$7,$AM95*$AG$29,0)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IF('CO-PO Mapping'!Z$6, IF(OR($AR95="-",SUM(IF('CO-PO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IF('CO-PO Mapping'!Z$7, IF(OR($AS95="-",SUM(IF('CO-PO Mapping'!Z$2,$AB$29,0),IF('CO-PO Mapping'!Z$3,$AC$29,0),IF('CO-PO Mapping'!Z$4,$AD$29,0),IF('CO-PO Mapping'!Z$5,$AE$29,0),IF('CO-PO Mapping'!Z$6,$AF$29,0),IF('CO-PO Mapping'!Z$7,$AG$29,0))=0), "-", IF(SUM(IF('CO-PO Mapping'!Z$2,$AH95*$AB$29,0),IF('CO-PO Mapping'!Z$3,$AI95*$AC$29,0),IF('CO-PO Mapping'!Z$4,$AJ95*$AD$29,0),IF('CO-PO Mapping'!Z$5,$AK95*$AE$29,0),IF('CO-PO Mapping'!Z$6,$AL95*$AF$29,0),IF('CO-PO Mapping'!Z$7,$AM95*$AG$29,0))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6" spans="1:57" ht="15" customHeight="1">
      <c r="A96" s="88"/>
      <c r="B96" s="86"/>
      <c r="C96" s="74"/>
      <c r="D96" s="74"/>
      <c r="E96" s="75"/>
      <c r="F96" s="75"/>
      <c r="G96" s="75"/>
      <c r="H96" s="103" t="str">
        <f t="shared" si="29"/>
        <v>-</v>
      </c>
      <c r="I96" s="75"/>
      <c r="J96" s="75"/>
      <c r="K96" s="75"/>
      <c r="L96" s="75"/>
      <c r="M96" s="75"/>
      <c r="N96" s="75"/>
      <c r="O96" s="105" t="str">
        <f t="shared" si="30"/>
        <v>-</v>
      </c>
      <c r="P96" s="75"/>
      <c r="Q96" s="75"/>
      <c r="R96" s="75"/>
      <c r="S96" s="75"/>
      <c r="T96" s="75"/>
      <c r="U96" s="75"/>
      <c r="V96" s="104" t="str">
        <f t="shared" si="31"/>
        <v>-</v>
      </c>
      <c r="W96" s="83" t="str">
        <f t="shared" si="28"/>
        <v>-</v>
      </c>
      <c r="X96" s="98" t="str">
        <f t="shared" si="32"/>
        <v>-</v>
      </c>
      <c r="Z96" s="42" t="str">
        <f t="shared" si="34"/>
        <v/>
      </c>
      <c r="AA96" s="43" t="str">
        <f t="shared" si="35"/>
        <v/>
      </c>
      <c r="AB96" s="90">
        <f t="shared" si="36"/>
        <v>0</v>
      </c>
      <c r="AC96" s="90">
        <f t="shared" si="36"/>
        <v>0</v>
      </c>
      <c r="AD96" s="90">
        <f t="shared" si="36"/>
        <v>0</v>
      </c>
      <c r="AE96" s="90">
        <f t="shared" si="36"/>
        <v>0</v>
      </c>
      <c r="AF96" s="90">
        <f t="shared" si="33"/>
        <v>0</v>
      </c>
      <c r="AG96" s="90">
        <f t="shared" si="25"/>
        <v>0</v>
      </c>
      <c r="AH96" s="92">
        <f t="shared" si="12"/>
        <v>0</v>
      </c>
      <c r="AI96" s="92">
        <f t="shared" si="13"/>
        <v>0</v>
      </c>
      <c r="AJ96" s="92">
        <f t="shared" si="14"/>
        <v>0</v>
      </c>
      <c r="AK96" s="92">
        <f t="shared" si="22"/>
        <v>0</v>
      </c>
      <c r="AL96" s="92">
        <f t="shared" si="37"/>
        <v>0</v>
      </c>
      <c r="AM96" s="92">
        <f t="shared" si="38"/>
        <v>0</v>
      </c>
      <c r="AN96" s="93" t="str">
        <f t="shared" si="23"/>
        <v>-</v>
      </c>
      <c r="AO96" s="93" t="str">
        <f t="shared" si="17"/>
        <v>-</v>
      </c>
      <c r="AP96" s="93" t="str">
        <f t="shared" si="18"/>
        <v>-</v>
      </c>
      <c r="AQ96" s="93" t="str">
        <f t="shared" si="19"/>
        <v>-</v>
      </c>
      <c r="AR96" s="93" t="str">
        <f t="shared" si="19"/>
        <v>-</v>
      </c>
      <c r="AS96" s="93" t="str">
        <f t="shared" si="19"/>
        <v>-</v>
      </c>
      <c r="AT96" s="95" t="str">
        <f>IF('CO-PO Mapping'!O$2, IF(OR($AN96="-",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IF(OR($AP96="-", SUM( IF('CO-PO Mapping'!O$2,$AB$29,0), IF('CO-PO Mapping'!O$3,$AC$29,0), IF('CO-PO Mapping'!O$4,$AD$29,0), IF('CO-PO Mapping'!O$5,$AE$29,0), IF('CO-PO Mapping'!O$6,$AF$29,0), IF('CO-PO Mapping'!O$7,$AG$29,0) )=0), "-", IF( SUM( IF('CO-PO Mapping'!O$2,$AH96*$AB$29,0), IF('CO-PO Mapping'!O$3,$AI96*$AC$29,0), IF('CO-PO Mapping'!O$4,$AJ96*$AD$29,0), IF('CO-PO Mapping'!O$5,$AK96*$AE$29,0), IF('CO-PO Mapping'!O$6,$AL96*$AF$29,0), IF('CO-PO Mapping'!O$7,$AM96*$AG$29,0)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IF('CO-PO Mapping'!O$6, IF(OR($AR96="-",SUM(IF('CO-PO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IF('CO-PO Mapping'!O$7, IF(OR($AS96="-",SUM(IF('CO-PO Mapping'!O$2,$AB$29,0),IF('CO-PO Mapping'!O$3,$AC$29,0),IF('CO-PO Mapping'!O$4,$AD$29,0),IF('CO-PO Mapping'!O$5,$AE$29,0),IF('CO-PO Mapping'!O$6,$AF$29,0),IF('CO-PO Mapping'!O$7,$AG$29,0))=0), "-", IF(SUM(IF('CO-PO Mapping'!O$2,$AH96*$AB$29,0),IF('CO-PO Mapping'!O$3,$AI96*$AC$29,0),IF('CO-PO Mapping'!O$4,$AJ96*$AD$29,0),IF('CO-PO Mapping'!O$5,$AK96*$AE$29,0),IF('CO-PO Mapping'!O$6,$AL96*$AF$29,0),IF('CO-PO Mapping'!O$7,$AM96*$AG$29,0))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6" s="95" t="str">
        <f>IF('CO-PO Mapping'!P$2, IF(OR($AN96="-",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IF(OR($AP96="-", SUM( IF('CO-PO Mapping'!P$2,$AB$29,0), IF('CO-PO Mapping'!P$3,$AC$29,0), IF('CO-PO Mapping'!P$4,$AD$29,0), IF('CO-PO Mapping'!P$5,$AE$29,0), IF('CO-PO Mapping'!P$6,$AF$29,0), IF('CO-PO Mapping'!P$7,$AG$29,0) )=0), "-", IF( SUM( IF('CO-PO Mapping'!P$2,$AH96*$AB$29,0), IF('CO-PO Mapping'!P$3,$AI96*$AC$29,0), IF('CO-PO Mapping'!P$4,$AJ96*$AD$29,0), IF('CO-PO Mapping'!P$5,$AK96*$AE$29,0), IF('CO-PO Mapping'!P$6,$AL96*$AF$29,0), IF('CO-PO Mapping'!P$7,$AM96*$AG$29,0)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IF('CO-PO Mapping'!P$6, IF(OR($AR96="-",SUM(IF('CO-PO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IF('CO-PO Mapping'!P$7, IF(OR($AS96="-",SUM(IF('CO-PO Mapping'!P$2,$AB$29,0),IF('CO-PO Mapping'!P$3,$AC$29,0),IF('CO-PO Mapping'!P$4,$AD$29,0),IF('CO-PO Mapping'!P$5,$AE$29,0),IF('CO-PO Mapping'!P$6,$AF$29,0),IF('CO-PO Mapping'!P$7,$AG$29,0))=0), "-", IF(SUM(IF('CO-PO Mapping'!P$2,$AH96*$AB$29,0),IF('CO-PO Mapping'!P$3,$AI96*$AC$29,0),IF('CO-PO Mapping'!P$4,$AJ96*$AD$29,0),IF('CO-PO Mapping'!P$5,$AK96*$AE$29,0),IF('CO-PO Mapping'!P$6,$AL96*$AF$29,0),IF('CO-PO Mapping'!P$7,$AM96*$AG$29,0))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6" s="95" t="str">
        <f>IF('CO-PO Mapping'!Q$2, IF(OR($AN96="-",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IF(OR($AP96="-", SUM( IF('CO-PO Mapping'!Q$2,$AB$29,0), IF('CO-PO Mapping'!Q$3,$AC$29,0), IF('CO-PO Mapping'!Q$4,$AD$29,0), IF('CO-PO Mapping'!Q$5,$AE$29,0), IF('CO-PO Mapping'!Q$6,$AF$29,0), IF('CO-PO Mapping'!Q$7,$AG$29,0) )=0), "-", IF( SUM( IF('CO-PO Mapping'!Q$2,$AH96*$AB$29,0), IF('CO-PO Mapping'!Q$3,$AI96*$AC$29,0), IF('CO-PO Mapping'!Q$4,$AJ96*$AD$29,0), IF('CO-PO Mapping'!Q$5,$AK96*$AE$29,0), IF('CO-PO Mapping'!Q$6,$AL96*$AF$29,0), IF('CO-PO Mapping'!Q$7,$AM96*$AG$29,0)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IF('CO-PO Mapping'!Q$6, IF(OR($AR96="-",SUM(IF('CO-PO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IF('CO-PO Mapping'!Q$7, IF(OR($AS96="-",SUM(IF('CO-PO Mapping'!Q$2,$AB$29,0),IF('CO-PO Mapping'!Q$3,$AC$29,0),IF('CO-PO Mapping'!Q$4,$AD$29,0),IF('CO-PO Mapping'!Q$5,$AE$29,0),IF('CO-PO Mapping'!Q$6,$AF$29,0),IF('CO-PO Mapping'!Q$7,$AG$29,0))=0), "-", IF(SUM(IF('CO-PO Mapping'!Q$2,$AH96*$AB$29,0),IF('CO-PO Mapping'!Q$3,$AI96*$AC$29,0),IF('CO-PO Mapping'!Q$4,$AJ96*$AD$29,0),IF('CO-PO Mapping'!Q$5,$AK96*$AE$29,0),IF('CO-PO Mapping'!Q$6,$AL96*$AF$29,0),IF('CO-PO Mapping'!Q$7,$AM96*$AG$29,0))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6" s="95" t="str">
        <f>IF('CO-PO Mapping'!R$2, IF(OR($AN96="-",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IF(OR($AP96="-", SUM( IF('CO-PO Mapping'!R$2,$AB$29,0), IF('CO-PO Mapping'!R$3,$AC$29,0), IF('CO-PO Mapping'!R$4,$AD$29,0), IF('CO-PO Mapping'!R$5,$AE$29,0), IF('CO-PO Mapping'!R$6,$AF$29,0), IF('CO-PO Mapping'!R$7,$AG$29,0) )=0), "-", IF( SUM( IF('CO-PO Mapping'!R$2,$AH96*$AB$29,0), IF('CO-PO Mapping'!R$3,$AI96*$AC$29,0), IF('CO-PO Mapping'!R$4,$AJ96*$AD$29,0), IF('CO-PO Mapping'!R$5,$AK96*$AE$29,0), IF('CO-PO Mapping'!R$6,$AL96*$AF$29,0), IF('CO-PO Mapping'!R$7,$AM96*$AG$29,0)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IF('CO-PO Mapping'!R$6, IF(OR($AR96="-",SUM(IF('CO-PO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IF('CO-PO Mapping'!R$7, IF(OR($AS96="-",SUM(IF('CO-PO Mapping'!R$2,$AB$29,0),IF('CO-PO Mapping'!R$3,$AC$29,0),IF('CO-PO Mapping'!R$4,$AD$29,0),IF('CO-PO Mapping'!R$5,$AE$29,0),IF('CO-PO Mapping'!R$6,$AF$29,0),IF('CO-PO Mapping'!R$7,$AG$29,0))=0), "-", IF(SUM(IF('CO-PO Mapping'!R$2,$AH96*$AB$29,0),IF('CO-PO Mapping'!R$3,$AI96*$AC$29,0),IF('CO-PO Mapping'!R$4,$AJ96*$AD$29,0),IF('CO-PO Mapping'!R$5,$AK96*$AE$29,0),IF('CO-PO Mapping'!R$6,$AL96*$AF$29,0),IF('CO-PO Mapping'!R$7,$AM96*$AG$29,0))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6" s="95" t="str">
        <f>IF('CO-PO Mapping'!S$2, IF(OR($AN96="-",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IF(OR($AP96="-", SUM( IF('CO-PO Mapping'!S$2,$AB$29,0), IF('CO-PO Mapping'!S$3,$AC$29,0), IF('CO-PO Mapping'!S$4,$AD$29,0), IF('CO-PO Mapping'!S$5,$AE$29,0), IF('CO-PO Mapping'!S$6,$AF$29,0), IF('CO-PO Mapping'!S$7,$AG$29,0) )=0), "-", IF( SUM( IF('CO-PO Mapping'!S$2,$AH96*$AB$29,0), IF('CO-PO Mapping'!S$3,$AI96*$AC$29,0), IF('CO-PO Mapping'!S$4,$AJ96*$AD$29,0), IF('CO-PO Mapping'!S$5,$AK96*$AE$29,0), IF('CO-PO Mapping'!S$6,$AL96*$AF$29,0), IF('CO-PO Mapping'!S$7,$AM96*$AG$29,0)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IF('CO-PO Mapping'!S$6, IF(OR($AR96="-",SUM(IF('CO-PO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IF('CO-PO Mapping'!S$7, IF(OR($AS96="-",SUM(IF('CO-PO Mapping'!S$2,$AB$29,0),IF('CO-PO Mapping'!S$3,$AC$29,0),IF('CO-PO Mapping'!S$4,$AD$29,0),IF('CO-PO Mapping'!S$5,$AE$29,0),IF('CO-PO Mapping'!S$6,$AF$29,0),IF('CO-PO Mapping'!S$7,$AG$29,0))=0), "-", IF(SUM(IF('CO-PO Mapping'!S$2,$AH96*$AB$29,0),IF('CO-PO Mapping'!S$3,$AI96*$AC$29,0),IF('CO-PO Mapping'!S$4,$AJ96*$AD$29,0),IF('CO-PO Mapping'!S$5,$AK96*$AE$29,0),IF('CO-PO Mapping'!S$6,$AL96*$AF$29,0),IF('CO-PO Mapping'!S$7,$AM96*$AG$29,0))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6" s="95" t="str">
        <f>IF('CO-PO Mapping'!T$2, IF(OR($AN96="-",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IF(OR($AP96="-", SUM( IF('CO-PO Mapping'!T$2,$AB$29,0), IF('CO-PO Mapping'!T$3,$AC$29,0), IF('CO-PO Mapping'!T$4,$AD$29,0), IF('CO-PO Mapping'!T$5,$AE$29,0), IF('CO-PO Mapping'!T$6,$AF$29,0), IF('CO-PO Mapping'!T$7,$AG$29,0) )=0), "-", IF( SUM( IF('CO-PO Mapping'!T$2,$AH96*$AB$29,0), IF('CO-PO Mapping'!T$3,$AI96*$AC$29,0), IF('CO-PO Mapping'!T$4,$AJ96*$AD$29,0), IF('CO-PO Mapping'!T$5,$AK96*$AE$29,0), IF('CO-PO Mapping'!T$6,$AL96*$AF$29,0), IF('CO-PO Mapping'!T$7,$AM96*$AG$29,0)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IF('CO-PO Mapping'!T$6, IF(OR($AR96="-",SUM(IF('CO-PO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IF('CO-PO Mapping'!T$7, IF(OR($AS96="-",SUM(IF('CO-PO Mapping'!T$2,$AB$29,0),IF('CO-PO Mapping'!T$3,$AC$29,0),IF('CO-PO Mapping'!T$4,$AD$29,0),IF('CO-PO Mapping'!T$5,$AE$29,0),IF('CO-PO Mapping'!T$6,$AF$29,0),IF('CO-PO Mapping'!T$7,$AG$29,0))=0), "-", IF(SUM(IF('CO-PO Mapping'!T$2,$AH96*$AB$29,0),IF('CO-PO Mapping'!T$3,$AI96*$AC$29,0),IF('CO-PO Mapping'!T$4,$AJ96*$AD$29,0),IF('CO-PO Mapping'!T$5,$AK96*$AE$29,0),IF('CO-PO Mapping'!T$6,$AL96*$AF$29,0),IF('CO-PO Mapping'!T$7,$AM96*$AG$29,0))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6" s="95" t="str">
        <f>IF('CO-PO Mapping'!U$2, IF(OR($AN96="-",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IF(OR($AP96="-", SUM( IF('CO-PO Mapping'!U$2,$AB$29,0), IF('CO-PO Mapping'!U$3,$AC$29,0), IF('CO-PO Mapping'!U$4,$AD$29,0), IF('CO-PO Mapping'!U$5,$AE$29,0), IF('CO-PO Mapping'!U$6,$AF$29,0), IF('CO-PO Mapping'!U$7,$AG$29,0) )=0), "-", IF( SUM( IF('CO-PO Mapping'!U$2,$AH96*$AB$29,0), IF('CO-PO Mapping'!U$3,$AI96*$AC$29,0), IF('CO-PO Mapping'!U$4,$AJ96*$AD$29,0), IF('CO-PO Mapping'!U$5,$AK96*$AE$29,0), IF('CO-PO Mapping'!U$6,$AL96*$AF$29,0), IF('CO-PO Mapping'!U$7,$AM96*$AG$29,0)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IF('CO-PO Mapping'!U$6, IF(OR($AR96="-",SUM(IF('CO-PO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IF('CO-PO Mapping'!U$7, IF(OR($AS96="-",SUM(IF('CO-PO Mapping'!U$2,$AB$29,0),IF('CO-PO Mapping'!U$3,$AC$29,0),IF('CO-PO Mapping'!U$4,$AD$29,0),IF('CO-PO Mapping'!U$5,$AE$29,0),IF('CO-PO Mapping'!U$6,$AF$29,0),IF('CO-PO Mapping'!U$7,$AG$29,0))=0), "-", IF(SUM(IF('CO-PO Mapping'!U$2,$AH96*$AB$29,0),IF('CO-PO Mapping'!U$3,$AI96*$AC$29,0),IF('CO-PO Mapping'!U$4,$AJ96*$AD$29,0),IF('CO-PO Mapping'!U$5,$AK96*$AE$29,0),IF('CO-PO Mapping'!U$6,$AL96*$AF$29,0),IF('CO-PO Mapping'!U$7,$AM96*$AG$29,0))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6" s="95" t="str">
        <f>IF('CO-PO Mapping'!V$2, IF(OR($AN96="-",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IF(OR($AP96="-", SUM( IF('CO-PO Mapping'!V$2,$AB$29,0), IF('CO-PO Mapping'!V$3,$AC$29,0), IF('CO-PO Mapping'!V$4,$AD$29,0), IF('CO-PO Mapping'!V$5,$AE$29,0), IF('CO-PO Mapping'!V$6,$AF$29,0), IF('CO-PO Mapping'!V$7,$AG$29,0) )=0), "-", IF( SUM( IF('CO-PO Mapping'!V$2,$AH96*$AB$29,0), IF('CO-PO Mapping'!V$3,$AI96*$AC$29,0), IF('CO-PO Mapping'!V$4,$AJ96*$AD$29,0), IF('CO-PO Mapping'!V$5,$AK96*$AE$29,0), IF('CO-PO Mapping'!V$6,$AL96*$AF$29,0), IF('CO-PO Mapping'!V$7,$AM96*$AG$29,0)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IF('CO-PO Mapping'!V$6, IF(OR($AR96="-",SUM(IF('CO-PO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IF('CO-PO Mapping'!V$7, IF(OR($AS96="-",SUM(IF('CO-PO Mapping'!V$2,$AB$29,0),IF('CO-PO Mapping'!V$3,$AC$29,0),IF('CO-PO Mapping'!V$4,$AD$29,0),IF('CO-PO Mapping'!V$5,$AE$29,0),IF('CO-PO Mapping'!V$6,$AF$29,0),IF('CO-PO Mapping'!V$7,$AG$29,0))=0), "-", IF(SUM(IF('CO-PO Mapping'!V$2,$AH96*$AB$29,0),IF('CO-PO Mapping'!V$3,$AI96*$AC$29,0),IF('CO-PO Mapping'!V$4,$AJ96*$AD$29,0),IF('CO-PO Mapping'!V$5,$AK96*$AE$29,0),IF('CO-PO Mapping'!V$6,$AL96*$AF$29,0),IF('CO-PO Mapping'!V$7,$AM96*$AG$29,0))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6" s="95" t="str">
        <f>IF('CO-PO Mapping'!W$2, IF(OR($AN96="-",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IF(OR($AP96="-", SUM( IF('CO-PO Mapping'!W$2,$AB$29,0), IF('CO-PO Mapping'!W$3,$AC$29,0), IF('CO-PO Mapping'!W$4,$AD$29,0), IF('CO-PO Mapping'!W$5,$AE$29,0), IF('CO-PO Mapping'!W$6,$AF$29,0), IF('CO-PO Mapping'!W$7,$AG$29,0) )=0), "-", IF( SUM( IF('CO-PO Mapping'!W$2,$AH96*$AB$29,0), IF('CO-PO Mapping'!W$3,$AI96*$AC$29,0), IF('CO-PO Mapping'!W$4,$AJ96*$AD$29,0), IF('CO-PO Mapping'!W$5,$AK96*$AE$29,0), IF('CO-PO Mapping'!W$6,$AL96*$AF$29,0), IF('CO-PO Mapping'!W$7,$AM96*$AG$29,0)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IF('CO-PO Mapping'!W$6, IF(OR($AR96="-",SUM(IF('CO-PO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IF('CO-PO Mapping'!W$7, IF(OR($AS96="-",SUM(IF('CO-PO Mapping'!W$2,$AB$29,0),IF('CO-PO Mapping'!W$3,$AC$29,0),IF('CO-PO Mapping'!W$4,$AD$29,0),IF('CO-PO Mapping'!W$5,$AE$29,0),IF('CO-PO Mapping'!W$6,$AF$29,0),IF('CO-PO Mapping'!W$7,$AG$29,0))=0), "-", IF(SUM(IF('CO-PO Mapping'!W$2,$AH96*$AB$29,0),IF('CO-PO Mapping'!W$3,$AI96*$AC$29,0),IF('CO-PO Mapping'!W$4,$AJ96*$AD$29,0),IF('CO-PO Mapping'!W$5,$AK96*$AE$29,0),IF('CO-PO Mapping'!W$6,$AL96*$AF$29,0),IF('CO-PO Mapping'!W$7,$AM96*$AG$29,0))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6" s="95" t="str">
        <f>IF('CO-PO Mapping'!X$2, IF(OR($AN96="-",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IF(OR($AP96="-", SUM( IF('CO-PO Mapping'!X$2,$AB$29,0), IF('CO-PO Mapping'!X$3,$AC$29,0), IF('CO-PO Mapping'!X$4,$AD$29,0), IF('CO-PO Mapping'!X$5,$AE$29,0), IF('CO-PO Mapping'!X$6,$AF$29,0), IF('CO-PO Mapping'!X$7,$AG$29,0) )=0), "-", IF( SUM( IF('CO-PO Mapping'!X$2,$AH96*$AB$29,0), IF('CO-PO Mapping'!X$3,$AI96*$AC$29,0), IF('CO-PO Mapping'!X$4,$AJ96*$AD$29,0), IF('CO-PO Mapping'!X$5,$AK96*$AE$29,0), IF('CO-PO Mapping'!X$6,$AL96*$AF$29,0), IF('CO-PO Mapping'!X$7,$AM96*$AG$29,0)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IF('CO-PO Mapping'!X$6, IF(OR($AR96="-",SUM(IF('CO-PO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IF('CO-PO Mapping'!X$7, IF(OR($AS96="-",SUM(IF('CO-PO Mapping'!X$2,$AB$29,0),IF('CO-PO Mapping'!X$3,$AC$29,0),IF('CO-PO Mapping'!X$4,$AD$29,0),IF('CO-PO Mapping'!X$5,$AE$29,0),IF('CO-PO Mapping'!X$6,$AF$29,0),IF('CO-PO Mapping'!X$7,$AG$29,0))=0), "-", IF(SUM(IF('CO-PO Mapping'!X$2,$AH96*$AB$29,0),IF('CO-PO Mapping'!X$3,$AI96*$AC$29,0),IF('CO-PO Mapping'!X$4,$AJ96*$AD$29,0),IF('CO-PO Mapping'!X$5,$AK96*$AE$29,0),IF('CO-PO Mapping'!X$6,$AL96*$AF$29,0),IF('CO-PO Mapping'!X$7,$AM96*$AG$29,0))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6" s="95" t="str">
        <f>IF('CO-PO Mapping'!Y$2, IF(OR($AN96="-",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IF(OR($AP96="-", SUM( IF('CO-PO Mapping'!Y$2,$AB$29,0), IF('CO-PO Mapping'!Y$3,$AC$29,0), IF('CO-PO Mapping'!Y$4,$AD$29,0), IF('CO-PO Mapping'!Y$5,$AE$29,0), IF('CO-PO Mapping'!Y$6,$AF$29,0), IF('CO-PO Mapping'!Y$7,$AG$29,0) )=0), "-", IF( SUM( IF('CO-PO Mapping'!Y$2,$AH96*$AB$29,0), IF('CO-PO Mapping'!Y$3,$AI96*$AC$29,0), IF('CO-PO Mapping'!Y$4,$AJ96*$AD$29,0), IF('CO-PO Mapping'!Y$5,$AK96*$AE$29,0), IF('CO-PO Mapping'!Y$6,$AL96*$AF$29,0), IF('CO-PO Mapping'!Y$7,$AM96*$AG$29,0)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IF('CO-PO Mapping'!Y$6, IF(OR($AR96="-",SUM(IF('CO-PO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IF('CO-PO Mapping'!Y$7, IF(OR($AS96="-",SUM(IF('CO-PO Mapping'!Y$2,$AB$29,0),IF('CO-PO Mapping'!Y$3,$AC$29,0),IF('CO-PO Mapping'!Y$4,$AD$29,0),IF('CO-PO Mapping'!Y$5,$AE$29,0),IF('CO-PO Mapping'!Y$6,$AF$29,0),IF('CO-PO Mapping'!Y$7,$AG$29,0))=0), "-", IF(SUM(IF('CO-PO Mapping'!Y$2,$AH96*$AB$29,0),IF('CO-PO Mapping'!Y$3,$AI96*$AC$29,0),IF('CO-PO Mapping'!Y$4,$AJ96*$AD$29,0),IF('CO-PO Mapping'!Y$5,$AK96*$AE$29,0),IF('CO-PO Mapping'!Y$6,$AL96*$AF$29,0),IF('CO-PO Mapping'!Y$7,$AM96*$AG$29,0))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6" s="95" t="str">
        <f>IF('CO-PO Mapping'!Z$2, IF(OR($AN96="-",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IF(OR($AP96="-", SUM( IF('CO-PO Mapping'!Z$2,$AB$29,0), IF('CO-PO Mapping'!Z$3,$AC$29,0), IF('CO-PO Mapping'!Z$4,$AD$29,0), IF('CO-PO Mapping'!Z$5,$AE$29,0), IF('CO-PO Mapping'!Z$6,$AF$29,0), IF('CO-PO Mapping'!Z$7,$AG$29,0) )=0), "-", IF( SUM( IF('CO-PO Mapping'!Z$2,$AH96*$AB$29,0), IF('CO-PO Mapping'!Z$3,$AI96*$AC$29,0), IF('CO-PO Mapping'!Z$4,$AJ96*$AD$29,0), IF('CO-PO Mapping'!Z$5,$AK96*$AE$29,0), IF('CO-PO Mapping'!Z$6,$AL96*$AF$29,0), IF('CO-PO Mapping'!Z$7,$AM96*$AG$29,0)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IF('CO-PO Mapping'!Z$6, IF(OR($AR96="-",SUM(IF('CO-PO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IF('CO-PO Mapping'!Z$7, IF(OR($AS96="-",SUM(IF('CO-PO Mapping'!Z$2,$AB$29,0),IF('CO-PO Mapping'!Z$3,$AC$29,0),IF('CO-PO Mapping'!Z$4,$AD$29,0),IF('CO-PO Mapping'!Z$5,$AE$29,0),IF('CO-PO Mapping'!Z$6,$AF$29,0),IF('CO-PO Mapping'!Z$7,$AG$29,0))=0), "-", IF(SUM(IF('CO-PO Mapping'!Z$2,$AH96*$AB$29,0),IF('CO-PO Mapping'!Z$3,$AI96*$AC$29,0),IF('CO-PO Mapping'!Z$4,$AJ96*$AD$29,0),IF('CO-PO Mapping'!Z$5,$AK96*$AE$29,0),IF('CO-PO Mapping'!Z$6,$AL96*$AF$29,0),IF('CO-PO Mapping'!Z$7,$AM96*$AG$29,0))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7" spans="1:57" ht="15" customHeight="1">
      <c r="A97" s="87"/>
      <c r="B97" s="84"/>
      <c r="C97" s="74"/>
      <c r="D97" s="74"/>
      <c r="E97" s="75"/>
      <c r="F97" s="75"/>
      <c r="G97" s="75"/>
      <c r="H97" s="103" t="str">
        <f t="shared" si="29"/>
        <v>-</v>
      </c>
      <c r="I97" s="75"/>
      <c r="J97" s="75"/>
      <c r="K97" s="75"/>
      <c r="L97" s="75"/>
      <c r="M97" s="75"/>
      <c r="N97" s="75"/>
      <c r="O97" s="105" t="str">
        <f t="shared" si="30"/>
        <v>-</v>
      </c>
      <c r="P97" s="75"/>
      <c r="Q97" s="75"/>
      <c r="R97" s="75"/>
      <c r="S97" s="75"/>
      <c r="T97" s="75"/>
      <c r="U97" s="75"/>
      <c r="V97" s="104" t="str">
        <f t="shared" si="31"/>
        <v>-</v>
      </c>
      <c r="W97" s="83" t="str">
        <f t="shared" si="28"/>
        <v>-</v>
      </c>
      <c r="X97" s="98" t="str">
        <f t="shared" si="32"/>
        <v>-</v>
      </c>
      <c r="Z97" s="42" t="str">
        <f t="shared" si="34"/>
        <v/>
      </c>
      <c r="AA97" s="43" t="str">
        <f t="shared" si="35"/>
        <v/>
      </c>
      <c r="AB97" s="90">
        <f t="shared" si="36"/>
        <v>0</v>
      </c>
      <c r="AC97" s="90">
        <f t="shared" si="36"/>
        <v>0</v>
      </c>
      <c r="AD97" s="90">
        <f t="shared" si="36"/>
        <v>0</v>
      </c>
      <c r="AE97" s="90">
        <f t="shared" si="36"/>
        <v>0</v>
      </c>
      <c r="AF97" s="90">
        <f t="shared" si="33"/>
        <v>0</v>
      </c>
      <c r="AG97" s="90">
        <f t="shared" si="25"/>
        <v>0</v>
      </c>
      <c r="AH97" s="92">
        <f t="shared" si="12"/>
        <v>0</v>
      </c>
      <c r="AI97" s="92">
        <f t="shared" si="13"/>
        <v>0</v>
      </c>
      <c r="AJ97" s="92">
        <f t="shared" si="14"/>
        <v>0</v>
      </c>
      <c r="AK97" s="92">
        <f t="shared" si="22"/>
        <v>0</v>
      </c>
      <c r="AL97" s="92">
        <f t="shared" si="37"/>
        <v>0</v>
      </c>
      <c r="AM97" s="92">
        <f>IF($AG$29=0,0,AG97*100/$AG$29)</f>
        <v>0</v>
      </c>
      <c r="AN97" s="93" t="str">
        <f t="shared" si="23"/>
        <v>-</v>
      </c>
      <c r="AO97" s="93" t="str">
        <f t="shared" si="17"/>
        <v>-</v>
      </c>
      <c r="AP97" s="93" t="str">
        <f t="shared" si="18"/>
        <v>-</v>
      </c>
      <c r="AQ97" s="93" t="str">
        <f t="shared" si="19"/>
        <v>-</v>
      </c>
      <c r="AR97" s="93" t="str">
        <f t="shared" si="19"/>
        <v>-</v>
      </c>
      <c r="AS97" s="93" t="str">
        <f t="shared" si="19"/>
        <v>-</v>
      </c>
      <c r="AT97" s="95" t="str">
        <f>IF('CO-PO Mapping'!O$2, IF(OR($AN97="-",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IF(OR($AP97="-", SUM( IF('CO-PO Mapping'!O$2,$AB$29,0), IF('CO-PO Mapping'!O$3,$AC$29,0), IF('CO-PO Mapping'!O$4,$AD$29,0), IF('CO-PO Mapping'!O$5,$AE$29,0), IF('CO-PO Mapping'!O$6,$AF$29,0), IF('CO-PO Mapping'!O$7,$AG$29,0) )=0), "-", IF( SUM( IF('CO-PO Mapping'!O$2,$AH97*$AB$29,0), IF('CO-PO Mapping'!O$3,$AI97*$AC$29,0), IF('CO-PO Mapping'!O$4,$AJ97*$AD$29,0), IF('CO-PO Mapping'!O$5,$AK97*$AE$29,0), IF('CO-PO Mapping'!O$6,$AL97*$AF$29,0), IF('CO-PO Mapping'!O$7,$AM97*$AG$29,0)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IF('CO-PO Mapping'!O$6, IF(OR($AR97="-",SUM(IF('CO-PO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IF('CO-PO Mapping'!O$7, IF(OR($AS97="-",SUM(IF('CO-PO Mapping'!O$2,$AB$29,0),IF('CO-PO Mapping'!O$3,$AC$29,0),IF('CO-PO Mapping'!O$4,$AD$29,0),IF('CO-PO Mapping'!O$5,$AE$29,0),IF('CO-PO Mapping'!O$6,$AF$29,0),IF('CO-PO Mapping'!O$7,$AG$29,0))=0), "-", IF(SUM(IF('CO-PO Mapping'!O$2,$AH97*$AB$29,0),IF('CO-PO Mapping'!O$3,$AI97*$AC$29,0),IF('CO-PO Mapping'!O$4,$AJ97*$AD$29,0),IF('CO-PO Mapping'!O$5,$AK97*$AE$29,0),IF('CO-PO Mapping'!O$6,$AL97*$AF$29,0),IF('CO-PO Mapping'!O$7,$AM97*$AG$29,0))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7" s="95" t="str">
        <f>IF('CO-PO Mapping'!P$2, IF(OR($AN97="-",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IF(OR($AP97="-", SUM( IF('CO-PO Mapping'!P$2,$AB$29,0), IF('CO-PO Mapping'!P$3,$AC$29,0), IF('CO-PO Mapping'!P$4,$AD$29,0), IF('CO-PO Mapping'!P$5,$AE$29,0), IF('CO-PO Mapping'!P$6,$AF$29,0), IF('CO-PO Mapping'!P$7,$AG$29,0) )=0), "-", IF( SUM( IF('CO-PO Mapping'!P$2,$AH97*$AB$29,0), IF('CO-PO Mapping'!P$3,$AI97*$AC$29,0), IF('CO-PO Mapping'!P$4,$AJ97*$AD$29,0), IF('CO-PO Mapping'!P$5,$AK97*$AE$29,0), IF('CO-PO Mapping'!P$6,$AL97*$AF$29,0), IF('CO-PO Mapping'!P$7,$AM97*$AG$29,0)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IF('CO-PO Mapping'!P$6, IF(OR($AR97="-",SUM(IF('CO-PO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IF('CO-PO Mapping'!P$7, IF(OR($AS97="-",SUM(IF('CO-PO Mapping'!P$2,$AB$29,0),IF('CO-PO Mapping'!P$3,$AC$29,0),IF('CO-PO Mapping'!P$4,$AD$29,0),IF('CO-PO Mapping'!P$5,$AE$29,0),IF('CO-PO Mapping'!P$6,$AF$29,0),IF('CO-PO Mapping'!P$7,$AG$29,0))=0), "-", IF(SUM(IF('CO-PO Mapping'!P$2,$AH97*$AB$29,0),IF('CO-PO Mapping'!P$3,$AI97*$AC$29,0),IF('CO-PO Mapping'!P$4,$AJ97*$AD$29,0),IF('CO-PO Mapping'!P$5,$AK97*$AE$29,0),IF('CO-PO Mapping'!P$6,$AL97*$AF$29,0),IF('CO-PO Mapping'!P$7,$AM97*$AG$29,0))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7" s="95" t="str">
        <f>IF('CO-PO Mapping'!Q$2, IF(OR($AN97="-",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IF(OR($AP97="-", SUM( IF('CO-PO Mapping'!Q$2,$AB$29,0), IF('CO-PO Mapping'!Q$3,$AC$29,0), IF('CO-PO Mapping'!Q$4,$AD$29,0), IF('CO-PO Mapping'!Q$5,$AE$29,0), IF('CO-PO Mapping'!Q$6,$AF$29,0), IF('CO-PO Mapping'!Q$7,$AG$29,0) )=0), "-", IF( SUM( IF('CO-PO Mapping'!Q$2,$AH97*$AB$29,0), IF('CO-PO Mapping'!Q$3,$AI97*$AC$29,0), IF('CO-PO Mapping'!Q$4,$AJ97*$AD$29,0), IF('CO-PO Mapping'!Q$5,$AK97*$AE$29,0), IF('CO-PO Mapping'!Q$6,$AL97*$AF$29,0), IF('CO-PO Mapping'!Q$7,$AM97*$AG$29,0)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IF('CO-PO Mapping'!Q$6, IF(OR($AR97="-",SUM(IF('CO-PO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IF('CO-PO Mapping'!Q$7, IF(OR($AS97="-",SUM(IF('CO-PO Mapping'!Q$2,$AB$29,0),IF('CO-PO Mapping'!Q$3,$AC$29,0),IF('CO-PO Mapping'!Q$4,$AD$29,0),IF('CO-PO Mapping'!Q$5,$AE$29,0),IF('CO-PO Mapping'!Q$6,$AF$29,0),IF('CO-PO Mapping'!Q$7,$AG$29,0))=0), "-", IF(SUM(IF('CO-PO Mapping'!Q$2,$AH97*$AB$29,0),IF('CO-PO Mapping'!Q$3,$AI97*$AC$29,0),IF('CO-PO Mapping'!Q$4,$AJ97*$AD$29,0),IF('CO-PO Mapping'!Q$5,$AK97*$AE$29,0),IF('CO-PO Mapping'!Q$6,$AL97*$AF$29,0),IF('CO-PO Mapping'!Q$7,$AM97*$AG$29,0))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7" s="95" t="str">
        <f>IF('CO-PO Mapping'!R$2, IF(OR($AN97="-",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IF(OR($AP97="-", SUM( IF('CO-PO Mapping'!R$2,$AB$29,0), IF('CO-PO Mapping'!R$3,$AC$29,0), IF('CO-PO Mapping'!R$4,$AD$29,0), IF('CO-PO Mapping'!R$5,$AE$29,0), IF('CO-PO Mapping'!R$6,$AF$29,0), IF('CO-PO Mapping'!R$7,$AG$29,0) )=0), "-", IF( SUM( IF('CO-PO Mapping'!R$2,$AH97*$AB$29,0), IF('CO-PO Mapping'!R$3,$AI97*$AC$29,0), IF('CO-PO Mapping'!R$4,$AJ97*$AD$29,0), IF('CO-PO Mapping'!R$5,$AK97*$AE$29,0), IF('CO-PO Mapping'!R$6,$AL97*$AF$29,0), IF('CO-PO Mapping'!R$7,$AM97*$AG$29,0)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IF('CO-PO Mapping'!R$6, IF(OR($AR97="-",SUM(IF('CO-PO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IF('CO-PO Mapping'!R$7, IF(OR($AS97="-",SUM(IF('CO-PO Mapping'!R$2,$AB$29,0),IF('CO-PO Mapping'!R$3,$AC$29,0),IF('CO-PO Mapping'!R$4,$AD$29,0),IF('CO-PO Mapping'!R$5,$AE$29,0),IF('CO-PO Mapping'!R$6,$AF$29,0),IF('CO-PO Mapping'!R$7,$AG$29,0))=0), "-", IF(SUM(IF('CO-PO Mapping'!R$2,$AH97*$AB$29,0),IF('CO-PO Mapping'!R$3,$AI97*$AC$29,0),IF('CO-PO Mapping'!R$4,$AJ97*$AD$29,0),IF('CO-PO Mapping'!R$5,$AK97*$AE$29,0),IF('CO-PO Mapping'!R$6,$AL97*$AF$29,0),IF('CO-PO Mapping'!R$7,$AM97*$AG$29,0))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7" s="95" t="str">
        <f>IF('CO-PO Mapping'!S$2, IF(OR($AN97="-",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IF(OR($AP97="-", SUM( IF('CO-PO Mapping'!S$2,$AB$29,0), IF('CO-PO Mapping'!S$3,$AC$29,0), IF('CO-PO Mapping'!S$4,$AD$29,0), IF('CO-PO Mapping'!S$5,$AE$29,0), IF('CO-PO Mapping'!S$6,$AF$29,0), IF('CO-PO Mapping'!S$7,$AG$29,0) )=0), "-", IF( SUM( IF('CO-PO Mapping'!S$2,$AH97*$AB$29,0), IF('CO-PO Mapping'!S$3,$AI97*$AC$29,0), IF('CO-PO Mapping'!S$4,$AJ97*$AD$29,0), IF('CO-PO Mapping'!S$5,$AK97*$AE$29,0), IF('CO-PO Mapping'!S$6,$AL97*$AF$29,0), IF('CO-PO Mapping'!S$7,$AM97*$AG$29,0)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IF('CO-PO Mapping'!S$6, IF(OR($AR97="-",SUM(IF('CO-PO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IF('CO-PO Mapping'!S$7, IF(OR($AS97="-",SUM(IF('CO-PO Mapping'!S$2,$AB$29,0),IF('CO-PO Mapping'!S$3,$AC$29,0),IF('CO-PO Mapping'!S$4,$AD$29,0),IF('CO-PO Mapping'!S$5,$AE$29,0),IF('CO-PO Mapping'!S$6,$AF$29,0),IF('CO-PO Mapping'!S$7,$AG$29,0))=0), "-", IF(SUM(IF('CO-PO Mapping'!S$2,$AH97*$AB$29,0),IF('CO-PO Mapping'!S$3,$AI97*$AC$29,0),IF('CO-PO Mapping'!S$4,$AJ97*$AD$29,0),IF('CO-PO Mapping'!S$5,$AK97*$AE$29,0),IF('CO-PO Mapping'!S$6,$AL97*$AF$29,0),IF('CO-PO Mapping'!S$7,$AM97*$AG$29,0))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7" s="95" t="str">
        <f>IF('CO-PO Mapping'!T$2, IF(OR($AN97="-",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IF(OR($AP97="-", SUM( IF('CO-PO Mapping'!T$2,$AB$29,0), IF('CO-PO Mapping'!T$3,$AC$29,0), IF('CO-PO Mapping'!T$4,$AD$29,0), IF('CO-PO Mapping'!T$5,$AE$29,0), IF('CO-PO Mapping'!T$6,$AF$29,0), IF('CO-PO Mapping'!T$7,$AG$29,0) )=0), "-", IF( SUM( IF('CO-PO Mapping'!T$2,$AH97*$AB$29,0), IF('CO-PO Mapping'!T$3,$AI97*$AC$29,0), IF('CO-PO Mapping'!T$4,$AJ97*$AD$29,0), IF('CO-PO Mapping'!T$5,$AK97*$AE$29,0), IF('CO-PO Mapping'!T$6,$AL97*$AF$29,0), IF('CO-PO Mapping'!T$7,$AM97*$AG$29,0)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IF('CO-PO Mapping'!T$6, IF(OR($AR97="-",SUM(IF('CO-PO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IF('CO-PO Mapping'!T$7, IF(OR($AS97="-",SUM(IF('CO-PO Mapping'!T$2,$AB$29,0),IF('CO-PO Mapping'!T$3,$AC$29,0),IF('CO-PO Mapping'!T$4,$AD$29,0),IF('CO-PO Mapping'!T$5,$AE$29,0),IF('CO-PO Mapping'!T$6,$AF$29,0),IF('CO-PO Mapping'!T$7,$AG$29,0))=0), "-", IF(SUM(IF('CO-PO Mapping'!T$2,$AH97*$AB$29,0),IF('CO-PO Mapping'!T$3,$AI97*$AC$29,0),IF('CO-PO Mapping'!T$4,$AJ97*$AD$29,0),IF('CO-PO Mapping'!T$5,$AK97*$AE$29,0),IF('CO-PO Mapping'!T$6,$AL97*$AF$29,0),IF('CO-PO Mapping'!T$7,$AM97*$AG$29,0))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7" s="95" t="str">
        <f>IF('CO-PO Mapping'!U$2, IF(OR($AN97="-",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IF(OR($AP97="-", SUM( IF('CO-PO Mapping'!U$2,$AB$29,0), IF('CO-PO Mapping'!U$3,$AC$29,0), IF('CO-PO Mapping'!U$4,$AD$29,0), IF('CO-PO Mapping'!U$5,$AE$29,0), IF('CO-PO Mapping'!U$6,$AF$29,0), IF('CO-PO Mapping'!U$7,$AG$29,0) )=0), "-", IF( SUM( IF('CO-PO Mapping'!U$2,$AH97*$AB$29,0), IF('CO-PO Mapping'!U$3,$AI97*$AC$29,0), IF('CO-PO Mapping'!U$4,$AJ97*$AD$29,0), IF('CO-PO Mapping'!U$5,$AK97*$AE$29,0), IF('CO-PO Mapping'!U$6,$AL97*$AF$29,0), IF('CO-PO Mapping'!U$7,$AM97*$AG$29,0)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IF('CO-PO Mapping'!U$6, IF(OR($AR97="-",SUM(IF('CO-PO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IF('CO-PO Mapping'!U$7, IF(OR($AS97="-",SUM(IF('CO-PO Mapping'!U$2,$AB$29,0),IF('CO-PO Mapping'!U$3,$AC$29,0),IF('CO-PO Mapping'!U$4,$AD$29,0),IF('CO-PO Mapping'!U$5,$AE$29,0),IF('CO-PO Mapping'!U$6,$AF$29,0),IF('CO-PO Mapping'!U$7,$AG$29,0))=0), "-", IF(SUM(IF('CO-PO Mapping'!U$2,$AH97*$AB$29,0),IF('CO-PO Mapping'!U$3,$AI97*$AC$29,0),IF('CO-PO Mapping'!U$4,$AJ97*$AD$29,0),IF('CO-PO Mapping'!U$5,$AK97*$AE$29,0),IF('CO-PO Mapping'!U$6,$AL97*$AF$29,0),IF('CO-PO Mapping'!U$7,$AM97*$AG$29,0))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7" s="95" t="str">
        <f>IF('CO-PO Mapping'!V$2, IF(OR($AN97="-",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IF(OR($AP97="-", SUM( IF('CO-PO Mapping'!V$2,$AB$29,0), IF('CO-PO Mapping'!V$3,$AC$29,0), IF('CO-PO Mapping'!V$4,$AD$29,0), IF('CO-PO Mapping'!V$5,$AE$29,0), IF('CO-PO Mapping'!V$6,$AF$29,0), IF('CO-PO Mapping'!V$7,$AG$29,0) )=0), "-", IF( SUM( IF('CO-PO Mapping'!V$2,$AH97*$AB$29,0), IF('CO-PO Mapping'!V$3,$AI97*$AC$29,0), IF('CO-PO Mapping'!V$4,$AJ97*$AD$29,0), IF('CO-PO Mapping'!V$5,$AK97*$AE$29,0), IF('CO-PO Mapping'!V$6,$AL97*$AF$29,0), IF('CO-PO Mapping'!V$7,$AM97*$AG$29,0)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IF('CO-PO Mapping'!V$6, IF(OR($AR97="-",SUM(IF('CO-PO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IF('CO-PO Mapping'!V$7, IF(OR($AS97="-",SUM(IF('CO-PO Mapping'!V$2,$AB$29,0),IF('CO-PO Mapping'!V$3,$AC$29,0),IF('CO-PO Mapping'!V$4,$AD$29,0),IF('CO-PO Mapping'!V$5,$AE$29,0),IF('CO-PO Mapping'!V$6,$AF$29,0),IF('CO-PO Mapping'!V$7,$AG$29,0))=0), "-", IF(SUM(IF('CO-PO Mapping'!V$2,$AH97*$AB$29,0),IF('CO-PO Mapping'!V$3,$AI97*$AC$29,0),IF('CO-PO Mapping'!V$4,$AJ97*$AD$29,0),IF('CO-PO Mapping'!V$5,$AK97*$AE$29,0),IF('CO-PO Mapping'!V$6,$AL97*$AF$29,0),IF('CO-PO Mapping'!V$7,$AM97*$AG$29,0))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7" s="95" t="str">
        <f>IF('CO-PO Mapping'!W$2, IF(OR($AN97="-",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IF(OR($AP97="-", SUM( IF('CO-PO Mapping'!W$2,$AB$29,0), IF('CO-PO Mapping'!W$3,$AC$29,0), IF('CO-PO Mapping'!W$4,$AD$29,0), IF('CO-PO Mapping'!W$5,$AE$29,0), IF('CO-PO Mapping'!W$6,$AF$29,0), IF('CO-PO Mapping'!W$7,$AG$29,0) )=0), "-", IF( SUM( IF('CO-PO Mapping'!W$2,$AH97*$AB$29,0), IF('CO-PO Mapping'!W$3,$AI97*$AC$29,0), IF('CO-PO Mapping'!W$4,$AJ97*$AD$29,0), IF('CO-PO Mapping'!W$5,$AK97*$AE$29,0), IF('CO-PO Mapping'!W$6,$AL97*$AF$29,0), IF('CO-PO Mapping'!W$7,$AM97*$AG$29,0)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IF('CO-PO Mapping'!W$6, IF(OR($AR97="-",SUM(IF('CO-PO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IF('CO-PO Mapping'!W$7, IF(OR($AS97="-",SUM(IF('CO-PO Mapping'!W$2,$AB$29,0),IF('CO-PO Mapping'!W$3,$AC$29,0),IF('CO-PO Mapping'!W$4,$AD$29,0),IF('CO-PO Mapping'!W$5,$AE$29,0),IF('CO-PO Mapping'!W$6,$AF$29,0),IF('CO-PO Mapping'!W$7,$AG$29,0))=0), "-", IF(SUM(IF('CO-PO Mapping'!W$2,$AH97*$AB$29,0),IF('CO-PO Mapping'!W$3,$AI97*$AC$29,0),IF('CO-PO Mapping'!W$4,$AJ97*$AD$29,0),IF('CO-PO Mapping'!W$5,$AK97*$AE$29,0),IF('CO-PO Mapping'!W$6,$AL97*$AF$29,0),IF('CO-PO Mapping'!W$7,$AM97*$AG$29,0))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7" s="95" t="str">
        <f>IF('CO-PO Mapping'!X$2, IF(OR($AN97="-",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IF(OR($AP97="-", SUM( IF('CO-PO Mapping'!X$2,$AB$29,0), IF('CO-PO Mapping'!X$3,$AC$29,0), IF('CO-PO Mapping'!X$4,$AD$29,0), IF('CO-PO Mapping'!X$5,$AE$29,0), IF('CO-PO Mapping'!X$6,$AF$29,0), IF('CO-PO Mapping'!X$7,$AG$29,0) )=0), "-", IF( SUM( IF('CO-PO Mapping'!X$2,$AH97*$AB$29,0), IF('CO-PO Mapping'!X$3,$AI97*$AC$29,0), IF('CO-PO Mapping'!X$4,$AJ97*$AD$29,0), IF('CO-PO Mapping'!X$5,$AK97*$AE$29,0), IF('CO-PO Mapping'!X$6,$AL97*$AF$29,0), IF('CO-PO Mapping'!X$7,$AM97*$AG$29,0)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IF('CO-PO Mapping'!X$6, IF(OR($AR97="-",SUM(IF('CO-PO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IF('CO-PO Mapping'!X$7, IF(OR($AS97="-",SUM(IF('CO-PO Mapping'!X$2,$AB$29,0),IF('CO-PO Mapping'!X$3,$AC$29,0),IF('CO-PO Mapping'!X$4,$AD$29,0),IF('CO-PO Mapping'!X$5,$AE$29,0),IF('CO-PO Mapping'!X$6,$AF$29,0),IF('CO-PO Mapping'!X$7,$AG$29,0))=0), "-", IF(SUM(IF('CO-PO Mapping'!X$2,$AH97*$AB$29,0),IF('CO-PO Mapping'!X$3,$AI97*$AC$29,0),IF('CO-PO Mapping'!X$4,$AJ97*$AD$29,0),IF('CO-PO Mapping'!X$5,$AK97*$AE$29,0),IF('CO-PO Mapping'!X$6,$AL97*$AF$29,0),IF('CO-PO Mapping'!X$7,$AM97*$AG$29,0))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7" s="95" t="str">
        <f>IF('CO-PO Mapping'!Y$2, IF(OR($AN97="-",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IF(OR($AP97="-", SUM( IF('CO-PO Mapping'!Y$2,$AB$29,0), IF('CO-PO Mapping'!Y$3,$AC$29,0), IF('CO-PO Mapping'!Y$4,$AD$29,0), IF('CO-PO Mapping'!Y$5,$AE$29,0), IF('CO-PO Mapping'!Y$6,$AF$29,0), IF('CO-PO Mapping'!Y$7,$AG$29,0) )=0), "-", IF( SUM( IF('CO-PO Mapping'!Y$2,$AH97*$AB$29,0), IF('CO-PO Mapping'!Y$3,$AI97*$AC$29,0), IF('CO-PO Mapping'!Y$4,$AJ97*$AD$29,0), IF('CO-PO Mapping'!Y$5,$AK97*$AE$29,0), IF('CO-PO Mapping'!Y$6,$AL97*$AF$29,0), IF('CO-PO Mapping'!Y$7,$AM97*$AG$29,0)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IF('CO-PO Mapping'!Y$6, IF(OR($AR97="-",SUM(IF('CO-PO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IF('CO-PO Mapping'!Y$7, IF(OR($AS97="-",SUM(IF('CO-PO Mapping'!Y$2,$AB$29,0),IF('CO-PO Mapping'!Y$3,$AC$29,0),IF('CO-PO Mapping'!Y$4,$AD$29,0),IF('CO-PO Mapping'!Y$5,$AE$29,0),IF('CO-PO Mapping'!Y$6,$AF$29,0),IF('CO-PO Mapping'!Y$7,$AG$29,0))=0), "-", IF(SUM(IF('CO-PO Mapping'!Y$2,$AH97*$AB$29,0),IF('CO-PO Mapping'!Y$3,$AI97*$AC$29,0),IF('CO-PO Mapping'!Y$4,$AJ97*$AD$29,0),IF('CO-PO Mapping'!Y$5,$AK97*$AE$29,0),IF('CO-PO Mapping'!Y$6,$AL97*$AF$29,0),IF('CO-PO Mapping'!Y$7,$AM97*$AG$29,0))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7" s="95" t="str">
        <f>IF('CO-PO Mapping'!Z$2, IF(OR($AN97="-",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IF(OR($AP97="-", SUM( IF('CO-PO Mapping'!Z$2,$AB$29,0), IF('CO-PO Mapping'!Z$3,$AC$29,0), IF('CO-PO Mapping'!Z$4,$AD$29,0), IF('CO-PO Mapping'!Z$5,$AE$29,0), IF('CO-PO Mapping'!Z$6,$AF$29,0), IF('CO-PO Mapping'!Z$7,$AG$29,0) )=0), "-", IF( SUM( IF('CO-PO Mapping'!Z$2,$AH97*$AB$29,0), IF('CO-PO Mapping'!Z$3,$AI97*$AC$29,0), IF('CO-PO Mapping'!Z$4,$AJ97*$AD$29,0), IF('CO-PO Mapping'!Z$5,$AK97*$AE$29,0), IF('CO-PO Mapping'!Z$6,$AL97*$AF$29,0), IF('CO-PO Mapping'!Z$7,$AM97*$AG$29,0)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IF('CO-PO Mapping'!Z$6, IF(OR($AR97="-",SUM(IF('CO-PO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IF('CO-PO Mapping'!Z$7, IF(OR($AS97="-",SUM(IF('CO-PO Mapping'!Z$2,$AB$29,0),IF('CO-PO Mapping'!Z$3,$AC$29,0),IF('CO-PO Mapping'!Z$4,$AD$29,0),IF('CO-PO Mapping'!Z$5,$AE$29,0),IF('CO-PO Mapping'!Z$6,$AF$29,0),IF('CO-PO Mapping'!Z$7,$AG$29,0))=0), "-", IF(SUM(IF('CO-PO Mapping'!Z$2,$AH97*$AB$29,0),IF('CO-PO Mapping'!Z$3,$AI97*$AC$29,0),IF('CO-PO Mapping'!Z$4,$AJ97*$AD$29,0),IF('CO-PO Mapping'!Z$5,$AK97*$AE$29,0),IF('CO-PO Mapping'!Z$6,$AL97*$AF$29,0),IF('CO-PO Mapping'!Z$7,$AM97*$AG$29,0))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8" spans="1:57" ht="15" customHeight="1">
      <c r="A98" s="87"/>
      <c r="B98" s="84"/>
      <c r="C98" s="74"/>
      <c r="D98" s="74"/>
      <c r="E98" s="75"/>
      <c r="F98" s="75"/>
      <c r="G98" s="75"/>
      <c r="H98" s="103" t="str">
        <f t="shared" si="29"/>
        <v>-</v>
      </c>
      <c r="I98" s="75"/>
      <c r="J98" s="75"/>
      <c r="K98" s="75"/>
      <c r="L98" s="75"/>
      <c r="M98" s="75"/>
      <c r="N98" s="75"/>
      <c r="O98" s="105" t="str">
        <f t="shared" si="30"/>
        <v>-</v>
      </c>
      <c r="P98" s="75"/>
      <c r="Q98" s="75"/>
      <c r="R98" s="75"/>
      <c r="S98" s="75"/>
      <c r="T98" s="75"/>
      <c r="U98" s="75"/>
      <c r="V98" s="104" t="str">
        <f t="shared" si="31"/>
        <v>-</v>
      </c>
      <c r="W98" s="83" t="str">
        <f t="shared" si="28"/>
        <v>-</v>
      </c>
      <c r="X98" s="98" t="str">
        <f t="shared" si="32"/>
        <v>-</v>
      </c>
      <c r="Z98" s="42" t="str">
        <f t="shared" si="34"/>
        <v/>
      </c>
      <c r="AA98" s="43" t="str">
        <f t="shared" si="35"/>
        <v/>
      </c>
      <c r="AB98" s="90">
        <f t="shared" si="36"/>
        <v>0</v>
      </c>
      <c r="AC98" s="90">
        <f t="shared" si="36"/>
        <v>0</v>
      </c>
      <c r="AD98" s="90">
        <f t="shared" si="36"/>
        <v>0</v>
      </c>
      <c r="AE98" s="90">
        <f t="shared" si="36"/>
        <v>0</v>
      </c>
      <c r="AF98" s="90">
        <f t="shared" si="33"/>
        <v>0</v>
      </c>
      <c r="AG98" s="90">
        <f t="shared" si="25"/>
        <v>0</v>
      </c>
      <c r="AH98" s="92">
        <f t="shared" si="12"/>
        <v>0</v>
      </c>
      <c r="AI98" s="92">
        <f t="shared" si="13"/>
        <v>0</v>
      </c>
      <c r="AJ98" s="92">
        <f t="shared" si="14"/>
        <v>0</v>
      </c>
      <c r="AK98" s="92">
        <f t="shared" si="22"/>
        <v>0</v>
      </c>
      <c r="AL98" s="92">
        <f t="shared" si="37"/>
        <v>0</v>
      </c>
      <c r="AM98" s="92">
        <f t="shared" si="38"/>
        <v>0</v>
      </c>
      <c r="AN98" s="93" t="str">
        <f t="shared" si="23"/>
        <v>-</v>
      </c>
      <c r="AO98" s="93" t="str">
        <f t="shared" si="17"/>
        <v>-</v>
      </c>
      <c r="AP98" s="93" t="str">
        <f t="shared" si="18"/>
        <v>-</v>
      </c>
      <c r="AQ98" s="93" t="str">
        <f t="shared" si="19"/>
        <v>-</v>
      </c>
      <c r="AR98" s="93" t="str">
        <f t="shared" si="19"/>
        <v>-</v>
      </c>
      <c r="AS98" s="93" t="str">
        <f t="shared" si="19"/>
        <v>-</v>
      </c>
      <c r="AT98" s="95" t="str">
        <f>IF('CO-PO Mapping'!O$2, IF(OR($AN98="-",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IF(OR($AP98="-", SUM( IF('CO-PO Mapping'!O$2,$AB$29,0), IF('CO-PO Mapping'!O$3,$AC$29,0), IF('CO-PO Mapping'!O$4,$AD$29,0), IF('CO-PO Mapping'!O$5,$AE$29,0), IF('CO-PO Mapping'!O$6,$AF$29,0), IF('CO-PO Mapping'!O$7,$AG$29,0) )=0), "-", IF( SUM( IF('CO-PO Mapping'!O$2,$AH98*$AB$29,0), IF('CO-PO Mapping'!O$3,$AI98*$AC$29,0), IF('CO-PO Mapping'!O$4,$AJ98*$AD$29,0), IF('CO-PO Mapping'!O$5,$AK98*$AE$29,0), IF('CO-PO Mapping'!O$6,$AL98*$AF$29,0), IF('CO-PO Mapping'!O$7,$AM98*$AG$29,0)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IF('CO-PO Mapping'!O$6, IF(OR($AR98="-",SUM(IF('CO-PO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IF('CO-PO Mapping'!O$7, IF(OR($AS98="-",SUM(IF('CO-PO Mapping'!O$2,$AB$29,0),IF('CO-PO Mapping'!O$3,$AC$29,0),IF('CO-PO Mapping'!O$4,$AD$29,0),IF('CO-PO Mapping'!O$5,$AE$29,0),IF('CO-PO Mapping'!O$6,$AF$29,0),IF('CO-PO Mapping'!O$7,$AG$29,0))=0), "-", IF(SUM(IF('CO-PO Mapping'!O$2,$AH98*$AB$29,0),IF('CO-PO Mapping'!O$3,$AI98*$AC$29,0),IF('CO-PO Mapping'!O$4,$AJ98*$AD$29,0),IF('CO-PO Mapping'!O$5,$AK98*$AE$29,0),IF('CO-PO Mapping'!O$6,$AL98*$AF$29,0),IF('CO-PO Mapping'!O$7,$AM98*$AG$29,0))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8" s="95" t="str">
        <f>IF('CO-PO Mapping'!P$2, IF(OR($AN98="-",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IF(OR($AP98="-", SUM( IF('CO-PO Mapping'!P$2,$AB$29,0), IF('CO-PO Mapping'!P$3,$AC$29,0), IF('CO-PO Mapping'!P$4,$AD$29,0), IF('CO-PO Mapping'!P$5,$AE$29,0), IF('CO-PO Mapping'!P$6,$AF$29,0), IF('CO-PO Mapping'!P$7,$AG$29,0) )=0), "-", IF( SUM( IF('CO-PO Mapping'!P$2,$AH98*$AB$29,0), IF('CO-PO Mapping'!P$3,$AI98*$AC$29,0), IF('CO-PO Mapping'!P$4,$AJ98*$AD$29,0), IF('CO-PO Mapping'!P$5,$AK98*$AE$29,0), IF('CO-PO Mapping'!P$6,$AL98*$AF$29,0), IF('CO-PO Mapping'!P$7,$AM98*$AG$29,0)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IF('CO-PO Mapping'!P$6, IF(OR($AR98="-",SUM(IF('CO-PO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IF('CO-PO Mapping'!P$7, IF(OR($AS98="-",SUM(IF('CO-PO Mapping'!P$2,$AB$29,0),IF('CO-PO Mapping'!P$3,$AC$29,0),IF('CO-PO Mapping'!P$4,$AD$29,0),IF('CO-PO Mapping'!P$5,$AE$29,0),IF('CO-PO Mapping'!P$6,$AF$29,0),IF('CO-PO Mapping'!P$7,$AG$29,0))=0), "-", IF(SUM(IF('CO-PO Mapping'!P$2,$AH98*$AB$29,0),IF('CO-PO Mapping'!P$3,$AI98*$AC$29,0),IF('CO-PO Mapping'!P$4,$AJ98*$AD$29,0),IF('CO-PO Mapping'!P$5,$AK98*$AE$29,0),IF('CO-PO Mapping'!P$6,$AL98*$AF$29,0),IF('CO-PO Mapping'!P$7,$AM98*$AG$29,0))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8" s="95" t="str">
        <f>IF('CO-PO Mapping'!Q$2, IF(OR($AN98="-",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IF(OR($AP98="-", SUM( IF('CO-PO Mapping'!Q$2,$AB$29,0), IF('CO-PO Mapping'!Q$3,$AC$29,0), IF('CO-PO Mapping'!Q$4,$AD$29,0), IF('CO-PO Mapping'!Q$5,$AE$29,0), IF('CO-PO Mapping'!Q$6,$AF$29,0), IF('CO-PO Mapping'!Q$7,$AG$29,0) )=0), "-", IF( SUM( IF('CO-PO Mapping'!Q$2,$AH98*$AB$29,0), IF('CO-PO Mapping'!Q$3,$AI98*$AC$29,0), IF('CO-PO Mapping'!Q$4,$AJ98*$AD$29,0), IF('CO-PO Mapping'!Q$5,$AK98*$AE$29,0), IF('CO-PO Mapping'!Q$6,$AL98*$AF$29,0), IF('CO-PO Mapping'!Q$7,$AM98*$AG$29,0)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IF('CO-PO Mapping'!Q$6, IF(OR($AR98="-",SUM(IF('CO-PO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IF('CO-PO Mapping'!Q$7, IF(OR($AS98="-",SUM(IF('CO-PO Mapping'!Q$2,$AB$29,0),IF('CO-PO Mapping'!Q$3,$AC$29,0),IF('CO-PO Mapping'!Q$4,$AD$29,0),IF('CO-PO Mapping'!Q$5,$AE$29,0),IF('CO-PO Mapping'!Q$6,$AF$29,0),IF('CO-PO Mapping'!Q$7,$AG$29,0))=0), "-", IF(SUM(IF('CO-PO Mapping'!Q$2,$AH98*$AB$29,0),IF('CO-PO Mapping'!Q$3,$AI98*$AC$29,0),IF('CO-PO Mapping'!Q$4,$AJ98*$AD$29,0),IF('CO-PO Mapping'!Q$5,$AK98*$AE$29,0),IF('CO-PO Mapping'!Q$6,$AL98*$AF$29,0),IF('CO-PO Mapping'!Q$7,$AM98*$AG$29,0))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8" s="95" t="str">
        <f>IF('CO-PO Mapping'!R$2, IF(OR($AN98="-",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IF(OR($AP98="-", SUM( IF('CO-PO Mapping'!R$2,$AB$29,0), IF('CO-PO Mapping'!R$3,$AC$29,0), IF('CO-PO Mapping'!R$4,$AD$29,0), IF('CO-PO Mapping'!R$5,$AE$29,0), IF('CO-PO Mapping'!R$6,$AF$29,0), IF('CO-PO Mapping'!R$7,$AG$29,0) )=0), "-", IF( SUM( IF('CO-PO Mapping'!R$2,$AH98*$AB$29,0), IF('CO-PO Mapping'!R$3,$AI98*$AC$29,0), IF('CO-PO Mapping'!R$4,$AJ98*$AD$29,0), IF('CO-PO Mapping'!R$5,$AK98*$AE$29,0), IF('CO-PO Mapping'!R$6,$AL98*$AF$29,0), IF('CO-PO Mapping'!R$7,$AM98*$AG$29,0)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IF('CO-PO Mapping'!R$6, IF(OR($AR98="-",SUM(IF('CO-PO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IF('CO-PO Mapping'!R$7, IF(OR($AS98="-",SUM(IF('CO-PO Mapping'!R$2,$AB$29,0),IF('CO-PO Mapping'!R$3,$AC$29,0),IF('CO-PO Mapping'!R$4,$AD$29,0),IF('CO-PO Mapping'!R$5,$AE$29,0),IF('CO-PO Mapping'!R$6,$AF$29,0),IF('CO-PO Mapping'!R$7,$AG$29,0))=0), "-", IF(SUM(IF('CO-PO Mapping'!R$2,$AH98*$AB$29,0),IF('CO-PO Mapping'!R$3,$AI98*$AC$29,0),IF('CO-PO Mapping'!R$4,$AJ98*$AD$29,0),IF('CO-PO Mapping'!R$5,$AK98*$AE$29,0),IF('CO-PO Mapping'!R$6,$AL98*$AF$29,0),IF('CO-PO Mapping'!R$7,$AM98*$AG$29,0))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8" s="95" t="str">
        <f>IF('CO-PO Mapping'!S$2, IF(OR($AN98="-",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IF(OR($AP98="-", SUM( IF('CO-PO Mapping'!S$2,$AB$29,0), IF('CO-PO Mapping'!S$3,$AC$29,0), IF('CO-PO Mapping'!S$4,$AD$29,0), IF('CO-PO Mapping'!S$5,$AE$29,0), IF('CO-PO Mapping'!S$6,$AF$29,0), IF('CO-PO Mapping'!S$7,$AG$29,0) )=0), "-", IF( SUM( IF('CO-PO Mapping'!S$2,$AH98*$AB$29,0), IF('CO-PO Mapping'!S$3,$AI98*$AC$29,0), IF('CO-PO Mapping'!S$4,$AJ98*$AD$29,0), IF('CO-PO Mapping'!S$5,$AK98*$AE$29,0), IF('CO-PO Mapping'!S$6,$AL98*$AF$29,0), IF('CO-PO Mapping'!S$7,$AM98*$AG$29,0)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IF('CO-PO Mapping'!S$6, IF(OR($AR98="-",SUM(IF('CO-PO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IF('CO-PO Mapping'!S$7, IF(OR($AS98="-",SUM(IF('CO-PO Mapping'!S$2,$AB$29,0),IF('CO-PO Mapping'!S$3,$AC$29,0),IF('CO-PO Mapping'!S$4,$AD$29,0),IF('CO-PO Mapping'!S$5,$AE$29,0),IF('CO-PO Mapping'!S$6,$AF$29,0),IF('CO-PO Mapping'!S$7,$AG$29,0))=0), "-", IF(SUM(IF('CO-PO Mapping'!S$2,$AH98*$AB$29,0),IF('CO-PO Mapping'!S$3,$AI98*$AC$29,0),IF('CO-PO Mapping'!S$4,$AJ98*$AD$29,0),IF('CO-PO Mapping'!S$5,$AK98*$AE$29,0),IF('CO-PO Mapping'!S$6,$AL98*$AF$29,0),IF('CO-PO Mapping'!S$7,$AM98*$AG$29,0))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8" s="95" t="str">
        <f>IF('CO-PO Mapping'!T$2, IF(OR($AN98="-",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IF(OR($AP98="-", SUM( IF('CO-PO Mapping'!T$2,$AB$29,0), IF('CO-PO Mapping'!T$3,$AC$29,0), IF('CO-PO Mapping'!T$4,$AD$29,0), IF('CO-PO Mapping'!T$5,$AE$29,0), IF('CO-PO Mapping'!T$6,$AF$29,0), IF('CO-PO Mapping'!T$7,$AG$29,0) )=0), "-", IF( SUM( IF('CO-PO Mapping'!T$2,$AH98*$AB$29,0), IF('CO-PO Mapping'!T$3,$AI98*$AC$29,0), IF('CO-PO Mapping'!T$4,$AJ98*$AD$29,0), IF('CO-PO Mapping'!T$5,$AK98*$AE$29,0), IF('CO-PO Mapping'!T$6,$AL98*$AF$29,0), IF('CO-PO Mapping'!T$7,$AM98*$AG$29,0)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IF('CO-PO Mapping'!T$6, IF(OR($AR98="-",SUM(IF('CO-PO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IF('CO-PO Mapping'!T$7, IF(OR($AS98="-",SUM(IF('CO-PO Mapping'!T$2,$AB$29,0),IF('CO-PO Mapping'!T$3,$AC$29,0),IF('CO-PO Mapping'!T$4,$AD$29,0),IF('CO-PO Mapping'!T$5,$AE$29,0),IF('CO-PO Mapping'!T$6,$AF$29,0),IF('CO-PO Mapping'!T$7,$AG$29,0))=0), "-", IF(SUM(IF('CO-PO Mapping'!T$2,$AH98*$AB$29,0),IF('CO-PO Mapping'!T$3,$AI98*$AC$29,0),IF('CO-PO Mapping'!T$4,$AJ98*$AD$29,0),IF('CO-PO Mapping'!T$5,$AK98*$AE$29,0),IF('CO-PO Mapping'!T$6,$AL98*$AF$29,0),IF('CO-PO Mapping'!T$7,$AM98*$AG$29,0))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8" s="95" t="str">
        <f>IF('CO-PO Mapping'!U$2, IF(OR($AN98="-",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IF(OR($AP98="-", SUM( IF('CO-PO Mapping'!U$2,$AB$29,0), IF('CO-PO Mapping'!U$3,$AC$29,0), IF('CO-PO Mapping'!U$4,$AD$29,0), IF('CO-PO Mapping'!U$5,$AE$29,0), IF('CO-PO Mapping'!U$6,$AF$29,0), IF('CO-PO Mapping'!U$7,$AG$29,0) )=0), "-", IF( SUM( IF('CO-PO Mapping'!U$2,$AH98*$AB$29,0), IF('CO-PO Mapping'!U$3,$AI98*$AC$29,0), IF('CO-PO Mapping'!U$4,$AJ98*$AD$29,0), IF('CO-PO Mapping'!U$5,$AK98*$AE$29,0), IF('CO-PO Mapping'!U$6,$AL98*$AF$29,0), IF('CO-PO Mapping'!U$7,$AM98*$AG$29,0)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IF('CO-PO Mapping'!U$6, IF(OR($AR98="-",SUM(IF('CO-PO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IF('CO-PO Mapping'!U$7, IF(OR($AS98="-",SUM(IF('CO-PO Mapping'!U$2,$AB$29,0),IF('CO-PO Mapping'!U$3,$AC$29,0),IF('CO-PO Mapping'!U$4,$AD$29,0),IF('CO-PO Mapping'!U$5,$AE$29,0),IF('CO-PO Mapping'!U$6,$AF$29,0),IF('CO-PO Mapping'!U$7,$AG$29,0))=0), "-", IF(SUM(IF('CO-PO Mapping'!U$2,$AH98*$AB$29,0),IF('CO-PO Mapping'!U$3,$AI98*$AC$29,0),IF('CO-PO Mapping'!U$4,$AJ98*$AD$29,0),IF('CO-PO Mapping'!U$5,$AK98*$AE$29,0),IF('CO-PO Mapping'!U$6,$AL98*$AF$29,0),IF('CO-PO Mapping'!U$7,$AM98*$AG$29,0))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8" s="95" t="str">
        <f>IF('CO-PO Mapping'!V$2, IF(OR($AN98="-",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IF(OR($AP98="-", SUM( IF('CO-PO Mapping'!V$2,$AB$29,0), IF('CO-PO Mapping'!V$3,$AC$29,0), IF('CO-PO Mapping'!V$4,$AD$29,0), IF('CO-PO Mapping'!V$5,$AE$29,0), IF('CO-PO Mapping'!V$6,$AF$29,0), IF('CO-PO Mapping'!V$7,$AG$29,0) )=0), "-", IF( SUM( IF('CO-PO Mapping'!V$2,$AH98*$AB$29,0), IF('CO-PO Mapping'!V$3,$AI98*$AC$29,0), IF('CO-PO Mapping'!V$4,$AJ98*$AD$29,0), IF('CO-PO Mapping'!V$5,$AK98*$AE$29,0), IF('CO-PO Mapping'!V$6,$AL98*$AF$29,0), IF('CO-PO Mapping'!V$7,$AM98*$AG$29,0)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IF('CO-PO Mapping'!V$6, IF(OR($AR98="-",SUM(IF('CO-PO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IF('CO-PO Mapping'!V$7, IF(OR($AS98="-",SUM(IF('CO-PO Mapping'!V$2,$AB$29,0),IF('CO-PO Mapping'!V$3,$AC$29,0),IF('CO-PO Mapping'!V$4,$AD$29,0),IF('CO-PO Mapping'!V$5,$AE$29,0),IF('CO-PO Mapping'!V$6,$AF$29,0),IF('CO-PO Mapping'!V$7,$AG$29,0))=0), "-", IF(SUM(IF('CO-PO Mapping'!V$2,$AH98*$AB$29,0),IF('CO-PO Mapping'!V$3,$AI98*$AC$29,0),IF('CO-PO Mapping'!V$4,$AJ98*$AD$29,0),IF('CO-PO Mapping'!V$5,$AK98*$AE$29,0),IF('CO-PO Mapping'!V$6,$AL98*$AF$29,0),IF('CO-PO Mapping'!V$7,$AM98*$AG$29,0))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8" s="95" t="str">
        <f>IF('CO-PO Mapping'!W$2, IF(OR($AN98="-",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IF(OR($AP98="-", SUM( IF('CO-PO Mapping'!W$2,$AB$29,0), IF('CO-PO Mapping'!W$3,$AC$29,0), IF('CO-PO Mapping'!W$4,$AD$29,0), IF('CO-PO Mapping'!W$5,$AE$29,0), IF('CO-PO Mapping'!W$6,$AF$29,0), IF('CO-PO Mapping'!W$7,$AG$29,0) )=0), "-", IF( SUM( IF('CO-PO Mapping'!W$2,$AH98*$AB$29,0), IF('CO-PO Mapping'!W$3,$AI98*$AC$29,0), IF('CO-PO Mapping'!W$4,$AJ98*$AD$29,0), IF('CO-PO Mapping'!W$5,$AK98*$AE$29,0), IF('CO-PO Mapping'!W$6,$AL98*$AF$29,0), IF('CO-PO Mapping'!W$7,$AM98*$AG$29,0)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IF('CO-PO Mapping'!W$6, IF(OR($AR98="-",SUM(IF('CO-PO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IF('CO-PO Mapping'!W$7, IF(OR($AS98="-",SUM(IF('CO-PO Mapping'!W$2,$AB$29,0),IF('CO-PO Mapping'!W$3,$AC$29,0),IF('CO-PO Mapping'!W$4,$AD$29,0),IF('CO-PO Mapping'!W$5,$AE$29,0),IF('CO-PO Mapping'!W$6,$AF$29,0),IF('CO-PO Mapping'!W$7,$AG$29,0))=0), "-", IF(SUM(IF('CO-PO Mapping'!W$2,$AH98*$AB$29,0),IF('CO-PO Mapping'!W$3,$AI98*$AC$29,0),IF('CO-PO Mapping'!W$4,$AJ98*$AD$29,0),IF('CO-PO Mapping'!W$5,$AK98*$AE$29,0),IF('CO-PO Mapping'!W$6,$AL98*$AF$29,0),IF('CO-PO Mapping'!W$7,$AM98*$AG$29,0))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8" s="95" t="str">
        <f>IF('CO-PO Mapping'!X$2, IF(OR($AN98="-",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IF(OR($AP98="-", SUM( IF('CO-PO Mapping'!X$2,$AB$29,0), IF('CO-PO Mapping'!X$3,$AC$29,0), IF('CO-PO Mapping'!X$4,$AD$29,0), IF('CO-PO Mapping'!X$5,$AE$29,0), IF('CO-PO Mapping'!X$6,$AF$29,0), IF('CO-PO Mapping'!X$7,$AG$29,0) )=0), "-", IF( SUM( IF('CO-PO Mapping'!X$2,$AH98*$AB$29,0), IF('CO-PO Mapping'!X$3,$AI98*$AC$29,0), IF('CO-PO Mapping'!X$4,$AJ98*$AD$29,0), IF('CO-PO Mapping'!X$5,$AK98*$AE$29,0), IF('CO-PO Mapping'!X$6,$AL98*$AF$29,0), IF('CO-PO Mapping'!X$7,$AM98*$AG$29,0)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IF('CO-PO Mapping'!X$6, IF(OR($AR98="-",SUM(IF('CO-PO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IF('CO-PO Mapping'!X$7, IF(OR($AS98="-",SUM(IF('CO-PO Mapping'!X$2,$AB$29,0),IF('CO-PO Mapping'!X$3,$AC$29,0),IF('CO-PO Mapping'!X$4,$AD$29,0),IF('CO-PO Mapping'!X$5,$AE$29,0),IF('CO-PO Mapping'!X$6,$AF$29,0),IF('CO-PO Mapping'!X$7,$AG$29,0))=0), "-", IF(SUM(IF('CO-PO Mapping'!X$2,$AH98*$AB$29,0),IF('CO-PO Mapping'!X$3,$AI98*$AC$29,0),IF('CO-PO Mapping'!X$4,$AJ98*$AD$29,0),IF('CO-PO Mapping'!X$5,$AK98*$AE$29,0),IF('CO-PO Mapping'!X$6,$AL98*$AF$29,0),IF('CO-PO Mapping'!X$7,$AM98*$AG$29,0))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8" s="95" t="str">
        <f>IF('CO-PO Mapping'!Y$2, IF(OR($AN98="-",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IF(OR($AP98="-", SUM( IF('CO-PO Mapping'!Y$2,$AB$29,0), IF('CO-PO Mapping'!Y$3,$AC$29,0), IF('CO-PO Mapping'!Y$4,$AD$29,0), IF('CO-PO Mapping'!Y$5,$AE$29,0), IF('CO-PO Mapping'!Y$6,$AF$29,0), IF('CO-PO Mapping'!Y$7,$AG$29,0) )=0), "-", IF( SUM( IF('CO-PO Mapping'!Y$2,$AH98*$AB$29,0), IF('CO-PO Mapping'!Y$3,$AI98*$AC$29,0), IF('CO-PO Mapping'!Y$4,$AJ98*$AD$29,0), IF('CO-PO Mapping'!Y$5,$AK98*$AE$29,0), IF('CO-PO Mapping'!Y$6,$AL98*$AF$29,0), IF('CO-PO Mapping'!Y$7,$AM98*$AG$29,0)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IF('CO-PO Mapping'!Y$6, IF(OR($AR98="-",SUM(IF('CO-PO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IF('CO-PO Mapping'!Y$7, IF(OR($AS98="-",SUM(IF('CO-PO Mapping'!Y$2,$AB$29,0),IF('CO-PO Mapping'!Y$3,$AC$29,0),IF('CO-PO Mapping'!Y$4,$AD$29,0),IF('CO-PO Mapping'!Y$5,$AE$29,0),IF('CO-PO Mapping'!Y$6,$AF$29,0),IF('CO-PO Mapping'!Y$7,$AG$29,0))=0), "-", IF(SUM(IF('CO-PO Mapping'!Y$2,$AH98*$AB$29,0),IF('CO-PO Mapping'!Y$3,$AI98*$AC$29,0),IF('CO-PO Mapping'!Y$4,$AJ98*$AD$29,0),IF('CO-PO Mapping'!Y$5,$AK98*$AE$29,0),IF('CO-PO Mapping'!Y$6,$AL98*$AF$29,0),IF('CO-PO Mapping'!Y$7,$AM98*$AG$29,0))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8" s="95" t="str">
        <f>IF('CO-PO Mapping'!Z$2, IF(OR($AN98="-",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IF(OR($AP98="-", SUM( IF('CO-PO Mapping'!Z$2,$AB$29,0), IF('CO-PO Mapping'!Z$3,$AC$29,0), IF('CO-PO Mapping'!Z$4,$AD$29,0), IF('CO-PO Mapping'!Z$5,$AE$29,0), IF('CO-PO Mapping'!Z$6,$AF$29,0), IF('CO-PO Mapping'!Z$7,$AG$29,0) )=0), "-", IF( SUM( IF('CO-PO Mapping'!Z$2,$AH98*$AB$29,0), IF('CO-PO Mapping'!Z$3,$AI98*$AC$29,0), IF('CO-PO Mapping'!Z$4,$AJ98*$AD$29,0), IF('CO-PO Mapping'!Z$5,$AK98*$AE$29,0), IF('CO-PO Mapping'!Z$6,$AL98*$AF$29,0), IF('CO-PO Mapping'!Z$7,$AM98*$AG$29,0)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IF('CO-PO Mapping'!Z$6, IF(OR($AR98="-",SUM(IF('CO-PO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IF('CO-PO Mapping'!Z$7, IF(OR($AS98="-",SUM(IF('CO-PO Mapping'!Z$2,$AB$29,0),IF('CO-PO Mapping'!Z$3,$AC$29,0),IF('CO-PO Mapping'!Z$4,$AD$29,0),IF('CO-PO Mapping'!Z$5,$AE$29,0),IF('CO-PO Mapping'!Z$6,$AF$29,0),IF('CO-PO Mapping'!Z$7,$AG$29,0))=0), "-", IF(SUM(IF('CO-PO Mapping'!Z$2,$AH98*$AB$29,0),IF('CO-PO Mapping'!Z$3,$AI98*$AC$29,0),IF('CO-PO Mapping'!Z$4,$AJ98*$AD$29,0),IF('CO-PO Mapping'!Z$5,$AK98*$AE$29,0),IF('CO-PO Mapping'!Z$6,$AL98*$AF$29,0),IF('CO-PO Mapping'!Z$7,$AM98*$AG$29,0))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99" spans="1:57" ht="15" customHeight="1">
      <c r="A99" s="87"/>
      <c r="B99" s="84"/>
      <c r="C99" s="74"/>
      <c r="D99" s="74"/>
      <c r="E99" s="75"/>
      <c r="F99" s="75"/>
      <c r="G99" s="75"/>
      <c r="H99" s="103" t="str">
        <f t="shared" si="29"/>
        <v>-</v>
      </c>
      <c r="I99" s="75"/>
      <c r="J99" s="75"/>
      <c r="K99" s="75"/>
      <c r="L99" s="75"/>
      <c r="M99" s="75"/>
      <c r="N99" s="75"/>
      <c r="O99" s="105" t="str">
        <f t="shared" si="30"/>
        <v>-</v>
      </c>
      <c r="P99" s="75"/>
      <c r="Q99" s="75"/>
      <c r="R99" s="75"/>
      <c r="S99" s="75"/>
      <c r="T99" s="75"/>
      <c r="U99" s="75"/>
      <c r="V99" s="104" t="str">
        <f t="shared" si="31"/>
        <v>-</v>
      </c>
      <c r="W99" s="83" t="str">
        <f t="shared" si="28"/>
        <v>-</v>
      </c>
      <c r="X99" s="98" t="str">
        <f t="shared" si="32"/>
        <v>-</v>
      </c>
      <c r="Z99" s="42" t="str">
        <f t="shared" si="34"/>
        <v/>
      </c>
      <c r="AA99" s="43" t="str">
        <f t="shared" si="35"/>
        <v/>
      </c>
      <c r="AB99" s="90">
        <f t="shared" si="36"/>
        <v>0</v>
      </c>
      <c r="AC99" s="90">
        <f t="shared" si="36"/>
        <v>0</v>
      </c>
      <c r="AD99" s="90">
        <f t="shared" si="36"/>
        <v>0</v>
      </c>
      <c r="AE99" s="90">
        <f t="shared" si="36"/>
        <v>0</v>
      </c>
      <c r="AF99" s="90">
        <f t="shared" si="33"/>
        <v>0</v>
      </c>
      <c r="AG99" s="90">
        <f t="shared" si="25"/>
        <v>0</v>
      </c>
      <c r="AH99" s="92">
        <f t="shared" si="12"/>
        <v>0</v>
      </c>
      <c r="AI99" s="92">
        <f t="shared" si="13"/>
        <v>0</v>
      </c>
      <c r="AJ99" s="92">
        <f t="shared" si="14"/>
        <v>0</v>
      </c>
      <c r="AK99" s="92">
        <f t="shared" si="22"/>
        <v>0</v>
      </c>
      <c r="AL99" s="92">
        <f t="shared" si="37"/>
        <v>0</v>
      </c>
      <c r="AM99" s="92">
        <f t="shared" si="38"/>
        <v>0</v>
      </c>
      <c r="AN99" s="93" t="str">
        <f t="shared" si="23"/>
        <v>-</v>
      </c>
      <c r="AO99" s="93" t="str">
        <f t="shared" si="17"/>
        <v>-</v>
      </c>
      <c r="AP99" s="93" t="str">
        <f t="shared" si="18"/>
        <v>-</v>
      </c>
      <c r="AQ99" s="93" t="str">
        <f t="shared" si="19"/>
        <v>-</v>
      </c>
      <c r="AR99" s="93" t="str">
        <f t="shared" si="19"/>
        <v>-</v>
      </c>
      <c r="AS99" s="93" t="str">
        <f t="shared" si="19"/>
        <v>-</v>
      </c>
      <c r="AT99" s="95" t="str">
        <f>IF('CO-PO Mapping'!O$2, IF(OR($AN99="-",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IF(OR($AP99="-", SUM( IF('CO-PO Mapping'!O$2,$AB$29,0), IF('CO-PO Mapping'!O$3,$AC$29,0), IF('CO-PO Mapping'!O$4,$AD$29,0), IF('CO-PO Mapping'!O$5,$AE$29,0), IF('CO-PO Mapping'!O$6,$AF$29,0), IF('CO-PO Mapping'!O$7,$AG$29,0) )=0), "-", IF( SUM( IF('CO-PO Mapping'!O$2,$AH99*$AB$29,0), IF('CO-PO Mapping'!O$3,$AI99*$AC$29,0), IF('CO-PO Mapping'!O$4,$AJ99*$AD$29,0), IF('CO-PO Mapping'!O$5,$AK99*$AE$29,0), IF('CO-PO Mapping'!O$6,$AL99*$AF$29,0), IF('CO-PO Mapping'!O$7,$AM99*$AG$29,0)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IF('CO-PO Mapping'!O$6, IF(OR($AR99="-",SUM(IF('CO-PO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IF('CO-PO Mapping'!O$7, IF(OR($AS99="-",SUM(IF('CO-PO Mapping'!O$2,$AB$29,0),IF('CO-PO Mapping'!O$3,$AC$29,0),IF('CO-PO Mapping'!O$4,$AD$29,0),IF('CO-PO Mapping'!O$5,$AE$29,0),IF('CO-PO Mapping'!O$6,$AF$29,0),IF('CO-PO Mapping'!O$7,$AG$29,0))=0), "-", IF(SUM(IF('CO-PO Mapping'!O$2,$AH99*$AB$29,0),IF('CO-PO Mapping'!O$3,$AI99*$AC$29,0),IF('CO-PO Mapping'!O$4,$AJ99*$AD$29,0),IF('CO-PO Mapping'!O$5,$AK99*$AE$29,0),IF('CO-PO Mapping'!O$6,$AL99*$AF$29,0),IF('CO-PO Mapping'!O$7,$AM99*$AG$29,0))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99" s="95" t="str">
        <f>IF('CO-PO Mapping'!P$2, IF(OR($AN99="-",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IF(OR($AP99="-", SUM( IF('CO-PO Mapping'!P$2,$AB$29,0), IF('CO-PO Mapping'!P$3,$AC$29,0), IF('CO-PO Mapping'!P$4,$AD$29,0), IF('CO-PO Mapping'!P$5,$AE$29,0), IF('CO-PO Mapping'!P$6,$AF$29,0), IF('CO-PO Mapping'!P$7,$AG$29,0) )=0), "-", IF( SUM( IF('CO-PO Mapping'!P$2,$AH99*$AB$29,0), IF('CO-PO Mapping'!P$3,$AI99*$AC$29,0), IF('CO-PO Mapping'!P$4,$AJ99*$AD$29,0), IF('CO-PO Mapping'!P$5,$AK99*$AE$29,0), IF('CO-PO Mapping'!P$6,$AL99*$AF$29,0), IF('CO-PO Mapping'!P$7,$AM99*$AG$29,0)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IF('CO-PO Mapping'!P$6, IF(OR($AR99="-",SUM(IF('CO-PO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IF('CO-PO Mapping'!P$7, IF(OR($AS99="-",SUM(IF('CO-PO Mapping'!P$2,$AB$29,0),IF('CO-PO Mapping'!P$3,$AC$29,0),IF('CO-PO Mapping'!P$4,$AD$29,0),IF('CO-PO Mapping'!P$5,$AE$29,0),IF('CO-PO Mapping'!P$6,$AF$29,0),IF('CO-PO Mapping'!P$7,$AG$29,0))=0), "-", IF(SUM(IF('CO-PO Mapping'!P$2,$AH99*$AB$29,0),IF('CO-PO Mapping'!P$3,$AI99*$AC$29,0),IF('CO-PO Mapping'!P$4,$AJ99*$AD$29,0),IF('CO-PO Mapping'!P$5,$AK99*$AE$29,0),IF('CO-PO Mapping'!P$6,$AL99*$AF$29,0),IF('CO-PO Mapping'!P$7,$AM99*$AG$29,0))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99" s="95" t="str">
        <f>IF('CO-PO Mapping'!Q$2, IF(OR($AN99="-",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IF(OR($AP99="-", SUM( IF('CO-PO Mapping'!Q$2,$AB$29,0), IF('CO-PO Mapping'!Q$3,$AC$29,0), IF('CO-PO Mapping'!Q$4,$AD$29,0), IF('CO-PO Mapping'!Q$5,$AE$29,0), IF('CO-PO Mapping'!Q$6,$AF$29,0), IF('CO-PO Mapping'!Q$7,$AG$29,0) )=0), "-", IF( SUM( IF('CO-PO Mapping'!Q$2,$AH99*$AB$29,0), IF('CO-PO Mapping'!Q$3,$AI99*$AC$29,0), IF('CO-PO Mapping'!Q$4,$AJ99*$AD$29,0), IF('CO-PO Mapping'!Q$5,$AK99*$AE$29,0), IF('CO-PO Mapping'!Q$6,$AL99*$AF$29,0), IF('CO-PO Mapping'!Q$7,$AM99*$AG$29,0)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IF('CO-PO Mapping'!Q$6, IF(OR($AR99="-",SUM(IF('CO-PO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IF('CO-PO Mapping'!Q$7, IF(OR($AS99="-",SUM(IF('CO-PO Mapping'!Q$2,$AB$29,0),IF('CO-PO Mapping'!Q$3,$AC$29,0),IF('CO-PO Mapping'!Q$4,$AD$29,0),IF('CO-PO Mapping'!Q$5,$AE$29,0),IF('CO-PO Mapping'!Q$6,$AF$29,0),IF('CO-PO Mapping'!Q$7,$AG$29,0))=0), "-", IF(SUM(IF('CO-PO Mapping'!Q$2,$AH99*$AB$29,0),IF('CO-PO Mapping'!Q$3,$AI99*$AC$29,0),IF('CO-PO Mapping'!Q$4,$AJ99*$AD$29,0),IF('CO-PO Mapping'!Q$5,$AK99*$AE$29,0),IF('CO-PO Mapping'!Q$6,$AL99*$AF$29,0),IF('CO-PO Mapping'!Q$7,$AM99*$AG$29,0))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99" s="95" t="str">
        <f>IF('CO-PO Mapping'!R$2, IF(OR($AN99="-",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IF(OR($AP99="-", SUM( IF('CO-PO Mapping'!R$2,$AB$29,0), IF('CO-PO Mapping'!R$3,$AC$29,0), IF('CO-PO Mapping'!R$4,$AD$29,0), IF('CO-PO Mapping'!R$5,$AE$29,0), IF('CO-PO Mapping'!R$6,$AF$29,0), IF('CO-PO Mapping'!R$7,$AG$29,0) )=0), "-", IF( SUM( IF('CO-PO Mapping'!R$2,$AH99*$AB$29,0), IF('CO-PO Mapping'!R$3,$AI99*$AC$29,0), IF('CO-PO Mapping'!R$4,$AJ99*$AD$29,0), IF('CO-PO Mapping'!R$5,$AK99*$AE$29,0), IF('CO-PO Mapping'!R$6,$AL99*$AF$29,0), IF('CO-PO Mapping'!R$7,$AM99*$AG$29,0)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IF('CO-PO Mapping'!R$6, IF(OR($AR99="-",SUM(IF('CO-PO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IF('CO-PO Mapping'!R$7, IF(OR($AS99="-",SUM(IF('CO-PO Mapping'!R$2,$AB$29,0),IF('CO-PO Mapping'!R$3,$AC$29,0),IF('CO-PO Mapping'!R$4,$AD$29,0),IF('CO-PO Mapping'!R$5,$AE$29,0),IF('CO-PO Mapping'!R$6,$AF$29,0),IF('CO-PO Mapping'!R$7,$AG$29,0))=0), "-", IF(SUM(IF('CO-PO Mapping'!R$2,$AH99*$AB$29,0),IF('CO-PO Mapping'!R$3,$AI99*$AC$29,0),IF('CO-PO Mapping'!R$4,$AJ99*$AD$29,0),IF('CO-PO Mapping'!R$5,$AK99*$AE$29,0),IF('CO-PO Mapping'!R$6,$AL99*$AF$29,0),IF('CO-PO Mapping'!R$7,$AM99*$AG$29,0))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99" s="95" t="str">
        <f>IF('CO-PO Mapping'!S$2, IF(OR($AN99="-",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IF(OR($AP99="-", SUM( IF('CO-PO Mapping'!S$2,$AB$29,0), IF('CO-PO Mapping'!S$3,$AC$29,0), IF('CO-PO Mapping'!S$4,$AD$29,0), IF('CO-PO Mapping'!S$5,$AE$29,0), IF('CO-PO Mapping'!S$6,$AF$29,0), IF('CO-PO Mapping'!S$7,$AG$29,0) )=0), "-", IF( SUM( IF('CO-PO Mapping'!S$2,$AH99*$AB$29,0), IF('CO-PO Mapping'!S$3,$AI99*$AC$29,0), IF('CO-PO Mapping'!S$4,$AJ99*$AD$29,0), IF('CO-PO Mapping'!S$5,$AK99*$AE$29,0), IF('CO-PO Mapping'!S$6,$AL99*$AF$29,0), IF('CO-PO Mapping'!S$7,$AM99*$AG$29,0)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IF('CO-PO Mapping'!S$6, IF(OR($AR99="-",SUM(IF('CO-PO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IF('CO-PO Mapping'!S$7, IF(OR($AS99="-",SUM(IF('CO-PO Mapping'!S$2,$AB$29,0),IF('CO-PO Mapping'!S$3,$AC$29,0),IF('CO-PO Mapping'!S$4,$AD$29,0),IF('CO-PO Mapping'!S$5,$AE$29,0),IF('CO-PO Mapping'!S$6,$AF$29,0),IF('CO-PO Mapping'!S$7,$AG$29,0))=0), "-", IF(SUM(IF('CO-PO Mapping'!S$2,$AH99*$AB$29,0),IF('CO-PO Mapping'!S$3,$AI99*$AC$29,0),IF('CO-PO Mapping'!S$4,$AJ99*$AD$29,0),IF('CO-PO Mapping'!S$5,$AK99*$AE$29,0),IF('CO-PO Mapping'!S$6,$AL99*$AF$29,0),IF('CO-PO Mapping'!S$7,$AM99*$AG$29,0))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99" s="95" t="str">
        <f>IF('CO-PO Mapping'!T$2, IF(OR($AN99="-",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IF(OR($AP99="-", SUM( IF('CO-PO Mapping'!T$2,$AB$29,0), IF('CO-PO Mapping'!T$3,$AC$29,0), IF('CO-PO Mapping'!T$4,$AD$29,0), IF('CO-PO Mapping'!T$5,$AE$29,0), IF('CO-PO Mapping'!T$6,$AF$29,0), IF('CO-PO Mapping'!T$7,$AG$29,0) )=0), "-", IF( SUM( IF('CO-PO Mapping'!T$2,$AH99*$AB$29,0), IF('CO-PO Mapping'!T$3,$AI99*$AC$29,0), IF('CO-PO Mapping'!T$4,$AJ99*$AD$29,0), IF('CO-PO Mapping'!T$5,$AK99*$AE$29,0), IF('CO-PO Mapping'!T$6,$AL99*$AF$29,0), IF('CO-PO Mapping'!T$7,$AM99*$AG$29,0)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IF('CO-PO Mapping'!T$6, IF(OR($AR99="-",SUM(IF('CO-PO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IF('CO-PO Mapping'!T$7, IF(OR($AS99="-",SUM(IF('CO-PO Mapping'!T$2,$AB$29,0),IF('CO-PO Mapping'!T$3,$AC$29,0),IF('CO-PO Mapping'!T$4,$AD$29,0),IF('CO-PO Mapping'!T$5,$AE$29,0),IF('CO-PO Mapping'!T$6,$AF$29,0),IF('CO-PO Mapping'!T$7,$AG$29,0))=0), "-", IF(SUM(IF('CO-PO Mapping'!T$2,$AH99*$AB$29,0),IF('CO-PO Mapping'!T$3,$AI99*$AC$29,0),IF('CO-PO Mapping'!T$4,$AJ99*$AD$29,0),IF('CO-PO Mapping'!T$5,$AK99*$AE$29,0),IF('CO-PO Mapping'!T$6,$AL99*$AF$29,0),IF('CO-PO Mapping'!T$7,$AM99*$AG$29,0))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99" s="95" t="str">
        <f>IF('CO-PO Mapping'!U$2, IF(OR($AN99="-",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IF(OR($AP99="-", SUM( IF('CO-PO Mapping'!U$2,$AB$29,0), IF('CO-PO Mapping'!U$3,$AC$29,0), IF('CO-PO Mapping'!U$4,$AD$29,0), IF('CO-PO Mapping'!U$5,$AE$29,0), IF('CO-PO Mapping'!U$6,$AF$29,0), IF('CO-PO Mapping'!U$7,$AG$29,0) )=0), "-", IF( SUM( IF('CO-PO Mapping'!U$2,$AH99*$AB$29,0), IF('CO-PO Mapping'!U$3,$AI99*$AC$29,0), IF('CO-PO Mapping'!U$4,$AJ99*$AD$29,0), IF('CO-PO Mapping'!U$5,$AK99*$AE$29,0), IF('CO-PO Mapping'!U$6,$AL99*$AF$29,0), IF('CO-PO Mapping'!U$7,$AM99*$AG$29,0)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IF('CO-PO Mapping'!U$6, IF(OR($AR99="-",SUM(IF('CO-PO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IF('CO-PO Mapping'!U$7, IF(OR($AS99="-",SUM(IF('CO-PO Mapping'!U$2,$AB$29,0),IF('CO-PO Mapping'!U$3,$AC$29,0),IF('CO-PO Mapping'!U$4,$AD$29,0),IF('CO-PO Mapping'!U$5,$AE$29,0),IF('CO-PO Mapping'!U$6,$AF$29,0),IF('CO-PO Mapping'!U$7,$AG$29,0))=0), "-", IF(SUM(IF('CO-PO Mapping'!U$2,$AH99*$AB$29,0),IF('CO-PO Mapping'!U$3,$AI99*$AC$29,0),IF('CO-PO Mapping'!U$4,$AJ99*$AD$29,0),IF('CO-PO Mapping'!U$5,$AK99*$AE$29,0),IF('CO-PO Mapping'!U$6,$AL99*$AF$29,0),IF('CO-PO Mapping'!U$7,$AM99*$AG$29,0))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99" s="95" t="str">
        <f>IF('CO-PO Mapping'!V$2, IF(OR($AN99="-",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IF(OR($AP99="-", SUM( IF('CO-PO Mapping'!V$2,$AB$29,0), IF('CO-PO Mapping'!V$3,$AC$29,0), IF('CO-PO Mapping'!V$4,$AD$29,0), IF('CO-PO Mapping'!V$5,$AE$29,0), IF('CO-PO Mapping'!V$6,$AF$29,0), IF('CO-PO Mapping'!V$7,$AG$29,0) )=0), "-", IF( SUM( IF('CO-PO Mapping'!V$2,$AH99*$AB$29,0), IF('CO-PO Mapping'!V$3,$AI99*$AC$29,0), IF('CO-PO Mapping'!V$4,$AJ99*$AD$29,0), IF('CO-PO Mapping'!V$5,$AK99*$AE$29,0), IF('CO-PO Mapping'!V$6,$AL99*$AF$29,0), IF('CO-PO Mapping'!V$7,$AM99*$AG$29,0)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IF('CO-PO Mapping'!V$6, IF(OR($AR99="-",SUM(IF('CO-PO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IF('CO-PO Mapping'!V$7, IF(OR($AS99="-",SUM(IF('CO-PO Mapping'!V$2,$AB$29,0),IF('CO-PO Mapping'!V$3,$AC$29,0),IF('CO-PO Mapping'!V$4,$AD$29,0),IF('CO-PO Mapping'!V$5,$AE$29,0),IF('CO-PO Mapping'!V$6,$AF$29,0),IF('CO-PO Mapping'!V$7,$AG$29,0))=0), "-", IF(SUM(IF('CO-PO Mapping'!V$2,$AH99*$AB$29,0),IF('CO-PO Mapping'!V$3,$AI99*$AC$29,0),IF('CO-PO Mapping'!V$4,$AJ99*$AD$29,0),IF('CO-PO Mapping'!V$5,$AK99*$AE$29,0),IF('CO-PO Mapping'!V$6,$AL99*$AF$29,0),IF('CO-PO Mapping'!V$7,$AM99*$AG$29,0))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99" s="95" t="str">
        <f>IF('CO-PO Mapping'!W$2, IF(OR($AN99="-",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IF(OR($AP99="-", SUM( IF('CO-PO Mapping'!W$2,$AB$29,0), IF('CO-PO Mapping'!W$3,$AC$29,0), IF('CO-PO Mapping'!W$4,$AD$29,0), IF('CO-PO Mapping'!W$5,$AE$29,0), IF('CO-PO Mapping'!W$6,$AF$29,0), IF('CO-PO Mapping'!W$7,$AG$29,0) )=0), "-", IF( SUM( IF('CO-PO Mapping'!W$2,$AH99*$AB$29,0), IF('CO-PO Mapping'!W$3,$AI99*$AC$29,0), IF('CO-PO Mapping'!W$4,$AJ99*$AD$29,0), IF('CO-PO Mapping'!W$5,$AK99*$AE$29,0), IF('CO-PO Mapping'!W$6,$AL99*$AF$29,0), IF('CO-PO Mapping'!W$7,$AM99*$AG$29,0)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IF('CO-PO Mapping'!W$6, IF(OR($AR99="-",SUM(IF('CO-PO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IF('CO-PO Mapping'!W$7, IF(OR($AS99="-",SUM(IF('CO-PO Mapping'!W$2,$AB$29,0),IF('CO-PO Mapping'!W$3,$AC$29,0),IF('CO-PO Mapping'!W$4,$AD$29,0),IF('CO-PO Mapping'!W$5,$AE$29,0),IF('CO-PO Mapping'!W$6,$AF$29,0),IF('CO-PO Mapping'!W$7,$AG$29,0))=0), "-", IF(SUM(IF('CO-PO Mapping'!W$2,$AH99*$AB$29,0),IF('CO-PO Mapping'!W$3,$AI99*$AC$29,0),IF('CO-PO Mapping'!W$4,$AJ99*$AD$29,0),IF('CO-PO Mapping'!W$5,$AK99*$AE$29,0),IF('CO-PO Mapping'!W$6,$AL99*$AF$29,0),IF('CO-PO Mapping'!W$7,$AM99*$AG$29,0))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99" s="95" t="str">
        <f>IF('CO-PO Mapping'!X$2, IF(OR($AN99="-",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IF(OR($AP99="-", SUM( IF('CO-PO Mapping'!X$2,$AB$29,0), IF('CO-PO Mapping'!X$3,$AC$29,0), IF('CO-PO Mapping'!X$4,$AD$29,0), IF('CO-PO Mapping'!X$5,$AE$29,0), IF('CO-PO Mapping'!X$6,$AF$29,0), IF('CO-PO Mapping'!X$7,$AG$29,0) )=0), "-", IF( SUM( IF('CO-PO Mapping'!X$2,$AH99*$AB$29,0), IF('CO-PO Mapping'!X$3,$AI99*$AC$29,0), IF('CO-PO Mapping'!X$4,$AJ99*$AD$29,0), IF('CO-PO Mapping'!X$5,$AK99*$AE$29,0), IF('CO-PO Mapping'!X$6,$AL99*$AF$29,0), IF('CO-PO Mapping'!X$7,$AM99*$AG$29,0)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IF('CO-PO Mapping'!X$6, IF(OR($AR99="-",SUM(IF('CO-PO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IF('CO-PO Mapping'!X$7, IF(OR($AS99="-",SUM(IF('CO-PO Mapping'!X$2,$AB$29,0),IF('CO-PO Mapping'!X$3,$AC$29,0),IF('CO-PO Mapping'!X$4,$AD$29,0),IF('CO-PO Mapping'!X$5,$AE$29,0),IF('CO-PO Mapping'!X$6,$AF$29,0),IF('CO-PO Mapping'!X$7,$AG$29,0))=0), "-", IF(SUM(IF('CO-PO Mapping'!X$2,$AH99*$AB$29,0),IF('CO-PO Mapping'!X$3,$AI99*$AC$29,0),IF('CO-PO Mapping'!X$4,$AJ99*$AD$29,0),IF('CO-PO Mapping'!X$5,$AK99*$AE$29,0),IF('CO-PO Mapping'!X$6,$AL99*$AF$29,0),IF('CO-PO Mapping'!X$7,$AM99*$AG$29,0))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99" s="95" t="str">
        <f>IF('CO-PO Mapping'!Y$2, IF(OR($AN99="-",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IF(OR($AP99="-", SUM( IF('CO-PO Mapping'!Y$2,$AB$29,0), IF('CO-PO Mapping'!Y$3,$AC$29,0), IF('CO-PO Mapping'!Y$4,$AD$29,0), IF('CO-PO Mapping'!Y$5,$AE$29,0), IF('CO-PO Mapping'!Y$6,$AF$29,0), IF('CO-PO Mapping'!Y$7,$AG$29,0) )=0), "-", IF( SUM( IF('CO-PO Mapping'!Y$2,$AH99*$AB$29,0), IF('CO-PO Mapping'!Y$3,$AI99*$AC$29,0), IF('CO-PO Mapping'!Y$4,$AJ99*$AD$29,0), IF('CO-PO Mapping'!Y$5,$AK99*$AE$29,0), IF('CO-PO Mapping'!Y$6,$AL99*$AF$29,0), IF('CO-PO Mapping'!Y$7,$AM99*$AG$29,0)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IF('CO-PO Mapping'!Y$6, IF(OR($AR99="-",SUM(IF('CO-PO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IF('CO-PO Mapping'!Y$7, IF(OR($AS99="-",SUM(IF('CO-PO Mapping'!Y$2,$AB$29,0),IF('CO-PO Mapping'!Y$3,$AC$29,0),IF('CO-PO Mapping'!Y$4,$AD$29,0),IF('CO-PO Mapping'!Y$5,$AE$29,0),IF('CO-PO Mapping'!Y$6,$AF$29,0),IF('CO-PO Mapping'!Y$7,$AG$29,0))=0), "-", IF(SUM(IF('CO-PO Mapping'!Y$2,$AH99*$AB$29,0),IF('CO-PO Mapping'!Y$3,$AI99*$AC$29,0),IF('CO-PO Mapping'!Y$4,$AJ99*$AD$29,0),IF('CO-PO Mapping'!Y$5,$AK99*$AE$29,0),IF('CO-PO Mapping'!Y$6,$AL99*$AF$29,0),IF('CO-PO Mapping'!Y$7,$AM99*$AG$29,0))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99" s="95" t="str">
        <f>IF('CO-PO Mapping'!Z$2, IF(OR($AN99="-",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IF(OR($AP99="-", SUM( IF('CO-PO Mapping'!Z$2,$AB$29,0), IF('CO-PO Mapping'!Z$3,$AC$29,0), IF('CO-PO Mapping'!Z$4,$AD$29,0), IF('CO-PO Mapping'!Z$5,$AE$29,0), IF('CO-PO Mapping'!Z$6,$AF$29,0), IF('CO-PO Mapping'!Z$7,$AG$29,0) )=0), "-", IF( SUM( IF('CO-PO Mapping'!Z$2,$AH99*$AB$29,0), IF('CO-PO Mapping'!Z$3,$AI99*$AC$29,0), IF('CO-PO Mapping'!Z$4,$AJ99*$AD$29,0), IF('CO-PO Mapping'!Z$5,$AK99*$AE$29,0), IF('CO-PO Mapping'!Z$6,$AL99*$AF$29,0), IF('CO-PO Mapping'!Z$7,$AM99*$AG$29,0)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IF('CO-PO Mapping'!Z$6, IF(OR($AR99="-",SUM(IF('CO-PO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IF('CO-PO Mapping'!Z$7, IF(OR($AS99="-",SUM(IF('CO-PO Mapping'!Z$2,$AB$29,0),IF('CO-PO Mapping'!Z$3,$AC$29,0),IF('CO-PO Mapping'!Z$4,$AD$29,0),IF('CO-PO Mapping'!Z$5,$AE$29,0),IF('CO-PO Mapping'!Z$6,$AF$29,0),IF('CO-PO Mapping'!Z$7,$AG$29,0))=0), "-", IF(SUM(IF('CO-PO Mapping'!Z$2,$AH99*$AB$29,0),IF('CO-PO Mapping'!Z$3,$AI99*$AC$29,0),IF('CO-PO Mapping'!Z$4,$AJ99*$AD$29,0),IF('CO-PO Mapping'!Z$5,$AK99*$AE$29,0),IF('CO-PO Mapping'!Z$6,$AL99*$AF$29,0),IF('CO-PO Mapping'!Z$7,$AM99*$AG$29,0))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100" spans="1:57" ht="15" customHeight="1">
      <c r="A100" s="87"/>
      <c r="B100" s="84"/>
      <c r="C100" s="74"/>
      <c r="D100" s="74"/>
      <c r="E100" s="75"/>
      <c r="F100" s="75"/>
      <c r="G100" s="75"/>
      <c r="H100" s="103" t="str">
        <f t="shared" si="29"/>
        <v>-</v>
      </c>
      <c r="I100" s="75"/>
      <c r="J100" s="75"/>
      <c r="K100" s="75"/>
      <c r="L100" s="75"/>
      <c r="M100" s="75"/>
      <c r="N100" s="75"/>
      <c r="O100" s="105" t="str">
        <f t="shared" si="30"/>
        <v>-</v>
      </c>
      <c r="P100" s="75"/>
      <c r="Q100" s="75"/>
      <c r="R100" s="75"/>
      <c r="S100" s="75"/>
      <c r="T100" s="75"/>
      <c r="U100" s="75"/>
      <c r="V100" s="104" t="str">
        <f t="shared" si="31"/>
        <v>-</v>
      </c>
      <c r="W100" s="83" t="str">
        <f t="shared" si="28"/>
        <v>-</v>
      </c>
      <c r="X100" s="98" t="str">
        <f t="shared" si="32"/>
        <v>-</v>
      </c>
      <c r="Z100" s="42" t="str">
        <f t="shared" si="34"/>
        <v/>
      </c>
      <c r="AA100" s="43" t="str">
        <f t="shared" si="35"/>
        <v/>
      </c>
      <c r="AB100" s="90">
        <f t="shared" si="36"/>
        <v>0</v>
      </c>
      <c r="AC100" s="90">
        <f t="shared" si="36"/>
        <v>0</v>
      </c>
      <c r="AD100" s="90">
        <f t="shared" si="36"/>
        <v>0</v>
      </c>
      <c r="AE100" s="90">
        <f t="shared" si="36"/>
        <v>0</v>
      </c>
      <c r="AF100" s="90">
        <f t="shared" si="33"/>
        <v>0</v>
      </c>
      <c r="AG100" s="90">
        <f t="shared" si="25"/>
        <v>0</v>
      </c>
      <c r="AH100" s="92">
        <f t="shared" si="12"/>
        <v>0</v>
      </c>
      <c r="AI100" s="92">
        <f t="shared" si="13"/>
        <v>0</v>
      </c>
      <c r="AJ100" s="92">
        <f t="shared" si="14"/>
        <v>0</v>
      </c>
      <c r="AK100" s="92">
        <f t="shared" si="22"/>
        <v>0</v>
      </c>
      <c r="AL100" s="92">
        <f t="shared" si="37"/>
        <v>0</v>
      </c>
      <c r="AM100" s="92">
        <f t="shared" si="38"/>
        <v>0</v>
      </c>
      <c r="AN100" s="93" t="str">
        <f t="shared" si="23"/>
        <v>-</v>
      </c>
      <c r="AO100" s="93" t="str">
        <f t="shared" si="17"/>
        <v>-</v>
      </c>
      <c r="AP100" s="93" t="str">
        <f t="shared" si="18"/>
        <v>-</v>
      </c>
      <c r="AQ100" s="93" t="str">
        <f t="shared" si="19"/>
        <v>-</v>
      </c>
      <c r="AR100" s="93" t="str">
        <f t="shared" si="19"/>
        <v>-</v>
      </c>
      <c r="AS100" s="93" t="str">
        <f t="shared" si="19"/>
        <v>-</v>
      </c>
      <c r="AT100" s="95" t="str">
        <f>IF('CO-PO Mapping'!O$2, IF(OR($AN100="-",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Mapping'!O$3, IF(OR($AO100="-",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Mapping'!O$4, IF(OR($AP100="-", SUM( IF('CO-PO Mapping'!O$2,$AB$29,0), IF('CO-PO Mapping'!O$3,$AC$29,0), IF('CO-PO Mapping'!O$4,$AD$29,0), IF('CO-PO Mapping'!O$5,$AE$29,0), IF('CO-PO Mapping'!O$6,$AF$29,0), IF('CO-PO Mapping'!O$7,$AG$29,0) )=0), "-", IF( SUM( IF('CO-PO Mapping'!O$2,$AH100*$AB$29,0), IF('CO-PO Mapping'!O$3,$AI100*$AC$29,0), IF('CO-PO Mapping'!O$4,$AJ100*$AD$29,0), IF('CO-PO Mapping'!O$5,$AK100*$AE$29,0), IF('CO-PO Mapping'!O$6,$AL100*$AF$29,0), IF('CO-PO Mapping'!O$7,$AM100*$AG$29,0) ) / SUM( IF('CO-PO Mapping'!O$2,$AB$29,0), IF('CO-PO Mapping'!O$3,$AC$29,0), IF('CO-PO Mapping'!O$4,$AD$29,0), IF('CO-PO Mapping'!O$5,$AE$29,0), IF('CO-PO Mapping'!O$6,$AF$29,0), IF('CO-PO Mapping'!O$7,$AG$29,0) ) &gt;=$AW$27, "Y","N" ) ), IF('CO-PO Mapping'!O$5, IF(OR($AQ100="-",SUM(IF('CO-PO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IF('CO-PO Mapping'!O$6, IF(OR($AR100="-",SUM(IF('CO-PO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IF('CO-PO Mapping'!O$7, IF(OR($AS100="-",SUM(IF('CO-PO Mapping'!O$2,$AB$29,0),IF('CO-PO Mapping'!O$3,$AC$29,0),IF('CO-PO Mapping'!O$4,$AD$29,0),IF('CO-PO Mapping'!O$5,$AE$29,0),IF('CO-PO Mapping'!O$6,$AF$29,0),IF('CO-PO Mapping'!O$7,$AG$29,0))=0), "-", IF(SUM(IF('CO-PO Mapping'!O$2,$AH100*$AB$29,0),IF('CO-PO Mapping'!O$3,$AI100*$AC$29,0),IF('CO-PO Mapping'!O$4,$AJ100*$AD$29,0),IF('CO-PO Mapping'!O$5,$AK100*$AE$29,0),IF('CO-PO Mapping'!O$6,$AL100*$AF$29,0),IF('CO-PO Mapping'!O$7,$AM100*$AG$29,0)) / SUM(IF('CO-PO Mapping'!O$2,$AB$29,0),IF('CO-PO Mapping'!O$3,$AC$29,0),IF('CO-PO Mapping'!O$4,$AD$29,0),IF('CO-PO Mapping'!O$5,$AE$29,0),IF('CO-PO Mapping'!O$6,$AF$29,0),IF('CO-PO Mapping'!O$7,$AG$29,0)) &gt;=$AW$27,"Y","N" ) ), "-"))))))</f>
        <v>-</v>
      </c>
      <c r="AU100" s="95" t="str">
        <f>IF('CO-PO Mapping'!P$2, IF(OR($AN100="-",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Mapping'!P$3, IF(OR($AO100="-",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Mapping'!P$4, IF(OR($AP100="-", SUM( IF('CO-PO Mapping'!P$2,$AB$29,0), IF('CO-PO Mapping'!P$3,$AC$29,0), IF('CO-PO Mapping'!P$4,$AD$29,0), IF('CO-PO Mapping'!P$5,$AE$29,0), IF('CO-PO Mapping'!P$6,$AF$29,0), IF('CO-PO Mapping'!P$7,$AG$29,0) )=0), "-", IF( SUM( IF('CO-PO Mapping'!P$2,$AH100*$AB$29,0), IF('CO-PO Mapping'!P$3,$AI100*$AC$29,0), IF('CO-PO Mapping'!P$4,$AJ100*$AD$29,0), IF('CO-PO Mapping'!P$5,$AK100*$AE$29,0), IF('CO-PO Mapping'!P$6,$AL100*$AF$29,0), IF('CO-PO Mapping'!P$7,$AM100*$AG$29,0) ) / SUM( IF('CO-PO Mapping'!P$2,$AB$29,0), IF('CO-PO Mapping'!P$3,$AC$29,0), IF('CO-PO Mapping'!P$4,$AD$29,0), IF('CO-PO Mapping'!P$5,$AE$29,0), IF('CO-PO Mapping'!P$6,$AF$29,0), IF('CO-PO Mapping'!P$7,$AG$29,0) ) &gt;=$AW$27, "Y","N" ) ), IF('CO-PO Mapping'!P$5, IF(OR($AQ100="-",SUM(IF('CO-PO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IF('CO-PO Mapping'!P$6, IF(OR($AR100="-",SUM(IF('CO-PO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IF('CO-PO Mapping'!P$7, IF(OR($AS100="-",SUM(IF('CO-PO Mapping'!P$2,$AB$29,0),IF('CO-PO Mapping'!P$3,$AC$29,0),IF('CO-PO Mapping'!P$4,$AD$29,0),IF('CO-PO Mapping'!P$5,$AE$29,0),IF('CO-PO Mapping'!P$6,$AF$29,0),IF('CO-PO Mapping'!P$7,$AG$29,0))=0), "-", IF(SUM(IF('CO-PO Mapping'!P$2,$AH100*$AB$29,0),IF('CO-PO Mapping'!P$3,$AI100*$AC$29,0),IF('CO-PO Mapping'!P$4,$AJ100*$AD$29,0),IF('CO-PO Mapping'!P$5,$AK100*$AE$29,0),IF('CO-PO Mapping'!P$6,$AL100*$AF$29,0),IF('CO-PO Mapping'!P$7,$AM100*$AG$29,0)) / SUM(IF('CO-PO Mapping'!P$2,$AB$29,0),IF('CO-PO Mapping'!P$3,$AC$29,0),IF('CO-PO Mapping'!P$4,$AD$29,0),IF('CO-PO Mapping'!P$5,$AE$29,0),IF('CO-PO Mapping'!P$6,$AF$29,0),IF('CO-PO Mapping'!P$7,$AG$29,0)) &gt;=$AW$27,"Y","N" ) ), "-"))))))</f>
        <v>-</v>
      </c>
      <c r="AV100" s="95" t="str">
        <f>IF('CO-PO Mapping'!Q$2, IF(OR($AN100="-",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Mapping'!Q$3, IF(OR($AO100="-",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Mapping'!Q$4, IF(OR($AP100="-", SUM( IF('CO-PO Mapping'!Q$2,$AB$29,0), IF('CO-PO Mapping'!Q$3,$AC$29,0), IF('CO-PO Mapping'!Q$4,$AD$29,0), IF('CO-PO Mapping'!Q$5,$AE$29,0), IF('CO-PO Mapping'!Q$6,$AF$29,0), IF('CO-PO Mapping'!Q$7,$AG$29,0) )=0), "-", IF( SUM( IF('CO-PO Mapping'!Q$2,$AH100*$AB$29,0), IF('CO-PO Mapping'!Q$3,$AI100*$AC$29,0), IF('CO-PO Mapping'!Q$4,$AJ100*$AD$29,0), IF('CO-PO Mapping'!Q$5,$AK100*$AE$29,0), IF('CO-PO Mapping'!Q$6,$AL100*$AF$29,0), IF('CO-PO Mapping'!Q$7,$AM100*$AG$29,0) ) / SUM( IF('CO-PO Mapping'!Q$2,$AB$29,0), IF('CO-PO Mapping'!Q$3,$AC$29,0), IF('CO-PO Mapping'!Q$4,$AD$29,0), IF('CO-PO Mapping'!Q$5,$AE$29,0), IF('CO-PO Mapping'!Q$6,$AF$29,0), IF('CO-PO Mapping'!Q$7,$AG$29,0) ) &gt;=$AW$27, "Y","N" ) ), IF('CO-PO Mapping'!Q$5, IF(OR($AQ100="-",SUM(IF('CO-PO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IF('CO-PO Mapping'!Q$6, IF(OR($AR100="-",SUM(IF('CO-PO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IF('CO-PO Mapping'!Q$7, IF(OR($AS100="-",SUM(IF('CO-PO Mapping'!Q$2,$AB$29,0),IF('CO-PO Mapping'!Q$3,$AC$29,0),IF('CO-PO Mapping'!Q$4,$AD$29,0),IF('CO-PO Mapping'!Q$5,$AE$29,0),IF('CO-PO Mapping'!Q$6,$AF$29,0),IF('CO-PO Mapping'!Q$7,$AG$29,0))=0), "-", IF(SUM(IF('CO-PO Mapping'!Q$2,$AH100*$AB$29,0),IF('CO-PO Mapping'!Q$3,$AI100*$AC$29,0),IF('CO-PO Mapping'!Q$4,$AJ100*$AD$29,0),IF('CO-PO Mapping'!Q$5,$AK100*$AE$29,0),IF('CO-PO Mapping'!Q$6,$AL100*$AF$29,0),IF('CO-PO Mapping'!Q$7,$AM100*$AG$29,0)) / SUM(IF('CO-PO Mapping'!Q$2,$AB$29,0),IF('CO-PO Mapping'!Q$3,$AC$29,0),IF('CO-PO Mapping'!Q$4,$AD$29,0),IF('CO-PO Mapping'!Q$5,$AE$29,0),IF('CO-PO Mapping'!Q$6,$AF$29,0),IF('CO-PO Mapping'!Q$7,$AG$29,0)) &gt;=$AW$27,"Y","N" ) ), "-"))))))</f>
        <v>-</v>
      </c>
      <c r="AW100" s="95" t="str">
        <f>IF('CO-PO Mapping'!R$2, IF(OR($AN100="-",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Mapping'!R$3, IF(OR($AO100="-",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Mapping'!R$4, IF(OR($AP100="-", SUM( IF('CO-PO Mapping'!R$2,$AB$29,0), IF('CO-PO Mapping'!R$3,$AC$29,0), IF('CO-PO Mapping'!R$4,$AD$29,0), IF('CO-PO Mapping'!R$5,$AE$29,0), IF('CO-PO Mapping'!R$6,$AF$29,0), IF('CO-PO Mapping'!R$7,$AG$29,0) )=0), "-", IF( SUM( IF('CO-PO Mapping'!R$2,$AH100*$AB$29,0), IF('CO-PO Mapping'!R$3,$AI100*$AC$29,0), IF('CO-PO Mapping'!R$4,$AJ100*$AD$29,0), IF('CO-PO Mapping'!R$5,$AK100*$AE$29,0), IF('CO-PO Mapping'!R$6,$AL100*$AF$29,0), IF('CO-PO Mapping'!R$7,$AM100*$AG$29,0) ) / SUM( IF('CO-PO Mapping'!R$2,$AB$29,0), IF('CO-PO Mapping'!R$3,$AC$29,0), IF('CO-PO Mapping'!R$4,$AD$29,0), IF('CO-PO Mapping'!R$5,$AE$29,0), IF('CO-PO Mapping'!R$6,$AF$29,0), IF('CO-PO Mapping'!R$7,$AG$29,0) ) &gt;=$AW$27, "Y","N" ) ), IF('CO-PO Mapping'!R$5, IF(OR($AQ100="-",SUM(IF('CO-PO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IF('CO-PO Mapping'!R$6, IF(OR($AR100="-",SUM(IF('CO-PO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IF('CO-PO Mapping'!R$7, IF(OR($AS100="-",SUM(IF('CO-PO Mapping'!R$2,$AB$29,0),IF('CO-PO Mapping'!R$3,$AC$29,0),IF('CO-PO Mapping'!R$4,$AD$29,0),IF('CO-PO Mapping'!R$5,$AE$29,0),IF('CO-PO Mapping'!R$6,$AF$29,0),IF('CO-PO Mapping'!R$7,$AG$29,0))=0), "-", IF(SUM(IF('CO-PO Mapping'!R$2,$AH100*$AB$29,0),IF('CO-PO Mapping'!R$3,$AI100*$AC$29,0),IF('CO-PO Mapping'!R$4,$AJ100*$AD$29,0),IF('CO-PO Mapping'!R$5,$AK100*$AE$29,0),IF('CO-PO Mapping'!R$6,$AL100*$AF$29,0),IF('CO-PO Mapping'!R$7,$AM100*$AG$29,0)) / SUM(IF('CO-PO Mapping'!R$2,$AB$29,0),IF('CO-PO Mapping'!R$3,$AC$29,0),IF('CO-PO Mapping'!R$4,$AD$29,0),IF('CO-PO Mapping'!R$5,$AE$29,0),IF('CO-PO Mapping'!R$6,$AF$29,0),IF('CO-PO Mapping'!R$7,$AG$29,0)) &gt;=$AW$27,"Y","N" ) ), "-"))))))</f>
        <v>-</v>
      </c>
      <c r="AX100" s="95" t="str">
        <f>IF('CO-PO Mapping'!S$2, IF(OR($AN100="-",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Mapping'!S$3, IF(OR($AO100="-",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Mapping'!S$4, IF(OR($AP100="-", SUM( IF('CO-PO Mapping'!S$2,$AB$29,0), IF('CO-PO Mapping'!S$3,$AC$29,0), IF('CO-PO Mapping'!S$4,$AD$29,0), IF('CO-PO Mapping'!S$5,$AE$29,0), IF('CO-PO Mapping'!S$6,$AF$29,0), IF('CO-PO Mapping'!S$7,$AG$29,0) )=0), "-", IF( SUM( IF('CO-PO Mapping'!S$2,$AH100*$AB$29,0), IF('CO-PO Mapping'!S$3,$AI100*$AC$29,0), IF('CO-PO Mapping'!S$4,$AJ100*$AD$29,0), IF('CO-PO Mapping'!S$5,$AK100*$AE$29,0), IF('CO-PO Mapping'!S$6,$AL100*$AF$29,0), IF('CO-PO Mapping'!S$7,$AM100*$AG$29,0) ) / SUM( IF('CO-PO Mapping'!S$2,$AB$29,0), IF('CO-PO Mapping'!S$3,$AC$29,0), IF('CO-PO Mapping'!S$4,$AD$29,0), IF('CO-PO Mapping'!S$5,$AE$29,0), IF('CO-PO Mapping'!S$6,$AF$29,0), IF('CO-PO Mapping'!S$7,$AG$29,0) ) &gt;=$AW$27, "Y","N" ) ), IF('CO-PO Mapping'!S$5, IF(OR($AQ100="-",SUM(IF('CO-PO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IF('CO-PO Mapping'!S$6, IF(OR($AR100="-",SUM(IF('CO-PO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IF('CO-PO Mapping'!S$7, IF(OR($AS100="-",SUM(IF('CO-PO Mapping'!S$2,$AB$29,0),IF('CO-PO Mapping'!S$3,$AC$29,0),IF('CO-PO Mapping'!S$4,$AD$29,0),IF('CO-PO Mapping'!S$5,$AE$29,0),IF('CO-PO Mapping'!S$6,$AF$29,0),IF('CO-PO Mapping'!S$7,$AG$29,0))=0), "-", IF(SUM(IF('CO-PO Mapping'!S$2,$AH100*$AB$29,0),IF('CO-PO Mapping'!S$3,$AI100*$AC$29,0),IF('CO-PO Mapping'!S$4,$AJ100*$AD$29,0),IF('CO-PO Mapping'!S$5,$AK100*$AE$29,0),IF('CO-PO Mapping'!S$6,$AL100*$AF$29,0),IF('CO-PO Mapping'!S$7,$AM100*$AG$29,0)) / SUM(IF('CO-PO Mapping'!S$2,$AB$29,0),IF('CO-PO Mapping'!S$3,$AC$29,0),IF('CO-PO Mapping'!S$4,$AD$29,0),IF('CO-PO Mapping'!S$5,$AE$29,0),IF('CO-PO Mapping'!S$6,$AF$29,0),IF('CO-PO Mapping'!S$7,$AG$29,0)) &gt;=$AW$27,"Y","N" ) ), "-"))))))</f>
        <v>-</v>
      </c>
      <c r="AY100" s="95" t="str">
        <f>IF('CO-PO Mapping'!T$2, IF(OR($AN100="-",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Mapping'!T$3, IF(OR($AO100="-",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Mapping'!T$4, IF(OR($AP100="-", SUM( IF('CO-PO Mapping'!T$2,$AB$29,0), IF('CO-PO Mapping'!T$3,$AC$29,0), IF('CO-PO Mapping'!T$4,$AD$29,0), IF('CO-PO Mapping'!T$5,$AE$29,0), IF('CO-PO Mapping'!T$6,$AF$29,0), IF('CO-PO Mapping'!T$7,$AG$29,0) )=0), "-", IF( SUM( IF('CO-PO Mapping'!T$2,$AH100*$AB$29,0), IF('CO-PO Mapping'!T$3,$AI100*$AC$29,0), IF('CO-PO Mapping'!T$4,$AJ100*$AD$29,0), IF('CO-PO Mapping'!T$5,$AK100*$AE$29,0), IF('CO-PO Mapping'!T$6,$AL100*$AF$29,0), IF('CO-PO Mapping'!T$7,$AM100*$AG$29,0) ) / SUM( IF('CO-PO Mapping'!T$2,$AB$29,0), IF('CO-PO Mapping'!T$3,$AC$29,0), IF('CO-PO Mapping'!T$4,$AD$29,0), IF('CO-PO Mapping'!T$5,$AE$29,0), IF('CO-PO Mapping'!T$6,$AF$29,0), IF('CO-PO Mapping'!T$7,$AG$29,0) ) &gt;=$AW$27, "Y","N" ) ), IF('CO-PO Mapping'!T$5, IF(OR($AQ100="-",SUM(IF('CO-PO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IF('CO-PO Mapping'!T$6, IF(OR($AR100="-",SUM(IF('CO-PO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IF('CO-PO Mapping'!T$7, IF(OR($AS100="-",SUM(IF('CO-PO Mapping'!T$2,$AB$29,0),IF('CO-PO Mapping'!T$3,$AC$29,0),IF('CO-PO Mapping'!T$4,$AD$29,0),IF('CO-PO Mapping'!T$5,$AE$29,0),IF('CO-PO Mapping'!T$6,$AF$29,0),IF('CO-PO Mapping'!T$7,$AG$29,0))=0), "-", IF(SUM(IF('CO-PO Mapping'!T$2,$AH100*$AB$29,0),IF('CO-PO Mapping'!T$3,$AI100*$AC$29,0),IF('CO-PO Mapping'!T$4,$AJ100*$AD$29,0),IF('CO-PO Mapping'!T$5,$AK100*$AE$29,0),IF('CO-PO Mapping'!T$6,$AL100*$AF$29,0),IF('CO-PO Mapping'!T$7,$AM100*$AG$29,0)) / SUM(IF('CO-PO Mapping'!T$2,$AB$29,0),IF('CO-PO Mapping'!T$3,$AC$29,0),IF('CO-PO Mapping'!T$4,$AD$29,0),IF('CO-PO Mapping'!T$5,$AE$29,0),IF('CO-PO Mapping'!T$6,$AF$29,0),IF('CO-PO Mapping'!T$7,$AG$29,0)) &gt;=$AW$27,"Y","N" ) ), "-"))))))</f>
        <v>-</v>
      </c>
      <c r="AZ100" s="95" t="str">
        <f>IF('CO-PO Mapping'!U$2, IF(OR($AN100="-",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Mapping'!U$3, IF(OR($AO100="-",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Mapping'!U$4, IF(OR($AP100="-", SUM( IF('CO-PO Mapping'!U$2,$AB$29,0), IF('CO-PO Mapping'!U$3,$AC$29,0), IF('CO-PO Mapping'!U$4,$AD$29,0), IF('CO-PO Mapping'!U$5,$AE$29,0), IF('CO-PO Mapping'!U$6,$AF$29,0), IF('CO-PO Mapping'!U$7,$AG$29,0) )=0), "-", IF( SUM( IF('CO-PO Mapping'!U$2,$AH100*$AB$29,0), IF('CO-PO Mapping'!U$3,$AI100*$AC$29,0), IF('CO-PO Mapping'!U$4,$AJ100*$AD$29,0), IF('CO-PO Mapping'!U$5,$AK100*$AE$29,0), IF('CO-PO Mapping'!U$6,$AL100*$AF$29,0), IF('CO-PO Mapping'!U$7,$AM100*$AG$29,0) ) / SUM( IF('CO-PO Mapping'!U$2,$AB$29,0), IF('CO-PO Mapping'!U$3,$AC$29,0), IF('CO-PO Mapping'!U$4,$AD$29,0), IF('CO-PO Mapping'!U$5,$AE$29,0), IF('CO-PO Mapping'!U$6,$AF$29,0), IF('CO-PO Mapping'!U$7,$AG$29,0) ) &gt;=$AW$27, "Y","N" ) ), IF('CO-PO Mapping'!U$5, IF(OR($AQ100="-",SUM(IF('CO-PO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IF('CO-PO Mapping'!U$6, IF(OR($AR100="-",SUM(IF('CO-PO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IF('CO-PO Mapping'!U$7, IF(OR($AS100="-",SUM(IF('CO-PO Mapping'!U$2,$AB$29,0),IF('CO-PO Mapping'!U$3,$AC$29,0),IF('CO-PO Mapping'!U$4,$AD$29,0),IF('CO-PO Mapping'!U$5,$AE$29,0),IF('CO-PO Mapping'!U$6,$AF$29,0),IF('CO-PO Mapping'!U$7,$AG$29,0))=0), "-", IF(SUM(IF('CO-PO Mapping'!U$2,$AH100*$AB$29,0),IF('CO-PO Mapping'!U$3,$AI100*$AC$29,0),IF('CO-PO Mapping'!U$4,$AJ100*$AD$29,0),IF('CO-PO Mapping'!U$5,$AK100*$AE$29,0),IF('CO-PO Mapping'!U$6,$AL100*$AF$29,0),IF('CO-PO Mapping'!U$7,$AM100*$AG$29,0)) / SUM(IF('CO-PO Mapping'!U$2,$AB$29,0),IF('CO-PO Mapping'!U$3,$AC$29,0),IF('CO-PO Mapping'!U$4,$AD$29,0),IF('CO-PO Mapping'!U$5,$AE$29,0),IF('CO-PO Mapping'!U$6,$AF$29,0),IF('CO-PO Mapping'!U$7,$AG$29,0)) &gt;=$AW$27,"Y","N" ) ), "-"))))))</f>
        <v>-</v>
      </c>
      <c r="BA100" s="95" t="str">
        <f>IF('CO-PO Mapping'!V$2, IF(OR($AN100="-",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Mapping'!V$3, IF(OR($AO100="-",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Mapping'!V$4, IF(OR($AP100="-", SUM( IF('CO-PO Mapping'!V$2,$AB$29,0), IF('CO-PO Mapping'!V$3,$AC$29,0), IF('CO-PO Mapping'!V$4,$AD$29,0), IF('CO-PO Mapping'!V$5,$AE$29,0), IF('CO-PO Mapping'!V$6,$AF$29,0), IF('CO-PO Mapping'!V$7,$AG$29,0) )=0), "-", IF( SUM( IF('CO-PO Mapping'!V$2,$AH100*$AB$29,0), IF('CO-PO Mapping'!V$3,$AI100*$AC$29,0), IF('CO-PO Mapping'!V$4,$AJ100*$AD$29,0), IF('CO-PO Mapping'!V$5,$AK100*$AE$29,0), IF('CO-PO Mapping'!V$6,$AL100*$AF$29,0), IF('CO-PO Mapping'!V$7,$AM100*$AG$29,0) ) / SUM( IF('CO-PO Mapping'!V$2,$AB$29,0), IF('CO-PO Mapping'!V$3,$AC$29,0), IF('CO-PO Mapping'!V$4,$AD$29,0), IF('CO-PO Mapping'!V$5,$AE$29,0), IF('CO-PO Mapping'!V$6,$AF$29,0), IF('CO-PO Mapping'!V$7,$AG$29,0) ) &gt;=$AW$27, "Y","N" ) ), IF('CO-PO Mapping'!V$5, IF(OR($AQ100="-",SUM(IF('CO-PO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IF('CO-PO Mapping'!V$6, IF(OR($AR100="-",SUM(IF('CO-PO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IF('CO-PO Mapping'!V$7, IF(OR($AS100="-",SUM(IF('CO-PO Mapping'!V$2,$AB$29,0),IF('CO-PO Mapping'!V$3,$AC$29,0),IF('CO-PO Mapping'!V$4,$AD$29,0),IF('CO-PO Mapping'!V$5,$AE$29,0),IF('CO-PO Mapping'!V$6,$AF$29,0),IF('CO-PO Mapping'!V$7,$AG$29,0))=0), "-", IF(SUM(IF('CO-PO Mapping'!V$2,$AH100*$AB$29,0),IF('CO-PO Mapping'!V$3,$AI100*$AC$29,0),IF('CO-PO Mapping'!V$4,$AJ100*$AD$29,0),IF('CO-PO Mapping'!V$5,$AK100*$AE$29,0),IF('CO-PO Mapping'!V$6,$AL100*$AF$29,0),IF('CO-PO Mapping'!V$7,$AM100*$AG$29,0)) / SUM(IF('CO-PO Mapping'!V$2,$AB$29,0),IF('CO-PO Mapping'!V$3,$AC$29,0),IF('CO-PO Mapping'!V$4,$AD$29,0),IF('CO-PO Mapping'!V$5,$AE$29,0),IF('CO-PO Mapping'!V$6,$AF$29,0),IF('CO-PO Mapping'!V$7,$AG$29,0)) &gt;=$AW$27,"Y","N" ) ), "-"))))))</f>
        <v>-</v>
      </c>
      <c r="BB100" s="95" t="str">
        <f>IF('CO-PO Mapping'!W$2, IF(OR($AN100="-",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Mapping'!W$3, IF(OR($AO100="-",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Mapping'!W$4, IF(OR($AP100="-", SUM( IF('CO-PO Mapping'!W$2,$AB$29,0), IF('CO-PO Mapping'!W$3,$AC$29,0), IF('CO-PO Mapping'!W$4,$AD$29,0), IF('CO-PO Mapping'!W$5,$AE$29,0), IF('CO-PO Mapping'!W$6,$AF$29,0), IF('CO-PO Mapping'!W$7,$AG$29,0) )=0), "-", IF( SUM( IF('CO-PO Mapping'!W$2,$AH100*$AB$29,0), IF('CO-PO Mapping'!W$3,$AI100*$AC$29,0), IF('CO-PO Mapping'!W$4,$AJ100*$AD$29,0), IF('CO-PO Mapping'!W$5,$AK100*$AE$29,0), IF('CO-PO Mapping'!W$6,$AL100*$AF$29,0), IF('CO-PO Mapping'!W$7,$AM100*$AG$29,0) ) / SUM( IF('CO-PO Mapping'!W$2,$AB$29,0), IF('CO-PO Mapping'!W$3,$AC$29,0), IF('CO-PO Mapping'!W$4,$AD$29,0), IF('CO-PO Mapping'!W$5,$AE$29,0), IF('CO-PO Mapping'!W$6,$AF$29,0), IF('CO-PO Mapping'!W$7,$AG$29,0) ) &gt;=$AW$27, "Y","N" ) ), IF('CO-PO Mapping'!W$5, IF(OR($AQ100="-",SUM(IF('CO-PO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IF('CO-PO Mapping'!W$6, IF(OR($AR100="-",SUM(IF('CO-PO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IF('CO-PO Mapping'!W$7, IF(OR($AS100="-",SUM(IF('CO-PO Mapping'!W$2,$AB$29,0),IF('CO-PO Mapping'!W$3,$AC$29,0),IF('CO-PO Mapping'!W$4,$AD$29,0),IF('CO-PO Mapping'!W$5,$AE$29,0),IF('CO-PO Mapping'!W$6,$AF$29,0),IF('CO-PO Mapping'!W$7,$AG$29,0))=0), "-", IF(SUM(IF('CO-PO Mapping'!W$2,$AH100*$AB$29,0),IF('CO-PO Mapping'!W$3,$AI100*$AC$29,0),IF('CO-PO Mapping'!W$4,$AJ100*$AD$29,0),IF('CO-PO Mapping'!W$5,$AK100*$AE$29,0),IF('CO-PO Mapping'!W$6,$AL100*$AF$29,0),IF('CO-PO Mapping'!W$7,$AM100*$AG$29,0)) / SUM(IF('CO-PO Mapping'!W$2,$AB$29,0),IF('CO-PO Mapping'!W$3,$AC$29,0),IF('CO-PO Mapping'!W$4,$AD$29,0),IF('CO-PO Mapping'!W$5,$AE$29,0),IF('CO-PO Mapping'!W$6,$AF$29,0),IF('CO-PO Mapping'!W$7,$AG$29,0)) &gt;=$AW$27,"Y","N" ) ), "-"))))))</f>
        <v>-</v>
      </c>
      <c r="BC100" s="95" t="str">
        <f>IF('CO-PO Mapping'!X$2, IF(OR($AN100="-",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Mapping'!X$3, IF(OR($AO100="-",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Mapping'!X$4, IF(OR($AP100="-", SUM( IF('CO-PO Mapping'!X$2,$AB$29,0), IF('CO-PO Mapping'!X$3,$AC$29,0), IF('CO-PO Mapping'!X$4,$AD$29,0), IF('CO-PO Mapping'!X$5,$AE$29,0), IF('CO-PO Mapping'!X$6,$AF$29,0), IF('CO-PO Mapping'!X$7,$AG$29,0) )=0), "-", IF( SUM( IF('CO-PO Mapping'!X$2,$AH100*$AB$29,0), IF('CO-PO Mapping'!X$3,$AI100*$AC$29,0), IF('CO-PO Mapping'!X$4,$AJ100*$AD$29,0), IF('CO-PO Mapping'!X$5,$AK100*$AE$29,0), IF('CO-PO Mapping'!X$6,$AL100*$AF$29,0), IF('CO-PO Mapping'!X$7,$AM100*$AG$29,0) ) / SUM( IF('CO-PO Mapping'!X$2,$AB$29,0), IF('CO-PO Mapping'!X$3,$AC$29,0), IF('CO-PO Mapping'!X$4,$AD$29,0), IF('CO-PO Mapping'!X$5,$AE$29,0), IF('CO-PO Mapping'!X$6,$AF$29,0), IF('CO-PO Mapping'!X$7,$AG$29,0) ) &gt;=$AW$27, "Y","N" ) ), IF('CO-PO Mapping'!X$5, IF(OR($AQ100="-",SUM(IF('CO-PO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IF('CO-PO Mapping'!X$6, IF(OR($AR100="-",SUM(IF('CO-PO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IF('CO-PO Mapping'!X$7, IF(OR($AS100="-",SUM(IF('CO-PO Mapping'!X$2,$AB$29,0),IF('CO-PO Mapping'!X$3,$AC$29,0),IF('CO-PO Mapping'!X$4,$AD$29,0),IF('CO-PO Mapping'!X$5,$AE$29,0),IF('CO-PO Mapping'!X$6,$AF$29,0),IF('CO-PO Mapping'!X$7,$AG$29,0))=0), "-", IF(SUM(IF('CO-PO Mapping'!X$2,$AH100*$AB$29,0),IF('CO-PO Mapping'!X$3,$AI100*$AC$29,0),IF('CO-PO Mapping'!X$4,$AJ100*$AD$29,0),IF('CO-PO Mapping'!X$5,$AK100*$AE$29,0),IF('CO-PO Mapping'!X$6,$AL100*$AF$29,0),IF('CO-PO Mapping'!X$7,$AM100*$AG$29,0)) / SUM(IF('CO-PO Mapping'!X$2,$AB$29,0),IF('CO-PO Mapping'!X$3,$AC$29,0),IF('CO-PO Mapping'!X$4,$AD$29,0),IF('CO-PO Mapping'!X$5,$AE$29,0),IF('CO-PO Mapping'!X$6,$AF$29,0),IF('CO-PO Mapping'!X$7,$AG$29,0)) &gt;=$AW$27,"Y","N" ) ), "-"))))))</f>
        <v>-</v>
      </c>
      <c r="BD100" s="95" t="str">
        <f>IF('CO-PO Mapping'!Y$2, IF(OR($AN100="-",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Mapping'!Y$3, IF(OR($AO100="-",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Mapping'!Y$4, IF(OR($AP100="-", SUM( IF('CO-PO Mapping'!Y$2,$AB$29,0), IF('CO-PO Mapping'!Y$3,$AC$29,0), IF('CO-PO Mapping'!Y$4,$AD$29,0), IF('CO-PO Mapping'!Y$5,$AE$29,0), IF('CO-PO Mapping'!Y$6,$AF$29,0), IF('CO-PO Mapping'!Y$7,$AG$29,0) )=0), "-", IF( SUM( IF('CO-PO Mapping'!Y$2,$AH100*$AB$29,0), IF('CO-PO Mapping'!Y$3,$AI100*$AC$29,0), IF('CO-PO Mapping'!Y$4,$AJ100*$AD$29,0), IF('CO-PO Mapping'!Y$5,$AK100*$AE$29,0), IF('CO-PO Mapping'!Y$6,$AL100*$AF$29,0), IF('CO-PO Mapping'!Y$7,$AM100*$AG$29,0) ) / SUM( IF('CO-PO Mapping'!Y$2,$AB$29,0), IF('CO-PO Mapping'!Y$3,$AC$29,0), IF('CO-PO Mapping'!Y$4,$AD$29,0), IF('CO-PO Mapping'!Y$5,$AE$29,0), IF('CO-PO Mapping'!Y$6,$AF$29,0), IF('CO-PO Mapping'!Y$7,$AG$29,0) ) &gt;=$AW$27, "Y","N" ) ), IF('CO-PO Mapping'!Y$5, IF(OR($AQ100="-",SUM(IF('CO-PO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IF('CO-PO Mapping'!Y$6, IF(OR($AR100="-",SUM(IF('CO-PO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IF('CO-PO Mapping'!Y$7, IF(OR($AS100="-",SUM(IF('CO-PO Mapping'!Y$2,$AB$29,0),IF('CO-PO Mapping'!Y$3,$AC$29,0),IF('CO-PO Mapping'!Y$4,$AD$29,0),IF('CO-PO Mapping'!Y$5,$AE$29,0),IF('CO-PO Mapping'!Y$6,$AF$29,0),IF('CO-PO Mapping'!Y$7,$AG$29,0))=0), "-", IF(SUM(IF('CO-PO Mapping'!Y$2,$AH100*$AB$29,0),IF('CO-PO Mapping'!Y$3,$AI100*$AC$29,0),IF('CO-PO Mapping'!Y$4,$AJ100*$AD$29,0),IF('CO-PO Mapping'!Y$5,$AK100*$AE$29,0),IF('CO-PO Mapping'!Y$6,$AL100*$AF$29,0),IF('CO-PO Mapping'!Y$7,$AM100*$AG$29,0)) / SUM(IF('CO-PO Mapping'!Y$2,$AB$29,0),IF('CO-PO Mapping'!Y$3,$AC$29,0),IF('CO-PO Mapping'!Y$4,$AD$29,0),IF('CO-PO Mapping'!Y$5,$AE$29,0),IF('CO-PO Mapping'!Y$6,$AF$29,0),IF('CO-PO Mapping'!Y$7,$AG$29,0)) &gt;=$AW$27,"Y","N" ) ), "-"))))))</f>
        <v>-</v>
      </c>
      <c r="BE100" s="95" t="str">
        <f>IF('CO-PO Mapping'!Z$2, IF(OR($AN100="-",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Mapping'!Z$3, IF(OR($AO100="-",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Mapping'!Z$4, IF(OR($AP100="-", SUM( IF('CO-PO Mapping'!Z$2,$AB$29,0), IF('CO-PO Mapping'!Z$3,$AC$29,0), IF('CO-PO Mapping'!Z$4,$AD$29,0), IF('CO-PO Mapping'!Z$5,$AE$29,0), IF('CO-PO Mapping'!Z$6,$AF$29,0), IF('CO-PO Mapping'!Z$7,$AG$29,0) )=0), "-", IF( SUM( IF('CO-PO Mapping'!Z$2,$AH100*$AB$29,0), IF('CO-PO Mapping'!Z$3,$AI100*$AC$29,0), IF('CO-PO Mapping'!Z$4,$AJ100*$AD$29,0), IF('CO-PO Mapping'!Z$5,$AK100*$AE$29,0), IF('CO-PO Mapping'!Z$6,$AL100*$AF$29,0), IF('CO-PO Mapping'!Z$7,$AM100*$AG$29,0) ) / SUM( IF('CO-PO Mapping'!Z$2,$AB$29,0), IF('CO-PO Mapping'!Z$3,$AC$29,0), IF('CO-PO Mapping'!Z$4,$AD$29,0), IF('CO-PO Mapping'!Z$5,$AE$29,0), IF('CO-PO Mapping'!Z$6,$AF$29,0), IF('CO-PO Mapping'!Z$7,$AG$29,0) ) &gt;=$AW$27, "Y","N" ) ), IF('CO-PO Mapping'!Z$5, IF(OR($AQ100="-",SUM(IF('CO-PO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IF('CO-PO Mapping'!Z$6, IF(OR($AR100="-",SUM(IF('CO-PO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IF('CO-PO Mapping'!Z$7, IF(OR($AS100="-",SUM(IF('CO-PO Mapping'!Z$2,$AB$29,0),IF('CO-PO Mapping'!Z$3,$AC$29,0),IF('CO-PO Mapping'!Z$4,$AD$29,0),IF('CO-PO Mapping'!Z$5,$AE$29,0),IF('CO-PO Mapping'!Z$6,$AF$29,0),IF('CO-PO Mapping'!Z$7,$AG$29,0))=0), "-", IF(SUM(IF('CO-PO Mapping'!Z$2,$AH100*$AB$29,0),IF('CO-PO Mapping'!Z$3,$AI100*$AC$29,0),IF('CO-PO Mapping'!Z$4,$AJ100*$AD$29,0),IF('CO-PO Mapping'!Z$5,$AK100*$AE$29,0),IF('CO-PO Mapping'!Z$6,$AL100*$AF$29,0),IF('CO-PO Mapping'!Z$7,$AM100*$AG$29,0)) / SUM(IF('CO-PO Mapping'!Z$2,$AB$29,0),IF('CO-PO Mapping'!Z$3,$AC$29,0),IF('CO-PO Mapping'!Z$4,$AD$29,0),IF('CO-PO Mapping'!Z$5,$AE$29,0),IF('CO-PO Mapping'!Z$6,$AF$29,0),IF('CO-PO Mapping'!Z$7,$AG$29,0)) &gt;=$AW$27,"Y","N" ) ), "-"))))))</f>
        <v>-</v>
      </c>
    </row>
    <row r="101" spans="1:57" ht="15" customHeight="1">
      <c r="A101" s="26"/>
      <c r="B101" s="34"/>
      <c r="C101" s="27"/>
      <c r="Z101" s="51"/>
      <c r="AA101" s="51"/>
      <c r="AB101" s="51"/>
      <c r="AC101" s="51"/>
      <c r="AD101" s="51"/>
      <c r="AE101" s="51"/>
      <c r="AF101" s="51"/>
      <c r="AG101" s="51"/>
      <c r="AH101" s="51"/>
      <c r="AI101" s="49"/>
      <c r="AJ101" s="49"/>
      <c r="AK101" s="49"/>
      <c r="AL101" s="49"/>
      <c r="AM101" s="49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</row>
    <row r="102" spans="1:57" ht="19.5" customHeight="1">
      <c r="A102" s="26"/>
      <c r="B102" s="12" t="s">
        <v>59</v>
      </c>
      <c r="C102" s="13"/>
      <c r="D102" s="14">
        <f>COUNTA(A30:A100)</f>
        <v>41</v>
      </c>
      <c r="J102" s="50"/>
      <c r="Z102" s="51"/>
      <c r="AA102" s="51"/>
      <c r="AB102" s="51"/>
      <c r="AC102" s="51"/>
      <c r="AD102" s="51"/>
      <c r="AE102" s="51"/>
      <c r="AF102" s="51"/>
      <c r="AG102" s="51"/>
      <c r="AH102" s="51"/>
      <c r="AI102" s="161" t="s">
        <v>60</v>
      </c>
      <c r="AJ102" s="161"/>
      <c r="AK102" s="161"/>
      <c r="AL102" s="161"/>
      <c r="AM102" s="51"/>
      <c r="AN102" s="44" t="str">
        <f>IF(COUNTIF(AN30:AN$100,"*Y*")&gt;0,IF(COUNTIF(AN30:AN$100,"*Y*")&gt;($E$105*$AQ$27/100),"YES","NO"),"-")</f>
        <v>YES</v>
      </c>
      <c r="AO102" s="44" t="str">
        <f>IF(COUNTIF(AO30:AO$100,"*Y*")&gt;0,IF(COUNTIF(AO30:AO$100,"*Y*")&gt;($E$105*$AQ$27/100),"YES","NO"),"-")</f>
        <v>YES</v>
      </c>
      <c r="AP102" s="44" t="str">
        <f>IF(COUNTIF(AP30:AP$100,"*Y*")&gt;0,IF(COUNTIF(AP30:AP$100,"*Y*")&gt;($E$105*$AQ$27/100),"YES","NO"),"-")</f>
        <v>YES</v>
      </c>
      <c r="AQ102" s="44" t="str">
        <f>IF(COUNTIF(AQ30:AQ$100,"*Y*")&gt;0,IF(COUNTIF(AQ30:AQ$100,"*Y*")&gt;($E$105*$AQ$27/100),"YES","NO"),"-")</f>
        <v>-</v>
      </c>
      <c r="AR102" s="44" t="str">
        <f>IF(COUNTIF(AR30:AR$100,"*Y*")&gt;0,IF(COUNTIF(AR30:AR$100,"*Y*")&gt;($E$105*$AQ$27/100),"YES","NO"),"-")</f>
        <v>-</v>
      </c>
      <c r="AS102" s="44" t="str">
        <f>IF(COUNTIF(AS30:AS$100,"*Y*")&gt;0,IF(COUNTIF(AS30:AS$100,"*Y*")&gt;($E$105*$AQ$27/100),"YES","NO"),"-")</f>
        <v>-</v>
      </c>
      <c r="AT102" s="44" t="str">
        <f>IF(COUNTIF(AT30:AT$100,"*Y*")&gt;0,IF(COUNTIF(AT30:AT$100,"*Y*")&gt;($E$105*$AQ$27/100),"YES","NO"),"-")</f>
        <v>YES</v>
      </c>
      <c r="AU102" s="44" t="str">
        <f>IF(COUNTIF(AU30:AU$100,"*Y*")&gt;0,IF(COUNTIF(AU30:AU$100,"*Y*")&gt;($E$105*$AQ$27/100),"YES","NO"),"-")</f>
        <v>YES</v>
      </c>
      <c r="AV102" s="44" t="str">
        <f>IF(COUNTIF(AV30:AV$100,"*Y*")&gt;0,IF(COUNTIF(AV30:AV$100,"*Y*")&gt;($E$105*$AQ$27/100),"YES","NO"),"-")</f>
        <v>YES</v>
      </c>
      <c r="AW102" s="44" t="str">
        <f>IF(COUNTIF(AW30:AW$100,"*Y*")&gt;0,IF(COUNTIF(AW30:AW$100,"*Y*")&gt;($E$105*$AQ$27/100),"YES","NO"),"-")</f>
        <v>-</v>
      </c>
      <c r="AX102" s="44" t="str">
        <f>IF(COUNTIF(AX30:AX$100,"*Y*")&gt;0,IF(COUNTIF(AX30:AX$100,"*Y*")&gt;($E$105*$AQ$27/100),"YES","NO"),"-")</f>
        <v>-</v>
      </c>
      <c r="AY102" s="44" t="str">
        <f>IF(COUNTIF(AY30:AY$100,"*Y*")&gt;0,IF(COUNTIF(AY30:AY$100,"*Y*")&gt;($E$105*$AQ$27/100),"YES","NO"),"-")</f>
        <v>-</v>
      </c>
      <c r="AZ102" s="44" t="str">
        <f>IF(COUNTIF(AZ30:AZ$100,"*Y*")&gt;0,IF(COUNTIF(AZ30:AZ$100,"*Y*")&gt;($E$105*$AQ$27/100),"YES","NO"),"-")</f>
        <v>-</v>
      </c>
      <c r="BA102" s="44" t="str">
        <f>IF(COUNTIF(BA30:BA$100,"*Y*")&gt;0,IF(COUNTIF(BA30:BA$100,"*Y*")&gt;($E$105*$AQ$27/100),"YES","NO"),"-")</f>
        <v>-</v>
      </c>
      <c r="BB102" s="44" t="str">
        <f>IF(COUNTIF(BB30:BB$100,"*Y*")&gt;0,IF(COUNTIF(BB30:BB$100,"*Y*")&gt;($E$105*$AQ$27/100),"YES","NO"),"-")</f>
        <v>-</v>
      </c>
      <c r="BC102" s="44" t="str">
        <f>IF(COUNTIF(BC30:BC$100,"*Y*")&gt;0,IF(COUNTIF(BC30:BC$100,"*Y*")&gt;($E$105*$AQ$27/100),"YES","NO"),"-")</f>
        <v>-</v>
      </c>
      <c r="BD102" s="44" t="str">
        <f>IF(COUNTIF(BD30:BD$100,"*Y*")&gt;0,IF(COUNTIF(BD30:BD$100,"*Y*")&gt;($E$105*$AQ$27/100),"YES","NO"),"-")</f>
        <v>-</v>
      </c>
      <c r="BE102" s="44" t="str">
        <f>IF(COUNTIF(BE30:BE$100,"*Y*")&gt;0,IF(COUNTIF(BE30:BE$100,"*Y*")&gt;($E$105*$AQ$27/100),"YES","NO"),"-")</f>
        <v>-</v>
      </c>
    </row>
    <row r="103" spans="1:57" ht="15" customHeight="1">
      <c r="A103" s="26"/>
      <c r="B103" s="12"/>
      <c r="C103" s="13"/>
      <c r="D103" s="14"/>
      <c r="Z103" s="51"/>
      <c r="AA103" s="51"/>
      <c r="AB103" s="51"/>
      <c r="AC103" s="51"/>
      <c r="AD103" s="51"/>
      <c r="AE103" s="51"/>
      <c r="AF103" s="51"/>
      <c r="AG103" s="51"/>
      <c r="AH103" s="51"/>
      <c r="AI103" s="161" t="s">
        <v>61</v>
      </c>
      <c r="AJ103" s="161"/>
      <c r="AK103" s="161"/>
      <c r="AL103" s="161"/>
      <c r="AM103" s="51"/>
      <c r="AN103" s="52">
        <f t="shared" ref="AN103:AP103" si="39">IF(COUNTIF(AN$30:AN$100,"*Y*")&gt;0,COUNTIF(AN$30:AN$100,"*Y*")*100/$D$102,"-")</f>
        <v>100</v>
      </c>
      <c r="AO103" s="52">
        <f t="shared" si="39"/>
        <v>90.243902439024396</v>
      </c>
      <c r="AP103" s="52">
        <f t="shared" si="39"/>
        <v>82.926829268292678</v>
      </c>
      <c r="AQ103" s="52" t="str">
        <f>IF(COUNTIF(AQ$30:AQ$100,"*Y*")&gt;0,COUNTIF(AQ$30:AQ$100,"*Y*")*100/$D$102,"-")</f>
        <v>-</v>
      </c>
      <c r="AR103" s="52" t="str">
        <f t="shared" ref="AR103:AS103" si="40">IF(COUNTIF(AR$30:AR$100,"*Y*")&gt;0,COUNTIF(AR$30:AR$100,"*Y*")*100/$D$102,"-")</f>
        <v>-</v>
      </c>
      <c r="AS103" s="52" t="str">
        <f t="shared" si="40"/>
        <v>-</v>
      </c>
      <c r="AT103" s="52">
        <f>IF(COUNTIF(AT$30:AT$100,"*Y*")&gt;0,COUNTIF(AT$30:AT$100,"*Y*")*100/$D$102,"-")</f>
        <v>100</v>
      </c>
      <c r="AU103" s="52">
        <f>IF(COUNTIF(AU$30:AU$100,"*Y*")&gt;0,COUNTIF(AU$30:AU$100,"*Y*")*100/$D$102,"-")</f>
        <v>90.243902439024396</v>
      </c>
      <c r="AV103" s="52">
        <f>IF(COUNTIF(AV$30:AV$100,"*Y*")&gt;0,COUNTIF(AV$30:AV$100,"*Y*")*100/$D$102,"-")</f>
        <v>82.926829268292678</v>
      </c>
      <c r="AW103" s="52" t="str">
        <f t="shared" ref="AW103:BE103" si="41">IF(COUNTIF(AW$30:AW$100,"*Y*")&gt;0,COUNTIF(AW$30:AW$100,"*Y*")*100/$D$102,"-")</f>
        <v>-</v>
      </c>
      <c r="AX103" s="52" t="str">
        <f t="shared" si="41"/>
        <v>-</v>
      </c>
      <c r="AY103" s="52" t="str">
        <f t="shared" si="41"/>
        <v>-</v>
      </c>
      <c r="AZ103" s="52" t="str">
        <f t="shared" si="41"/>
        <v>-</v>
      </c>
      <c r="BA103" s="52" t="str">
        <f t="shared" si="41"/>
        <v>-</v>
      </c>
      <c r="BB103" s="52" t="str">
        <f t="shared" si="41"/>
        <v>-</v>
      </c>
      <c r="BC103" s="52" t="str">
        <f t="shared" si="41"/>
        <v>-</v>
      </c>
      <c r="BD103" s="52" t="str">
        <f t="shared" si="41"/>
        <v>-</v>
      </c>
      <c r="BE103" s="52" t="str">
        <f t="shared" si="41"/>
        <v>-</v>
      </c>
    </row>
    <row r="104" spans="1:57" ht="19.5" customHeight="1">
      <c r="B104" s="179" t="s">
        <v>62</v>
      </c>
      <c r="C104" s="179"/>
      <c r="D104" s="179"/>
      <c r="E104" s="179"/>
      <c r="F104" s="179"/>
      <c r="G104" s="179"/>
      <c r="H104" s="179"/>
      <c r="I104" s="179"/>
      <c r="J104" s="179"/>
      <c r="K104" s="51"/>
      <c r="L104" s="51"/>
      <c r="M104" s="51"/>
      <c r="N104" s="51"/>
      <c r="O104" s="51"/>
      <c r="P104" s="51"/>
    </row>
    <row r="105" spans="1:57" ht="15" customHeight="1">
      <c r="A105" s="51"/>
      <c r="B105" s="149" t="s">
        <v>83</v>
      </c>
      <c r="C105" s="150"/>
      <c r="D105" s="151"/>
      <c r="E105" s="181">
        <f>COUNTIF($W$30:$W$100,"&gt;0")</f>
        <v>41</v>
      </c>
      <c r="F105" s="182"/>
      <c r="G105" s="182"/>
      <c r="H105" s="182"/>
      <c r="I105" s="182"/>
      <c r="J105" s="183"/>
      <c r="K105" s="51"/>
      <c r="L105" s="51"/>
      <c r="M105" s="51"/>
      <c r="N105" s="51"/>
      <c r="O105" s="51"/>
      <c r="P105" s="51"/>
    </row>
    <row r="106" spans="1:57" ht="15" customHeight="1">
      <c r="A106" s="53"/>
      <c r="B106" s="146"/>
      <c r="C106" s="157"/>
      <c r="D106" s="157"/>
      <c r="E106" s="157"/>
      <c r="F106" s="157"/>
      <c r="G106" s="157"/>
      <c r="H106" s="157"/>
      <c r="I106" s="157"/>
      <c r="J106" s="147"/>
      <c r="K106" s="53"/>
      <c r="L106" s="53"/>
      <c r="M106" s="53"/>
      <c r="N106" s="53"/>
      <c r="O106" s="53"/>
      <c r="P106" s="53"/>
      <c r="Q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</row>
    <row r="107" spans="1:57" ht="15" customHeight="1">
      <c r="A107" s="53"/>
      <c r="B107" s="152" t="s">
        <v>66</v>
      </c>
      <c r="C107" s="154"/>
      <c r="D107" s="152" t="s">
        <v>67</v>
      </c>
      <c r="E107" s="153"/>
      <c r="F107" s="153"/>
      <c r="G107" s="154"/>
      <c r="H107" s="149" t="s">
        <v>68</v>
      </c>
      <c r="I107" s="150"/>
      <c r="J107" s="151"/>
      <c r="K107" s="53"/>
      <c r="L107" s="53"/>
      <c r="M107" s="53"/>
      <c r="N107" s="53"/>
      <c r="O107" s="53"/>
      <c r="P107" s="53"/>
      <c r="Q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</row>
    <row r="108" spans="1:57" ht="15" customHeight="1">
      <c r="A108" s="53"/>
      <c r="B108" s="155" t="s">
        <v>70</v>
      </c>
      <c r="C108" s="156"/>
      <c r="D108" s="180">
        <f>COUNTIF($X$30:$X$100,B108)</f>
        <v>12</v>
      </c>
      <c r="E108" s="180"/>
      <c r="F108" s="180"/>
      <c r="G108" s="180"/>
      <c r="H108" s="135">
        <f>IF($D$102&gt;0,D108*100/$D$102,0)</f>
        <v>29.26829268292683</v>
      </c>
      <c r="I108" s="135"/>
      <c r="J108" s="135"/>
      <c r="K108" s="53"/>
      <c r="L108" s="53"/>
      <c r="M108" s="53"/>
      <c r="N108" s="53"/>
      <c r="O108" s="53"/>
      <c r="P108" s="53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</row>
    <row r="109" spans="1:57" ht="15" customHeight="1">
      <c r="A109" s="53"/>
      <c r="B109" s="146" t="s">
        <v>11</v>
      </c>
      <c r="C109" s="147"/>
      <c r="D109" s="180">
        <f t="shared" ref="D109:D117" si="42">COUNTIF($X$30:$X$100,B109)</f>
        <v>5</v>
      </c>
      <c r="E109" s="180"/>
      <c r="F109" s="180"/>
      <c r="G109" s="180"/>
      <c r="H109" s="135">
        <f t="shared" ref="H109:H116" si="43">IF($D$102&gt;0,D109*100/$D$102,0)</f>
        <v>12.195121951219512</v>
      </c>
      <c r="I109" s="135"/>
      <c r="J109" s="135"/>
      <c r="K109" s="53"/>
      <c r="L109" s="53"/>
      <c r="M109" s="53"/>
      <c r="N109" s="53"/>
      <c r="O109" s="53"/>
      <c r="P109" s="53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</row>
    <row r="110" spans="1:57" ht="15" customHeight="1">
      <c r="A110" s="53"/>
      <c r="B110" s="155" t="s">
        <v>78</v>
      </c>
      <c r="C110" s="156"/>
      <c r="D110" s="180">
        <f t="shared" si="42"/>
        <v>7</v>
      </c>
      <c r="E110" s="180"/>
      <c r="F110" s="180"/>
      <c r="G110" s="180"/>
      <c r="H110" s="135">
        <f t="shared" si="43"/>
        <v>17.073170731707318</v>
      </c>
      <c r="I110" s="135"/>
      <c r="J110" s="135"/>
      <c r="K110" s="53"/>
      <c r="L110" s="53"/>
      <c r="M110" s="53"/>
      <c r="N110" s="53"/>
      <c r="O110" s="53"/>
      <c r="P110" s="53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</row>
    <row r="111" spans="1:57" ht="15" customHeight="1">
      <c r="A111" s="53"/>
      <c r="B111" s="146" t="s">
        <v>72</v>
      </c>
      <c r="C111" s="147"/>
      <c r="D111" s="180">
        <f t="shared" si="42"/>
        <v>5</v>
      </c>
      <c r="E111" s="180"/>
      <c r="F111" s="180"/>
      <c r="G111" s="180"/>
      <c r="H111" s="135">
        <f t="shared" si="43"/>
        <v>12.195121951219512</v>
      </c>
      <c r="I111" s="135"/>
      <c r="J111" s="135"/>
      <c r="K111" s="53"/>
      <c r="L111" s="53"/>
      <c r="M111" s="53"/>
      <c r="N111" s="53"/>
      <c r="O111" s="53"/>
      <c r="P111" s="53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</row>
    <row r="112" spans="1:57" ht="15" customHeight="1">
      <c r="A112" s="53"/>
      <c r="B112" s="146" t="s">
        <v>23</v>
      </c>
      <c r="C112" s="147"/>
      <c r="D112" s="180">
        <f t="shared" si="42"/>
        <v>5</v>
      </c>
      <c r="E112" s="180"/>
      <c r="F112" s="180"/>
      <c r="G112" s="180"/>
      <c r="H112" s="135">
        <f t="shared" si="43"/>
        <v>12.195121951219512</v>
      </c>
      <c r="I112" s="135"/>
      <c r="J112" s="135"/>
      <c r="K112" s="53"/>
      <c r="L112" s="53"/>
      <c r="M112" s="53"/>
      <c r="N112" s="53"/>
      <c r="O112" s="53"/>
      <c r="P112" s="53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</row>
    <row r="113" spans="1:48" ht="15" customHeight="1">
      <c r="A113" s="53"/>
      <c r="B113" s="155" t="s">
        <v>79</v>
      </c>
      <c r="C113" s="156"/>
      <c r="D113" s="180">
        <f t="shared" si="42"/>
        <v>5</v>
      </c>
      <c r="E113" s="180"/>
      <c r="F113" s="180"/>
      <c r="G113" s="180"/>
      <c r="H113" s="135">
        <f t="shared" si="43"/>
        <v>12.195121951219512</v>
      </c>
      <c r="I113" s="135"/>
      <c r="J113" s="135"/>
      <c r="K113" s="53"/>
      <c r="L113" s="53"/>
      <c r="M113" s="53"/>
      <c r="N113" s="53"/>
      <c r="O113" s="53"/>
      <c r="P113" s="53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</row>
    <row r="114" spans="1:48" ht="15" customHeight="1">
      <c r="A114" s="53"/>
      <c r="B114" s="155" t="s">
        <v>80</v>
      </c>
      <c r="C114" s="156"/>
      <c r="D114" s="180">
        <f t="shared" si="42"/>
        <v>2</v>
      </c>
      <c r="E114" s="180"/>
      <c r="F114" s="180"/>
      <c r="G114" s="180"/>
      <c r="H114" s="135">
        <f t="shared" si="43"/>
        <v>4.8780487804878048</v>
      </c>
      <c r="I114" s="135"/>
      <c r="J114" s="135"/>
      <c r="K114" s="53"/>
      <c r="L114" s="53"/>
      <c r="M114" s="53"/>
      <c r="N114" s="53"/>
      <c r="O114" s="53"/>
      <c r="P114" s="53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</row>
    <row r="115" spans="1:48" ht="15" customHeight="1">
      <c r="A115" s="53"/>
      <c r="B115" s="146" t="s">
        <v>35</v>
      </c>
      <c r="C115" s="147"/>
      <c r="D115" s="180">
        <f t="shared" si="42"/>
        <v>0</v>
      </c>
      <c r="E115" s="180"/>
      <c r="F115" s="180"/>
      <c r="G115" s="180"/>
      <c r="H115" s="135">
        <f t="shared" si="43"/>
        <v>0</v>
      </c>
      <c r="I115" s="135"/>
      <c r="J115" s="135"/>
      <c r="K115" s="53"/>
      <c r="L115" s="53"/>
      <c r="M115" s="53"/>
      <c r="N115" s="53"/>
      <c r="O115" s="53"/>
      <c r="P115" s="53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</row>
    <row r="116" spans="1:48" ht="15" customHeight="1">
      <c r="A116" s="53"/>
      <c r="B116" s="146" t="s">
        <v>38</v>
      </c>
      <c r="C116" s="147"/>
      <c r="D116" s="180">
        <f t="shared" si="42"/>
        <v>0</v>
      </c>
      <c r="E116" s="180"/>
      <c r="F116" s="180"/>
      <c r="G116" s="180"/>
      <c r="H116" s="135">
        <f t="shared" si="43"/>
        <v>0</v>
      </c>
      <c r="I116" s="135"/>
      <c r="J116" s="135"/>
      <c r="K116" s="53"/>
      <c r="L116" s="53"/>
      <c r="M116" s="53"/>
      <c r="N116" s="53"/>
      <c r="O116" s="53"/>
      <c r="P116" s="53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</row>
    <row r="117" spans="1:48" ht="15" customHeight="1">
      <c r="A117" s="53"/>
      <c r="B117" s="155" t="s">
        <v>81</v>
      </c>
      <c r="C117" s="156"/>
      <c r="D117" s="180">
        <f t="shared" si="42"/>
        <v>0</v>
      </c>
      <c r="E117" s="180"/>
      <c r="F117" s="180"/>
      <c r="G117" s="180"/>
      <c r="H117" s="135">
        <f t="shared" ref="H117" si="44">IF($D$102&gt;0,D117*100/$D$102,0)</f>
        <v>0</v>
      </c>
      <c r="I117" s="135"/>
      <c r="J117" s="135"/>
      <c r="K117" s="53"/>
      <c r="L117" s="53"/>
      <c r="M117" s="53"/>
      <c r="N117" s="53"/>
      <c r="O117" s="53"/>
      <c r="P117" s="53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</row>
    <row r="118" spans="1:48" ht="15" customHeight="1">
      <c r="A118" s="53"/>
      <c r="B118" s="130" t="s">
        <v>122</v>
      </c>
      <c r="C118" s="131"/>
      <c r="D118" s="132">
        <f t="shared" ref="D118" si="45">COUNTIF($X$30:$X$100,B118)</f>
        <v>0</v>
      </c>
      <c r="E118" s="133"/>
      <c r="F118" s="133"/>
      <c r="G118" s="134"/>
      <c r="H118" s="135">
        <f t="shared" ref="H118:H119" si="46">IF($D$102&gt;0,D118*100/$D$102,0)</f>
        <v>0</v>
      </c>
      <c r="I118" s="135"/>
      <c r="J118" s="135"/>
      <c r="K118" s="53"/>
      <c r="L118" s="53"/>
      <c r="M118" s="53"/>
      <c r="N118" s="53"/>
      <c r="O118" s="53"/>
      <c r="P118" s="53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</row>
    <row r="119" spans="1:48" ht="15" customHeight="1">
      <c r="A119" s="53"/>
      <c r="B119" s="149" t="s">
        <v>47</v>
      </c>
      <c r="C119" s="151"/>
      <c r="D119" s="202">
        <f>SUM(D108:D118)</f>
        <v>41</v>
      </c>
      <c r="E119" s="203"/>
      <c r="F119" s="203"/>
      <c r="G119" s="203"/>
      <c r="H119" s="135">
        <f t="shared" si="46"/>
        <v>100</v>
      </c>
      <c r="I119" s="135"/>
      <c r="J119" s="135"/>
      <c r="K119" s="53"/>
      <c r="L119" s="53"/>
      <c r="M119" s="53"/>
      <c r="N119" s="53"/>
      <c r="O119" s="53"/>
      <c r="P119" s="53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</row>
    <row r="120" spans="1:48" ht="15" customHeight="1">
      <c r="A120" s="53"/>
      <c r="K120" s="53"/>
      <c r="L120" s="53"/>
      <c r="M120" s="53"/>
      <c r="N120" s="53"/>
      <c r="O120" s="53"/>
      <c r="P120" s="53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</row>
    <row r="121" spans="1:48" ht="15" customHeight="1">
      <c r="A121" s="53"/>
      <c r="K121" s="53"/>
      <c r="L121" s="53"/>
      <c r="M121" s="53"/>
      <c r="N121" s="53"/>
      <c r="O121" s="53"/>
      <c r="P121" s="53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</row>
    <row r="122" spans="1:48" ht="15" customHeight="1"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</row>
    <row r="123" spans="1:48" ht="15" customHeight="1"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</row>
    <row r="124" spans="1:48" ht="15" customHeight="1">
      <c r="A124" s="26"/>
      <c r="B124" s="34"/>
      <c r="C124" s="27"/>
      <c r="D124" s="27"/>
      <c r="E124" s="27"/>
      <c r="F124" s="27"/>
      <c r="G124" s="27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</row>
    <row r="125" spans="1:48" ht="15" customHeight="1">
      <c r="A125" s="26"/>
      <c r="B125" s="34"/>
      <c r="C125" s="27"/>
      <c r="D125" s="27"/>
      <c r="E125" s="27"/>
      <c r="F125" s="27"/>
      <c r="G125" s="27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</row>
    <row r="126" spans="1:48" ht="15" customHeight="1">
      <c r="A126" s="26"/>
      <c r="B126" s="34"/>
      <c r="C126" s="27"/>
      <c r="D126" s="27"/>
      <c r="E126" s="27"/>
      <c r="F126" s="27"/>
      <c r="G126" s="27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</row>
    <row r="127" spans="1:48" ht="15" customHeight="1">
      <c r="A127" s="26"/>
      <c r="B127" s="34"/>
      <c r="C127" s="27"/>
      <c r="D127" s="27"/>
      <c r="E127" s="27"/>
      <c r="F127" s="27"/>
      <c r="G127" s="27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</row>
    <row r="128" spans="1:48" ht="15" customHeight="1">
      <c r="A128" s="26"/>
      <c r="B128" s="34"/>
      <c r="C128" s="27"/>
      <c r="D128" s="27"/>
      <c r="E128" s="27"/>
      <c r="F128" s="27"/>
      <c r="G128" s="27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</row>
    <row r="129" spans="1:48" ht="15" customHeight="1">
      <c r="A129" s="26"/>
      <c r="B129" s="34"/>
      <c r="C129" s="27"/>
      <c r="D129" s="27"/>
      <c r="E129" s="27"/>
      <c r="F129" s="27"/>
      <c r="G129" s="27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</row>
    <row r="130" spans="1:48" ht="15" customHeight="1">
      <c r="A130" s="26"/>
      <c r="B130" s="34"/>
      <c r="C130" s="27"/>
      <c r="D130" s="27"/>
      <c r="E130" s="27"/>
      <c r="F130" s="27"/>
      <c r="G130" s="27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</row>
    <row r="131" spans="1:48" ht="15" customHeight="1">
      <c r="A131" s="26"/>
      <c r="B131" s="34"/>
      <c r="C131" s="27"/>
      <c r="D131" s="27"/>
      <c r="E131" s="27"/>
      <c r="F131" s="27"/>
      <c r="G131" s="27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</row>
    <row r="132" spans="1:48" ht="15" customHeight="1">
      <c r="A132" s="26"/>
      <c r="B132" s="34"/>
      <c r="C132" s="27"/>
      <c r="D132" s="27"/>
      <c r="E132" s="27"/>
      <c r="F132" s="27"/>
      <c r="G132" s="27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</row>
    <row r="133" spans="1:48" ht="15" customHeight="1">
      <c r="A133" s="26"/>
      <c r="B133" s="34"/>
      <c r="C133" s="27"/>
      <c r="D133" s="27"/>
      <c r="E133" s="27"/>
      <c r="F133" s="27"/>
      <c r="G133" s="27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</row>
    <row r="134" spans="1:48" ht="15" customHeight="1">
      <c r="A134" s="26"/>
      <c r="B134" s="34"/>
      <c r="C134" s="27"/>
      <c r="D134" s="27"/>
      <c r="E134" s="27"/>
      <c r="F134" s="27"/>
      <c r="G134" s="27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</row>
    <row r="135" spans="1:48" ht="15" customHeight="1">
      <c r="A135" s="26"/>
      <c r="B135" s="34"/>
      <c r="C135" s="27"/>
      <c r="D135" s="27"/>
      <c r="E135" s="27"/>
      <c r="F135" s="27"/>
      <c r="G135" s="27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</row>
    <row r="136" spans="1:48" ht="15" customHeight="1">
      <c r="A136" s="26"/>
      <c r="B136" s="34"/>
      <c r="C136" s="27"/>
      <c r="D136" s="27"/>
      <c r="E136" s="27"/>
      <c r="F136" s="27"/>
      <c r="G136" s="27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</row>
    <row r="137" spans="1:48" ht="15" customHeight="1">
      <c r="A137" s="26"/>
      <c r="B137" s="34"/>
      <c r="C137" s="27"/>
      <c r="D137" s="27"/>
      <c r="E137" s="27"/>
      <c r="F137" s="27"/>
      <c r="G137" s="27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</row>
    <row r="138" spans="1:48" ht="15" customHeight="1">
      <c r="A138" s="26"/>
      <c r="B138" s="34"/>
      <c r="C138" s="27"/>
      <c r="D138" s="27"/>
      <c r="E138" s="27"/>
      <c r="F138" s="27"/>
      <c r="G138" s="27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</row>
    <row r="139" spans="1:48" ht="15" customHeight="1">
      <c r="A139" s="26"/>
      <c r="B139" s="34"/>
      <c r="C139" s="27"/>
      <c r="D139" s="27"/>
      <c r="E139" s="27"/>
      <c r="F139" s="27"/>
      <c r="G139" s="27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</row>
    <row r="140" spans="1:48" ht="15" customHeight="1">
      <c r="A140" s="26"/>
      <c r="B140" s="34"/>
      <c r="C140" s="27"/>
      <c r="D140" s="27"/>
      <c r="E140" s="27"/>
      <c r="F140" s="27"/>
      <c r="G140" s="27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</row>
    <row r="141" spans="1:48" ht="15" customHeight="1">
      <c r="A141" s="26"/>
      <c r="B141" s="34"/>
      <c r="C141" s="27"/>
      <c r="D141" s="27"/>
      <c r="E141" s="27"/>
      <c r="F141" s="27"/>
      <c r="G141" s="27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</row>
    <row r="142" spans="1:48" ht="15" customHeight="1">
      <c r="A142" s="26"/>
      <c r="B142" s="34"/>
      <c r="C142" s="27"/>
      <c r="D142" s="27"/>
      <c r="E142" s="27"/>
      <c r="F142" s="27"/>
      <c r="G142" s="27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</row>
    <row r="143" spans="1:48" ht="15" customHeight="1">
      <c r="A143" s="26"/>
      <c r="B143" s="34"/>
      <c r="C143" s="27"/>
      <c r="D143" s="27"/>
      <c r="E143" s="27"/>
      <c r="F143" s="27"/>
      <c r="G143" s="27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</row>
    <row r="144" spans="1:48" ht="15" customHeight="1">
      <c r="A144" s="26"/>
      <c r="B144" s="34"/>
      <c r="C144" s="27"/>
      <c r="D144" s="27"/>
      <c r="E144" s="27"/>
      <c r="F144" s="27"/>
      <c r="G144" s="27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</row>
    <row r="145" spans="1:48" ht="15" customHeight="1">
      <c r="A145" s="26"/>
      <c r="B145" s="34"/>
      <c r="C145" s="27"/>
      <c r="D145" s="27"/>
      <c r="E145" s="27"/>
      <c r="F145" s="27"/>
      <c r="G145" s="27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</row>
    <row r="146" spans="1:48" ht="15" customHeight="1">
      <c r="A146" s="26"/>
      <c r="B146" s="34"/>
      <c r="C146" s="27"/>
      <c r="D146" s="27"/>
      <c r="E146" s="27"/>
      <c r="F146" s="27"/>
      <c r="G146" s="27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</row>
    <row r="147" spans="1:48" ht="15" customHeight="1">
      <c r="A147" s="26"/>
      <c r="B147" s="34"/>
      <c r="C147" s="27"/>
      <c r="D147" s="27"/>
      <c r="E147" s="27"/>
      <c r="F147" s="27"/>
      <c r="G147" s="27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</row>
    <row r="148" spans="1:48" ht="15" customHeight="1">
      <c r="A148" s="26"/>
      <c r="B148" s="34"/>
      <c r="C148" s="27"/>
      <c r="D148" s="27"/>
      <c r="E148" s="27"/>
      <c r="F148" s="27"/>
      <c r="G148" s="27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</row>
    <row r="149" spans="1:48" ht="15" customHeight="1">
      <c r="A149" s="26"/>
      <c r="B149" s="34"/>
      <c r="C149" s="27"/>
      <c r="D149" s="27"/>
      <c r="E149" s="27"/>
      <c r="F149" s="27"/>
      <c r="G149" s="27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</row>
    <row r="150" spans="1:48" ht="15" customHeight="1">
      <c r="A150" s="26"/>
      <c r="B150" s="34"/>
      <c r="C150" s="27"/>
      <c r="D150" s="27"/>
      <c r="E150" s="27"/>
      <c r="F150" s="27"/>
      <c r="G150" s="27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</row>
    <row r="151" spans="1:48" ht="15" customHeight="1">
      <c r="A151" s="26"/>
      <c r="B151" s="34"/>
      <c r="C151" s="27"/>
      <c r="D151" s="27"/>
      <c r="E151" s="27"/>
      <c r="F151" s="27"/>
      <c r="G151" s="27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</row>
    <row r="152" spans="1:48" ht="15" customHeight="1">
      <c r="A152" s="26"/>
      <c r="B152" s="34"/>
      <c r="C152" s="27"/>
      <c r="D152" s="27"/>
      <c r="E152" s="27"/>
      <c r="F152" s="27"/>
      <c r="G152" s="27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</row>
    <row r="153" spans="1:48" ht="15" customHeight="1">
      <c r="A153" s="26"/>
      <c r="B153" s="34"/>
      <c r="C153" s="27"/>
      <c r="D153" s="27"/>
      <c r="E153" s="27"/>
      <c r="F153" s="27"/>
      <c r="G153" s="27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</row>
    <row r="154" spans="1:48" ht="15" customHeight="1">
      <c r="A154" s="26"/>
      <c r="B154" s="34"/>
      <c r="C154" s="27"/>
      <c r="D154" s="27"/>
      <c r="E154" s="27"/>
      <c r="F154" s="27"/>
      <c r="G154" s="27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</row>
    <row r="155" spans="1:48" ht="15" customHeight="1">
      <c r="A155" s="26"/>
      <c r="B155" s="34"/>
      <c r="C155" s="27"/>
      <c r="D155" s="27"/>
      <c r="E155" s="27"/>
      <c r="F155" s="27"/>
      <c r="G155" s="27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</row>
    <row r="156" spans="1:48" ht="15" customHeight="1">
      <c r="A156" s="26"/>
      <c r="B156" s="34"/>
      <c r="C156" s="27"/>
      <c r="D156" s="27"/>
      <c r="E156" s="27"/>
      <c r="F156" s="27"/>
      <c r="G156" s="27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</row>
    <row r="157" spans="1:48" ht="15" customHeight="1">
      <c r="A157" s="26"/>
      <c r="B157" s="34"/>
      <c r="C157" s="27"/>
      <c r="D157" s="27"/>
      <c r="E157" s="27"/>
      <c r="F157" s="27"/>
      <c r="G157" s="27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</row>
    <row r="158" spans="1:48" ht="15" customHeight="1">
      <c r="A158" s="26"/>
      <c r="B158" s="34"/>
      <c r="C158" s="27"/>
      <c r="D158" s="27"/>
      <c r="E158" s="27"/>
      <c r="F158" s="27"/>
      <c r="G158" s="27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</row>
    <row r="159" spans="1:48" ht="15" customHeight="1">
      <c r="A159" s="26"/>
      <c r="B159" s="34"/>
      <c r="C159" s="27"/>
      <c r="D159" s="27"/>
      <c r="E159" s="27"/>
      <c r="F159" s="27"/>
      <c r="G159" s="27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</row>
    <row r="160" spans="1:48" ht="15" customHeight="1">
      <c r="A160" s="26"/>
      <c r="B160" s="34"/>
      <c r="C160" s="27"/>
      <c r="D160" s="27"/>
      <c r="E160" s="27"/>
      <c r="F160" s="27"/>
      <c r="G160" s="27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</row>
    <row r="161" spans="1:48" ht="15" customHeight="1">
      <c r="A161" s="26"/>
      <c r="B161" s="34"/>
      <c r="C161" s="27"/>
      <c r="D161" s="27"/>
      <c r="E161" s="27"/>
      <c r="F161" s="27"/>
      <c r="G161" s="27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</row>
    <row r="162" spans="1:48" ht="15" customHeight="1">
      <c r="A162" s="26"/>
      <c r="B162" s="34"/>
      <c r="C162" s="27"/>
      <c r="D162" s="27"/>
      <c r="E162" s="27"/>
      <c r="F162" s="27"/>
      <c r="G162" s="27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</row>
    <row r="163" spans="1:48" ht="15" customHeight="1">
      <c r="A163" s="26"/>
      <c r="B163" s="34"/>
      <c r="C163" s="27"/>
      <c r="D163" s="27"/>
      <c r="E163" s="27"/>
      <c r="F163" s="27"/>
      <c r="G163" s="27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</row>
    <row r="164" spans="1:48" ht="15" customHeight="1">
      <c r="A164" s="26"/>
      <c r="B164" s="34"/>
      <c r="C164" s="27"/>
      <c r="D164" s="27"/>
      <c r="E164" s="27"/>
      <c r="F164" s="27"/>
      <c r="G164" s="27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</row>
    <row r="165" spans="1:48" ht="15" customHeight="1">
      <c r="A165" s="26"/>
      <c r="B165" s="34"/>
      <c r="C165" s="27"/>
      <c r="D165" s="27"/>
      <c r="E165" s="27"/>
      <c r="F165" s="27"/>
      <c r="G165" s="27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</row>
    <row r="166" spans="1:48" ht="15" customHeight="1">
      <c r="A166" s="26"/>
      <c r="B166" s="34"/>
      <c r="C166" s="27"/>
      <c r="D166" s="27"/>
      <c r="E166" s="27"/>
      <c r="F166" s="27"/>
      <c r="G166" s="27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</row>
    <row r="167" spans="1:48" ht="15" customHeight="1">
      <c r="A167" s="26"/>
      <c r="B167" s="34"/>
      <c r="C167" s="27"/>
      <c r="D167" s="27"/>
      <c r="E167" s="27"/>
      <c r="F167" s="27"/>
      <c r="G167" s="27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</row>
    <row r="168" spans="1:48" ht="15" customHeight="1">
      <c r="A168" s="26"/>
      <c r="B168" s="34"/>
      <c r="C168" s="27"/>
      <c r="D168" s="27"/>
      <c r="E168" s="27"/>
      <c r="F168" s="27"/>
      <c r="G168" s="27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</row>
    <row r="169" spans="1:48" ht="15" customHeight="1">
      <c r="A169" s="26"/>
      <c r="B169" s="34"/>
      <c r="C169" s="27"/>
      <c r="D169" s="27"/>
      <c r="E169" s="27"/>
      <c r="F169" s="27"/>
      <c r="G169" s="27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</row>
    <row r="170" spans="1:48" ht="15" customHeight="1">
      <c r="A170" s="26"/>
      <c r="B170" s="34"/>
      <c r="C170" s="27"/>
      <c r="D170" s="27"/>
      <c r="E170" s="27"/>
      <c r="F170" s="27"/>
      <c r="G170" s="27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</row>
    <row r="171" spans="1:48" ht="15" customHeight="1">
      <c r="A171" s="26"/>
      <c r="B171" s="34"/>
      <c r="C171" s="27"/>
      <c r="D171" s="27"/>
      <c r="E171" s="27"/>
      <c r="F171" s="27"/>
      <c r="G171" s="27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</row>
    <row r="172" spans="1:48" ht="15" customHeight="1">
      <c r="A172" s="26"/>
      <c r="B172" s="34"/>
      <c r="C172" s="27"/>
      <c r="D172" s="27"/>
      <c r="E172" s="27"/>
      <c r="F172" s="27"/>
      <c r="G172" s="27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</row>
    <row r="173" spans="1:48" ht="15" customHeight="1">
      <c r="A173" s="26"/>
      <c r="B173" s="34"/>
      <c r="C173" s="27"/>
      <c r="D173" s="27"/>
      <c r="E173" s="27"/>
      <c r="F173" s="27"/>
      <c r="G173" s="27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</row>
    <row r="174" spans="1:48" ht="15" customHeight="1">
      <c r="A174" s="26"/>
      <c r="B174" s="34"/>
      <c r="C174" s="27"/>
      <c r="D174" s="27"/>
      <c r="E174" s="27"/>
      <c r="F174" s="27"/>
      <c r="G174" s="27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</row>
    <row r="175" spans="1:48" ht="15" customHeight="1">
      <c r="A175" s="26"/>
      <c r="B175" s="34"/>
      <c r="C175" s="27"/>
      <c r="D175" s="27"/>
      <c r="E175" s="27"/>
      <c r="F175" s="27"/>
      <c r="G175" s="27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</row>
    <row r="176" spans="1:48" ht="15" customHeight="1">
      <c r="A176" s="26"/>
      <c r="B176" s="34"/>
      <c r="C176" s="27"/>
      <c r="D176" s="27"/>
      <c r="E176" s="27"/>
      <c r="F176" s="27"/>
      <c r="G176" s="27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</row>
    <row r="177" spans="1:48" ht="15" customHeight="1">
      <c r="A177" s="26"/>
      <c r="B177" s="34"/>
      <c r="C177" s="27"/>
      <c r="D177" s="27"/>
      <c r="E177" s="27"/>
      <c r="F177" s="27"/>
      <c r="G177" s="27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</row>
    <row r="178" spans="1:48" ht="15" customHeight="1">
      <c r="A178" s="26"/>
      <c r="B178" s="34"/>
      <c r="C178" s="27"/>
      <c r="D178" s="27"/>
      <c r="E178" s="27"/>
      <c r="F178" s="27"/>
      <c r="G178" s="27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</row>
    <row r="179" spans="1:48" ht="15" customHeight="1">
      <c r="A179" s="26"/>
      <c r="B179" s="34"/>
      <c r="C179" s="27"/>
      <c r="D179" s="27"/>
      <c r="E179" s="27"/>
      <c r="F179" s="27"/>
      <c r="G179" s="27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</row>
    <row r="180" spans="1:48" ht="15" customHeight="1">
      <c r="A180" s="26"/>
      <c r="B180" s="34"/>
      <c r="C180" s="27"/>
      <c r="D180" s="27"/>
      <c r="E180" s="27"/>
      <c r="F180" s="27"/>
      <c r="G180" s="27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</row>
    <row r="181" spans="1:48" ht="15" customHeight="1">
      <c r="A181" s="26"/>
      <c r="B181" s="34"/>
      <c r="C181" s="27"/>
      <c r="D181" s="27"/>
      <c r="E181" s="27"/>
      <c r="F181" s="27"/>
      <c r="G181" s="27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</row>
    <row r="182" spans="1:48" ht="15" customHeight="1">
      <c r="A182" s="26"/>
      <c r="B182" s="34"/>
      <c r="C182" s="27"/>
      <c r="D182" s="27"/>
      <c r="E182" s="27"/>
      <c r="F182" s="27"/>
      <c r="G182" s="27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</row>
    <row r="183" spans="1:48" ht="15" customHeight="1">
      <c r="A183" s="26"/>
      <c r="B183" s="34"/>
      <c r="C183" s="27"/>
      <c r="D183" s="27"/>
      <c r="E183" s="27"/>
      <c r="F183" s="27"/>
      <c r="G183" s="27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</row>
    <row r="184" spans="1:48" ht="15" customHeight="1">
      <c r="A184" s="26"/>
      <c r="B184" s="34"/>
      <c r="C184" s="27"/>
      <c r="D184" s="27"/>
      <c r="E184" s="27"/>
      <c r="F184" s="27"/>
      <c r="G184" s="27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</row>
    <row r="185" spans="1:48" ht="15" customHeight="1">
      <c r="A185" s="26"/>
      <c r="B185" s="34"/>
      <c r="C185" s="27"/>
      <c r="D185" s="27"/>
      <c r="E185" s="27"/>
      <c r="F185" s="27"/>
      <c r="G185" s="27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</row>
    <row r="186" spans="1:48" ht="15" customHeight="1">
      <c r="A186" s="26"/>
      <c r="B186" s="34"/>
      <c r="C186" s="27"/>
      <c r="D186" s="27"/>
      <c r="E186" s="27"/>
      <c r="F186" s="27"/>
      <c r="G186" s="27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</row>
    <row r="187" spans="1:48" ht="15" customHeight="1">
      <c r="A187" s="26"/>
      <c r="B187" s="34"/>
      <c r="C187" s="27"/>
      <c r="D187" s="27"/>
      <c r="E187" s="27"/>
      <c r="F187" s="27"/>
      <c r="G187" s="27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</row>
    <row r="188" spans="1:48" ht="15" customHeight="1">
      <c r="A188" s="26"/>
      <c r="B188" s="34"/>
      <c r="C188" s="27"/>
      <c r="D188" s="27"/>
      <c r="E188" s="27"/>
      <c r="F188" s="27"/>
      <c r="G188" s="27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</row>
    <row r="189" spans="1:48" ht="15" customHeight="1">
      <c r="A189" s="26"/>
      <c r="B189" s="34"/>
      <c r="C189" s="27"/>
      <c r="D189" s="27"/>
      <c r="E189" s="27"/>
      <c r="F189" s="27"/>
      <c r="G189" s="27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</row>
    <row r="190" spans="1:48" ht="15" customHeight="1">
      <c r="A190" s="26"/>
      <c r="B190" s="34"/>
      <c r="C190" s="27"/>
      <c r="D190" s="27"/>
      <c r="E190" s="27"/>
      <c r="F190" s="27"/>
      <c r="G190" s="27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</row>
    <row r="191" spans="1:48" ht="15" customHeight="1">
      <c r="A191" s="26"/>
      <c r="B191" s="34"/>
      <c r="C191" s="27"/>
      <c r="D191" s="27"/>
      <c r="E191" s="27"/>
      <c r="F191" s="27"/>
      <c r="G191" s="27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</row>
    <row r="192" spans="1:48" ht="15" customHeight="1">
      <c r="A192" s="26"/>
      <c r="B192" s="34"/>
      <c r="C192" s="27"/>
      <c r="D192" s="27"/>
      <c r="E192" s="27"/>
      <c r="F192" s="27"/>
      <c r="G192" s="27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</row>
    <row r="193" spans="1:48" ht="15" customHeight="1">
      <c r="A193" s="26"/>
      <c r="B193" s="34"/>
      <c r="C193" s="27"/>
      <c r="D193" s="27"/>
      <c r="E193" s="27"/>
      <c r="F193" s="27"/>
      <c r="G193" s="27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</row>
    <row r="194" spans="1:48" ht="15" customHeight="1">
      <c r="A194" s="26"/>
      <c r="B194" s="34"/>
      <c r="C194" s="27"/>
      <c r="D194" s="27"/>
      <c r="E194" s="27"/>
      <c r="F194" s="27"/>
      <c r="G194" s="27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</row>
    <row r="195" spans="1:48" ht="15" customHeight="1">
      <c r="A195" s="26"/>
      <c r="B195" s="34"/>
      <c r="C195" s="27"/>
      <c r="D195" s="27"/>
      <c r="E195" s="27"/>
      <c r="F195" s="27"/>
      <c r="G195" s="27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</row>
    <row r="196" spans="1:48" ht="15" customHeight="1">
      <c r="A196" s="26"/>
      <c r="B196" s="34"/>
      <c r="C196" s="27"/>
      <c r="D196" s="27"/>
      <c r="E196" s="27"/>
      <c r="F196" s="27"/>
      <c r="G196" s="27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</row>
    <row r="197" spans="1:48" ht="15" customHeight="1">
      <c r="A197" s="26"/>
      <c r="B197" s="34"/>
      <c r="C197" s="27"/>
      <c r="D197" s="27"/>
      <c r="E197" s="27"/>
      <c r="F197" s="27"/>
      <c r="G197" s="27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</row>
    <row r="198" spans="1:48" ht="15" customHeight="1">
      <c r="A198" s="26"/>
      <c r="B198" s="34"/>
      <c r="C198" s="27"/>
      <c r="D198" s="27"/>
      <c r="E198" s="27"/>
      <c r="F198" s="27"/>
      <c r="G198" s="27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</row>
    <row r="199" spans="1:48" ht="15" customHeight="1">
      <c r="A199" s="26"/>
      <c r="B199" s="34"/>
      <c r="C199" s="27"/>
      <c r="D199" s="27"/>
      <c r="E199" s="27"/>
      <c r="F199" s="27"/>
      <c r="G199" s="27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</row>
    <row r="200" spans="1:48" ht="15" customHeight="1">
      <c r="A200" s="26"/>
      <c r="B200" s="34"/>
      <c r="C200" s="27"/>
      <c r="D200" s="27"/>
      <c r="E200" s="27"/>
      <c r="F200" s="27"/>
      <c r="G200" s="27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</row>
    <row r="201" spans="1:48" ht="15" customHeight="1">
      <c r="A201" s="26"/>
      <c r="B201" s="34"/>
      <c r="C201" s="27"/>
      <c r="D201" s="27"/>
      <c r="E201" s="27"/>
      <c r="F201" s="27"/>
      <c r="G201" s="27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</row>
    <row r="202" spans="1:48" ht="15" customHeight="1">
      <c r="A202" s="26"/>
      <c r="B202" s="34"/>
      <c r="C202" s="27"/>
      <c r="D202" s="27"/>
      <c r="E202" s="27"/>
      <c r="F202" s="27"/>
      <c r="G202" s="27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</row>
    <row r="203" spans="1:48" ht="15" customHeight="1">
      <c r="A203" s="26"/>
      <c r="B203" s="34"/>
      <c r="C203" s="27"/>
      <c r="D203" s="27"/>
      <c r="E203" s="27"/>
      <c r="F203" s="27"/>
      <c r="G203" s="27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</row>
    <row r="204" spans="1:48" ht="15" customHeight="1">
      <c r="A204" s="26"/>
      <c r="B204" s="34"/>
      <c r="C204" s="27"/>
      <c r="D204" s="27"/>
      <c r="E204" s="27"/>
      <c r="F204" s="27"/>
      <c r="G204" s="27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</row>
    <row r="205" spans="1:48" ht="15" customHeight="1">
      <c r="A205" s="26"/>
      <c r="B205" s="34"/>
      <c r="C205" s="27"/>
      <c r="D205" s="27"/>
      <c r="E205" s="27"/>
      <c r="F205" s="27"/>
      <c r="G205" s="27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</row>
    <row r="206" spans="1:48" ht="15" customHeight="1">
      <c r="A206" s="26"/>
      <c r="B206" s="34"/>
      <c r="C206" s="27"/>
      <c r="D206" s="27"/>
      <c r="E206" s="27"/>
      <c r="F206" s="27"/>
      <c r="G206" s="27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</row>
    <row r="207" spans="1:48" ht="15" customHeight="1">
      <c r="A207" s="26"/>
      <c r="B207" s="34"/>
      <c r="C207" s="27"/>
      <c r="D207" s="27"/>
      <c r="E207" s="27"/>
      <c r="F207" s="27"/>
      <c r="G207" s="27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</row>
    <row r="208" spans="1:48" ht="15" customHeight="1">
      <c r="A208" s="26"/>
      <c r="B208" s="34"/>
      <c r="C208" s="27"/>
      <c r="D208" s="27"/>
      <c r="E208" s="27"/>
      <c r="F208" s="27"/>
      <c r="G208" s="27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</row>
    <row r="209" spans="1:48" ht="15" customHeight="1">
      <c r="A209" s="26"/>
      <c r="B209" s="34"/>
      <c r="C209" s="27"/>
      <c r="D209" s="27"/>
      <c r="E209" s="27"/>
      <c r="F209" s="27"/>
      <c r="G209" s="27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</row>
    <row r="210" spans="1:48" ht="15" customHeight="1">
      <c r="A210" s="26"/>
      <c r="B210" s="34"/>
      <c r="C210" s="27"/>
      <c r="D210" s="27"/>
      <c r="E210" s="27"/>
      <c r="F210" s="27"/>
      <c r="G210" s="27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</row>
    <row r="211" spans="1:48" ht="15" customHeight="1">
      <c r="A211" s="26"/>
      <c r="B211" s="34"/>
      <c r="C211" s="27"/>
      <c r="D211" s="27"/>
      <c r="E211" s="27"/>
      <c r="F211" s="27"/>
      <c r="G211" s="27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</row>
    <row r="212" spans="1:48" ht="15" customHeight="1">
      <c r="A212" s="26"/>
      <c r="B212" s="34"/>
      <c r="C212" s="27"/>
      <c r="D212" s="27"/>
      <c r="E212" s="27"/>
      <c r="F212" s="27"/>
      <c r="G212" s="27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</row>
    <row r="213" spans="1:48" ht="15" customHeight="1">
      <c r="A213" s="26"/>
      <c r="B213" s="34"/>
      <c r="C213" s="27"/>
      <c r="D213" s="27"/>
      <c r="E213" s="27"/>
      <c r="F213" s="27"/>
      <c r="G213" s="27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</row>
    <row r="214" spans="1:48" ht="15" customHeight="1">
      <c r="A214" s="26"/>
      <c r="B214" s="34"/>
      <c r="C214" s="27"/>
      <c r="D214" s="27"/>
      <c r="E214" s="27"/>
      <c r="F214" s="27"/>
      <c r="G214" s="27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</row>
    <row r="215" spans="1:48" ht="15" customHeight="1">
      <c r="A215" s="26"/>
      <c r="B215" s="34"/>
      <c r="C215" s="27"/>
      <c r="D215" s="27"/>
      <c r="E215" s="27"/>
      <c r="F215" s="27"/>
      <c r="G215" s="27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</row>
    <row r="216" spans="1:48" ht="15" customHeight="1">
      <c r="A216" s="26"/>
      <c r="B216" s="34"/>
      <c r="C216" s="27"/>
      <c r="D216" s="27"/>
      <c r="E216" s="27"/>
      <c r="F216" s="27"/>
      <c r="G216" s="27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</row>
    <row r="217" spans="1:48" ht="15" customHeight="1">
      <c r="A217" s="26"/>
      <c r="B217" s="34"/>
      <c r="C217" s="27"/>
      <c r="D217" s="27"/>
      <c r="E217" s="27"/>
      <c r="F217" s="27"/>
      <c r="G217" s="27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</row>
    <row r="218" spans="1:48" ht="15" customHeight="1">
      <c r="A218" s="26"/>
      <c r="B218" s="34"/>
      <c r="C218" s="27"/>
      <c r="D218" s="27"/>
      <c r="E218" s="27"/>
      <c r="F218" s="27"/>
      <c r="G218" s="27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</row>
    <row r="219" spans="1:48" ht="15" customHeight="1">
      <c r="A219" s="26"/>
      <c r="B219" s="34"/>
      <c r="C219" s="27"/>
      <c r="D219" s="27"/>
      <c r="E219" s="27"/>
      <c r="F219" s="27"/>
      <c r="G219" s="27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</row>
    <row r="220" spans="1:48" ht="15" customHeight="1">
      <c r="A220" s="26"/>
      <c r="B220" s="34"/>
      <c r="C220" s="27"/>
      <c r="D220" s="27"/>
      <c r="E220" s="27"/>
      <c r="F220" s="27"/>
      <c r="G220" s="27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</row>
    <row r="221" spans="1:48" ht="15" customHeight="1">
      <c r="A221" s="26"/>
      <c r="B221" s="34"/>
      <c r="C221" s="27"/>
      <c r="D221" s="27"/>
      <c r="E221" s="27"/>
      <c r="F221" s="27"/>
      <c r="G221" s="27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</row>
    <row r="222" spans="1:48" ht="15" customHeight="1">
      <c r="A222" s="26"/>
      <c r="B222" s="34"/>
      <c r="C222" s="27"/>
      <c r="D222" s="27"/>
      <c r="E222" s="27"/>
      <c r="F222" s="27"/>
      <c r="G222" s="27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</row>
    <row r="223" spans="1:48" ht="15" customHeight="1">
      <c r="A223" s="26"/>
      <c r="B223" s="34"/>
      <c r="C223" s="27"/>
      <c r="D223" s="27"/>
      <c r="E223" s="27"/>
      <c r="F223" s="27"/>
      <c r="G223" s="27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</row>
    <row r="224" spans="1:48" ht="15" customHeight="1">
      <c r="A224" s="26"/>
      <c r="B224" s="34"/>
      <c r="C224" s="27"/>
      <c r="D224" s="27"/>
      <c r="E224" s="27"/>
      <c r="F224" s="27"/>
      <c r="G224" s="27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</row>
    <row r="225" spans="1:48" ht="15" customHeight="1">
      <c r="A225" s="26"/>
      <c r="B225" s="34"/>
      <c r="C225" s="27"/>
      <c r="D225" s="27"/>
      <c r="E225" s="27"/>
      <c r="F225" s="27"/>
      <c r="G225" s="27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</row>
    <row r="226" spans="1:48" ht="15" customHeight="1">
      <c r="A226" s="26"/>
      <c r="B226" s="34"/>
      <c r="C226" s="27"/>
      <c r="D226" s="27"/>
      <c r="E226" s="27"/>
      <c r="F226" s="27"/>
      <c r="G226" s="27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</row>
    <row r="227" spans="1:48" ht="15" customHeight="1">
      <c r="A227" s="26"/>
      <c r="B227" s="34"/>
      <c r="C227" s="27"/>
      <c r="D227" s="27"/>
      <c r="E227" s="27"/>
      <c r="F227" s="27"/>
      <c r="G227" s="27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</row>
    <row r="228" spans="1:48" ht="15" customHeight="1">
      <c r="A228" s="26"/>
      <c r="B228" s="34"/>
      <c r="C228" s="27"/>
      <c r="D228" s="27"/>
      <c r="E228" s="27"/>
      <c r="F228" s="27"/>
      <c r="G228" s="27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</row>
    <row r="229" spans="1:48" ht="15" customHeight="1">
      <c r="A229" s="26"/>
      <c r="B229" s="34"/>
      <c r="C229" s="27"/>
      <c r="D229" s="27"/>
      <c r="E229" s="27"/>
      <c r="F229" s="27"/>
      <c r="G229" s="27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</row>
    <row r="230" spans="1:48" ht="15" customHeight="1">
      <c r="A230" s="26"/>
      <c r="B230" s="34"/>
      <c r="C230" s="27"/>
      <c r="D230" s="27"/>
      <c r="E230" s="27"/>
      <c r="F230" s="27"/>
      <c r="G230" s="27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</row>
    <row r="231" spans="1:48" ht="15" customHeight="1">
      <c r="A231" s="26"/>
      <c r="B231" s="34"/>
      <c r="C231" s="27"/>
      <c r="D231" s="27"/>
      <c r="E231" s="27"/>
      <c r="F231" s="27"/>
      <c r="G231" s="27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</row>
    <row r="232" spans="1:48" ht="15" customHeight="1">
      <c r="A232" s="26"/>
      <c r="B232" s="34"/>
      <c r="C232" s="27"/>
      <c r="D232" s="27"/>
      <c r="E232" s="27"/>
      <c r="F232" s="27"/>
      <c r="G232" s="27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</row>
    <row r="233" spans="1:48" ht="15" customHeight="1">
      <c r="A233" s="26"/>
      <c r="B233" s="34"/>
      <c r="C233" s="27"/>
      <c r="D233" s="27"/>
      <c r="E233" s="27"/>
      <c r="F233" s="27"/>
      <c r="G233" s="27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</row>
    <row r="234" spans="1:48" ht="15" customHeight="1">
      <c r="A234" s="26"/>
      <c r="B234" s="34"/>
      <c r="C234" s="27"/>
      <c r="D234" s="27"/>
      <c r="E234" s="27"/>
      <c r="F234" s="27"/>
      <c r="G234" s="27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</row>
    <row r="235" spans="1:48" ht="15" customHeight="1">
      <c r="A235" s="26"/>
      <c r="B235" s="34"/>
      <c r="C235" s="27"/>
      <c r="D235" s="27"/>
      <c r="E235" s="27"/>
      <c r="F235" s="27"/>
      <c r="G235" s="27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</row>
    <row r="236" spans="1:48" ht="15" customHeight="1">
      <c r="A236" s="26"/>
      <c r="B236" s="34"/>
      <c r="C236" s="27"/>
      <c r="D236" s="27"/>
      <c r="E236" s="27"/>
      <c r="F236" s="27"/>
      <c r="G236" s="27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</row>
    <row r="237" spans="1:48" ht="15" customHeight="1">
      <c r="A237" s="26"/>
      <c r="B237" s="34"/>
      <c r="C237" s="27"/>
      <c r="D237" s="27"/>
      <c r="E237" s="27"/>
      <c r="F237" s="27"/>
      <c r="G237" s="27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</row>
    <row r="238" spans="1:48" ht="15" customHeight="1">
      <c r="A238" s="26"/>
      <c r="B238" s="34"/>
      <c r="C238" s="27"/>
      <c r="D238" s="27"/>
      <c r="E238" s="27"/>
      <c r="F238" s="27"/>
      <c r="G238" s="27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</row>
    <row r="239" spans="1:48" ht="15" customHeight="1">
      <c r="A239" s="26"/>
      <c r="B239" s="34"/>
      <c r="C239" s="27"/>
      <c r="D239" s="27"/>
      <c r="E239" s="27"/>
      <c r="F239" s="27"/>
      <c r="G239" s="27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</row>
    <row r="240" spans="1:48" ht="15" customHeight="1">
      <c r="A240" s="26"/>
      <c r="B240" s="34"/>
      <c r="C240" s="27"/>
      <c r="D240" s="27"/>
      <c r="E240" s="27"/>
      <c r="F240" s="27"/>
      <c r="G240" s="27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</row>
    <row r="241" spans="1:48" ht="15" customHeight="1">
      <c r="A241" s="26"/>
      <c r="B241" s="34"/>
      <c r="C241" s="27"/>
      <c r="D241" s="27"/>
      <c r="E241" s="27"/>
      <c r="F241" s="27"/>
      <c r="G241" s="27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</row>
    <row r="242" spans="1:48" ht="15" customHeight="1">
      <c r="A242" s="26"/>
      <c r="B242" s="34"/>
      <c r="C242" s="27"/>
      <c r="D242" s="27"/>
      <c r="E242" s="27"/>
      <c r="F242" s="27"/>
      <c r="G242" s="27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</row>
    <row r="243" spans="1:48" ht="15" customHeight="1">
      <c r="A243" s="26"/>
      <c r="B243" s="34"/>
      <c r="C243" s="27"/>
      <c r="D243" s="27"/>
      <c r="E243" s="27"/>
      <c r="F243" s="27"/>
      <c r="G243" s="27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</row>
    <row r="244" spans="1:48" ht="15" customHeight="1">
      <c r="A244" s="26"/>
      <c r="B244" s="34"/>
      <c r="C244" s="27"/>
      <c r="D244" s="27"/>
      <c r="E244" s="27"/>
      <c r="F244" s="27"/>
      <c r="G244" s="27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</row>
    <row r="245" spans="1:48" ht="15" customHeight="1">
      <c r="A245" s="26"/>
      <c r="B245" s="34"/>
      <c r="C245" s="27"/>
      <c r="D245" s="27"/>
      <c r="E245" s="27"/>
      <c r="F245" s="27"/>
      <c r="G245" s="27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</row>
    <row r="246" spans="1:48" ht="15" customHeight="1">
      <c r="A246" s="26"/>
      <c r="B246" s="34"/>
      <c r="C246" s="27"/>
      <c r="D246" s="27"/>
      <c r="E246" s="27"/>
      <c r="F246" s="27"/>
      <c r="G246" s="27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</row>
    <row r="247" spans="1:48" ht="15" customHeight="1">
      <c r="A247" s="26"/>
      <c r="B247" s="34"/>
      <c r="C247" s="27"/>
      <c r="D247" s="27"/>
      <c r="E247" s="27"/>
      <c r="F247" s="27"/>
      <c r="G247" s="27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</row>
    <row r="248" spans="1:48" ht="15" customHeight="1">
      <c r="A248" s="26"/>
      <c r="B248" s="34"/>
      <c r="C248" s="27"/>
      <c r="D248" s="27"/>
      <c r="E248" s="27"/>
      <c r="F248" s="27"/>
      <c r="G248" s="27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</row>
    <row r="249" spans="1:48" ht="15" customHeight="1">
      <c r="A249" s="26"/>
      <c r="B249" s="34"/>
      <c r="C249" s="27"/>
      <c r="D249" s="27"/>
      <c r="E249" s="27"/>
      <c r="F249" s="27"/>
      <c r="G249" s="27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</row>
    <row r="250" spans="1:48" ht="15" customHeight="1">
      <c r="A250" s="26"/>
      <c r="B250" s="34"/>
      <c r="C250" s="27"/>
      <c r="D250" s="27"/>
      <c r="E250" s="27"/>
      <c r="F250" s="27"/>
      <c r="G250" s="27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</row>
    <row r="251" spans="1:48" ht="15" customHeight="1">
      <c r="A251" s="26"/>
      <c r="B251" s="34"/>
      <c r="C251" s="27"/>
      <c r="D251" s="27"/>
      <c r="E251" s="27"/>
      <c r="F251" s="27"/>
      <c r="G251" s="27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</row>
    <row r="252" spans="1:48" ht="15" customHeight="1">
      <c r="A252" s="26"/>
      <c r="B252" s="34"/>
      <c r="C252" s="27"/>
      <c r="D252" s="27"/>
      <c r="E252" s="27"/>
      <c r="F252" s="27"/>
      <c r="G252" s="27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</row>
    <row r="253" spans="1:48" ht="15" customHeight="1">
      <c r="A253" s="26"/>
      <c r="B253" s="34"/>
      <c r="C253" s="27"/>
      <c r="D253" s="27"/>
      <c r="E253" s="27"/>
      <c r="F253" s="27"/>
      <c r="G253" s="27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</row>
    <row r="254" spans="1:48" ht="15" customHeight="1">
      <c r="A254" s="26"/>
      <c r="B254" s="34"/>
      <c r="C254" s="27"/>
      <c r="D254" s="27"/>
      <c r="E254" s="27"/>
      <c r="F254" s="27"/>
      <c r="G254" s="27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</row>
    <row r="255" spans="1:48" ht="15" customHeight="1">
      <c r="A255" s="26"/>
      <c r="B255" s="34"/>
      <c r="C255" s="27"/>
      <c r="D255" s="27"/>
      <c r="E255" s="27"/>
      <c r="F255" s="27"/>
      <c r="G255" s="27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</row>
    <row r="256" spans="1:48" ht="15" customHeight="1">
      <c r="A256" s="26"/>
      <c r="B256" s="34"/>
      <c r="C256" s="27"/>
      <c r="D256" s="27"/>
      <c r="E256" s="27"/>
      <c r="F256" s="27"/>
      <c r="G256" s="27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</row>
    <row r="257" spans="1:48" ht="15" customHeight="1">
      <c r="A257" s="26"/>
      <c r="B257" s="34"/>
      <c r="C257" s="27"/>
      <c r="D257" s="27"/>
      <c r="E257" s="27"/>
      <c r="F257" s="27"/>
      <c r="G257" s="27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</row>
    <row r="258" spans="1:48" ht="15" customHeight="1">
      <c r="A258" s="26"/>
      <c r="B258" s="34"/>
      <c r="C258" s="27"/>
      <c r="D258" s="27"/>
      <c r="E258" s="27"/>
      <c r="F258" s="27"/>
      <c r="G258" s="27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</row>
    <row r="259" spans="1:48" ht="15" customHeight="1">
      <c r="A259" s="26"/>
      <c r="B259" s="34"/>
      <c r="C259" s="27"/>
      <c r="D259" s="27"/>
      <c r="E259" s="27"/>
      <c r="F259" s="27"/>
      <c r="G259" s="27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</row>
    <row r="260" spans="1:48" ht="15" customHeight="1">
      <c r="A260" s="26"/>
      <c r="B260" s="34"/>
      <c r="C260" s="27"/>
      <c r="D260" s="27"/>
      <c r="E260" s="27"/>
      <c r="F260" s="27"/>
      <c r="G260" s="27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</row>
    <row r="261" spans="1:48" ht="15" customHeight="1">
      <c r="A261" s="26"/>
      <c r="B261" s="34"/>
      <c r="C261" s="27"/>
      <c r="D261" s="27"/>
      <c r="E261" s="27"/>
      <c r="F261" s="27"/>
      <c r="G261" s="27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</row>
    <row r="262" spans="1:48" ht="15" customHeight="1">
      <c r="A262" s="26"/>
      <c r="B262" s="34"/>
      <c r="C262" s="27"/>
      <c r="D262" s="27"/>
      <c r="E262" s="27"/>
      <c r="F262" s="27"/>
      <c r="G262" s="27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</row>
    <row r="263" spans="1:48" ht="15" customHeight="1">
      <c r="A263" s="26"/>
      <c r="B263" s="34"/>
      <c r="C263" s="27"/>
      <c r="D263" s="27"/>
      <c r="E263" s="27"/>
      <c r="F263" s="27"/>
      <c r="G263" s="27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</row>
    <row r="264" spans="1:48" ht="15" customHeight="1">
      <c r="A264" s="26"/>
      <c r="B264" s="34"/>
      <c r="C264" s="27"/>
      <c r="D264" s="27"/>
      <c r="E264" s="27"/>
      <c r="F264" s="27"/>
      <c r="G264" s="27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</row>
    <row r="265" spans="1:48" ht="15" customHeight="1">
      <c r="A265" s="26"/>
      <c r="B265" s="34"/>
      <c r="C265" s="27"/>
      <c r="D265" s="27"/>
      <c r="E265" s="27"/>
      <c r="F265" s="27"/>
      <c r="G265" s="27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</row>
    <row r="266" spans="1:48" ht="15" customHeight="1">
      <c r="A266" s="26"/>
      <c r="B266" s="34"/>
      <c r="C266" s="27"/>
      <c r="D266" s="27"/>
      <c r="E266" s="27"/>
      <c r="F266" s="27"/>
      <c r="G266" s="27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</row>
    <row r="267" spans="1:48" ht="15" customHeight="1">
      <c r="A267" s="26"/>
      <c r="B267" s="34"/>
      <c r="C267" s="27"/>
      <c r="D267" s="27"/>
      <c r="E267" s="27"/>
      <c r="F267" s="27"/>
      <c r="G267" s="27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</row>
    <row r="268" spans="1:48" ht="15" customHeight="1">
      <c r="A268" s="26"/>
      <c r="B268" s="34"/>
      <c r="C268" s="27"/>
      <c r="D268" s="27"/>
      <c r="E268" s="27"/>
      <c r="F268" s="27"/>
      <c r="G268" s="27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</row>
    <row r="269" spans="1:48" ht="15" customHeight="1">
      <c r="A269" s="26"/>
      <c r="B269" s="34"/>
      <c r="C269" s="27"/>
      <c r="D269" s="27"/>
      <c r="E269" s="27"/>
      <c r="F269" s="27"/>
      <c r="G269" s="27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</row>
    <row r="270" spans="1:48" ht="15" customHeight="1">
      <c r="A270" s="26"/>
      <c r="B270" s="34"/>
      <c r="C270" s="27"/>
      <c r="D270" s="27"/>
      <c r="E270" s="27"/>
      <c r="F270" s="27"/>
      <c r="G270" s="27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</row>
    <row r="271" spans="1:48" ht="15" customHeight="1">
      <c r="A271" s="26"/>
      <c r="B271" s="34"/>
      <c r="C271" s="27"/>
      <c r="D271" s="27"/>
      <c r="E271" s="27"/>
      <c r="F271" s="27"/>
      <c r="G271" s="27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</row>
    <row r="272" spans="1:48" ht="15" customHeight="1">
      <c r="A272" s="26"/>
      <c r="B272" s="34"/>
      <c r="C272" s="27"/>
      <c r="D272" s="27"/>
      <c r="E272" s="27"/>
      <c r="F272" s="27"/>
      <c r="G272" s="27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</row>
    <row r="273" spans="1:48" ht="15" customHeight="1">
      <c r="A273" s="26"/>
      <c r="B273" s="34"/>
      <c r="C273" s="27"/>
      <c r="D273" s="27"/>
      <c r="E273" s="27"/>
      <c r="F273" s="27"/>
      <c r="G273" s="27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</row>
    <row r="274" spans="1:48" ht="15" customHeight="1">
      <c r="A274" s="26"/>
      <c r="B274" s="34"/>
      <c r="C274" s="27"/>
      <c r="D274" s="27"/>
      <c r="E274" s="27"/>
      <c r="F274" s="27"/>
      <c r="G274" s="27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</row>
    <row r="275" spans="1:48" ht="15" customHeight="1">
      <c r="A275" s="26"/>
      <c r="B275" s="34"/>
      <c r="C275" s="27"/>
      <c r="D275" s="27"/>
      <c r="E275" s="27"/>
      <c r="F275" s="27"/>
      <c r="G275" s="27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</row>
    <row r="276" spans="1:48" ht="15" customHeight="1">
      <c r="A276" s="26"/>
      <c r="B276" s="34"/>
      <c r="C276" s="27"/>
      <c r="D276" s="27"/>
      <c r="E276" s="27"/>
      <c r="F276" s="27"/>
      <c r="G276" s="27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</row>
    <row r="277" spans="1:48" ht="15" customHeight="1">
      <c r="A277" s="26"/>
      <c r="B277" s="34"/>
      <c r="C277" s="27"/>
      <c r="D277" s="27"/>
      <c r="E277" s="27"/>
      <c r="F277" s="27"/>
      <c r="G277" s="27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</row>
    <row r="278" spans="1:48" ht="15" customHeight="1">
      <c r="A278" s="26"/>
      <c r="B278" s="34"/>
      <c r="C278" s="27"/>
      <c r="D278" s="27"/>
      <c r="E278" s="27"/>
      <c r="F278" s="27"/>
      <c r="G278" s="27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</row>
    <row r="279" spans="1:48" ht="15" customHeight="1">
      <c r="A279" s="26"/>
      <c r="B279" s="34"/>
      <c r="C279" s="27"/>
      <c r="D279" s="27"/>
      <c r="E279" s="27"/>
      <c r="F279" s="27"/>
      <c r="G279" s="27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</row>
    <row r="280" spans="1:48" ht="15" customHeight="1">
      <c r="A280" s="26"/>
      <c r="B280" s="34"/>
      <c r="C280" s="27"/>
      <c r="D280" s="27"/>
      <c r="E280" s="27"/>
      <c r="F280" s="27"/>
      <c r="G280" s="27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</row>
    <row r="281" spans="1:48" ht="15" customHeight="1">
      <c r="A281" s="26"/>
      <c r="B281" s="34"/>
      <c r="C281" s="27"/>
      <c r="D281" s="27"/>
      <c r="E281" s="27"/>
      <c r="F281" s="27"/>
      <c r="G281" s="27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</row>
    <row r="282" spans="1:48" ht="15" customHeight="1">
      <c r="A282" s="26"/>
      <c r="B282" s="34"/>
      <c r="C282" s="27"/>
      <c r="D282" s="27"/>
      <c r="E282" s="27"/>
      <c r="F282" s="27"/>
      <c r="G282" s="27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</row>
    <row r="283" spans="1:48" ht="15" customHeight="1">
      <c r="A283" s="26"/>
      <c r="B283" s="34"/>
      <c r="C283" s="27"/>
      <c r="D283" s="27"/>
      <c r="E283" s="27"/>
      <c r="F283" s="27"/>
      <c r="G283" s="27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</row>
    <row r="284" spans="1:48" ht="15" customHeight="1">
      <c r="A284" s="26"/>
      <c r="B284" s="34"/>
      <c r="C284" s="27"/>
      <c r="D284" s="27"/>
      <c r="E284" s="27"/>
      <c r="F284" s="27"/>
      <c r="G284" s="27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</row>
    <row r="285" spans="1:48" ht="15" customHeight="1">
      <c r="A285" s="26"/>
      <c r="B285" s="34"/>
      <c r="C285" s="27"/>
      <c r="D285" s="27"/>
      <c r="E285" s="27"/>
      <c r="F285" s="27"/>
      <c r="G285" s="27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</row>
    <row r="286" spans="1:48" ht="15" customHeight="1">
      <c r="A286" s="26"/>
      <c r="B286" s="34"/>
      <c r="C286" s="27"/>
      <c r="D286" s="27"/>
      <c r="E286" s="27"/>
      <c r="F286" s="27"/>
      <c r="G286" s="27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</row>
    <row r="287" spans="1:48" ht="15" customHeight="1">
      <c r="A287" s="26"/>
      <c r="B287" s="34"/>
      <c r="C287" s="27"/>
      <c r="D287" s="27"/>
      <c r="E287" s="27"/>
      <c r="F287" s="27"/>
      <c r="G287" s="27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</row>
    <row r="288" spans="1:48" ht="15" customHeight="1">
      <c r="A288" s="26"/>
      <c r="B288" s="34"/>
      <c r="C288" s="27"/>
      <c r="D288" s="27"/>
      <c r="E288" s="27"/>
      <c r="F288" s="27"/>
      <c r="G288" s="27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</row>
    <row r="289" spans="1:48" ht="15" customHeight="1">
      <c r="A289" s="26"/>
      <c r="B289" s="34"/>
      <c r="C289" s="27"/>
      <c r="D289" s="27"/>
      <c r="E289" s="27"/>
      <c r="F289" s="27"/>
      <c r="G289" s="27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</row>
    <row r="290" spans="1:48" ht="15" customHeight="1">
      <c r="A290" s="26"/>
      <c r="B290" s="34"/>
      <c r="C290" s="27"/>
      <c r="D290" s="27"/>
      <c r="E290" s="27"/>
      <c r="F290" s="27"/>
      <c r="G290" s="27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</row>
    <row r="291" spans="1:48" ht="15" customHeight="1">
      <c r="A291" s="26"/>
      <c r="B291" s="34"/>
      <c r="C291" s="27"/>
      <c r="D291" s="27"/>
      <c r="E291" s="27"/>
      <c r="F291" s="27"/>
      <c r="G291" s="27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</row>
    <row r="292" spans="1:48" ht="15" customHeight="1">
      <c r="A292" s="26"/>
      <c r="B292" s="34"/>
      <c r="C292" s="27"/>
      <c r="D292" s="27"/>
      <c r="E292" s="27"/>
      <c r="F292" s="27"/>
      <c r="G292" s="27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</row>
    <row r="293" spans="1:48" ht="15" customHeight="1">
      <c r="A293" s="26"/>
      <c r="B293" s="34"/>
      <c r="C293" s="27"/>
      <c r="D293" s="27"/>
      <c r="E293" s="27"/>
      <c r="F293" s="27"/>
      <c r="G293" s="27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</row>
    <row r="294" spans="1:48" ht="15" customHeight="1">
      <c r="A294" s="26"/>
      <c r="B294" s="34"/>
      <c r="C294" s="27"/>
      <c r="D294" s="27"/>
      <c r="E294" s="27"/>
      <c r="F294" s="27"/>
      <c r="G294" s="27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</row>
    <row r="295" spans="1:48" ht="15" customHeight="1">
      <c r="A295" s="26"/>
      <c r="B295" s="34"/>
      <c r="C295" s="27"/>
      <c r="D295" s="27"/>
      <c r="E295" s="27"/>
      <c r="F295" s="27"/>
      <c r="G295" s="27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</row>
    <row r="296" spans="1:48" ht="15" customHeight="1">
      <c r="A296" s="26"/>
      <c r="B296" s="34"/>
      <c r="C296" s="27"/>
      <c r="D296" s="27"/>
      <c r="E296" s="27"/>
      <c r="F296" s="27"/>
      <c r="G296" s="27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</row>
    <row r="297" spans="1:48" ht="15" customHeight="1">
      <c r="A297" s="26"/>
      <c r="B297" s="34"/>
      <c r="C297" s="27"/>
      <c r="D297" s="27"/>
      <c r="E297" s="27"/>
      <c r="F297" s="27"/>
      <c r="G297" s="27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</row>
    <row r="298" spans="1:48" ht="12.75" customHeight="1">
      <c r="A298" s="26"/>
      <c r="B298" s="34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</row>
    <row r="299" spans="1:48" ht="12.75" customHeight="1">
      <c r="A299" s="26"/>
      <c r="B299" s="34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</row>
    <row r="300" spans="1:48" ht="12.75" customHeight="1">
      <c r="A300" s="26"/>
      <c r="B300" s="34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</row>
    <row r="301" spans="1:48" ht="12.75" customHeight="1">
      <c r="A301" s="26"/>
      <c r="B301" s="34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</row>
    <row r="302" spans="1:48" ht="12.75" customHeight="1">
      <c r="A302" s="26"/>
      <c r="B302" s="34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</row>
    <row r="303" spans="1:48" ht="12.75" customHeight="1">
      <c r="A303" s="26"/>
      <c r="B303" s="34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</row>
    <row r="304" spans="1:48" ht="12.75" customHeight="1">
      <c r="A304" s="26"/>
      <c r="B304" s="34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</row>
    <row r="305" spans="1:48" ht="12.75" customHeight="1">
      <c r="A305" s="26"/>
      <c r="B305" s="34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</row>
    <row r="306" spans="1:48" ht="12.75" customHeight="1">
      <c r="A306" s="26"/>
      <c r="B306" s="34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</row>
    <row r="307" spans="1:48" ht="12.75" customHeight="1">
      <c r="A307" s="26"/>
      <c r="B307" s="34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</row>
    <row r="308" spans="1:48" ht="12.75" customHeight="1">
      <c r="A308" s="26"/>
      <c r="B308" s="34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</row>
    <row r="309" spans="1:48" ht="12.75" customHeight="1">
      <c r="A309" s="26"/>
      <c r="B309" s="34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</row>
    <row r="310" spans="1:48" ht="12.75" customHeight="1">
      <c r="A310" s="26"/>
      <c r="B310" s="34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</row>
    <row r="311" spans="1:48" ht="12.75" customHeight="1">
      <c r="A311" s="26"/>
      <c r="B311" s="34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</row>
    <row r="312" spans="1:48" ht="12.75" customHeight="1">
      <c r="A312" s="26"/>
      <c r="B312" s="34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</row>
    <row r="313" spans="1:48" ht="12.75" customHeight="1">
      <c r="A313" s="26"/>
      <c r="B313" s="34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</row>
    <row r="314" spans="1:48" ht="12.75" customHeight="1">
      <c r="A314" s="26"/>
      <c r="B314" s="34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</row>
    <row r="315" spans="1:48" ht="12.75" customHeight="1">
      <c r="A315" s="26"/>
      <c r="B315" s="34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</row>
    <row r="316" spans="1:48" ht="12.75" customHeight="1">
      <c r="A316" s="26"/>
      <c r="B316" s="34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</row>
    <row r="317" spans="1:48" ht="12.75" customHeight="1">
      <c r="A317" s="26"/>
      <c r="B317" s="34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</row>
    <row r="318" spans="1:48" ht="12.75" customHeight="1">
      <c r="A318" s="26"/>
      <c r="B318" s="34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</row>
    <row r="319" spans="1:48" ht="12.75" customHeight="1">
      <c r="A319" s="26"/>
      <c r="B319" s="34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</row>
    <row r="320" spans="1:48" ht="12.75" customHeight="1">
      <c r="A320" s="26"/>
      <c r="B320" s="34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</row>
    <row r="321" spans="1:48" ht="12.75" customHeight="1">
      <c r="A321" s="26"/>
      <c r="B321" s="34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</row>
    <row r="322" spans="1:48" ht="12.75" customHeight="1">
      <c r="A322" s="26"/>
      <c r="B322" s="34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</row>
    <row r="323" spans="1:48" ht="12.75" customHeight="1">
      <c r="A323" s="26"/>
      <c r="B323" s="34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</row>
    <row r="324" spans="1:48" ht="12.75" customHeight="1">
      <c r="A324" s="26"/>
      <c r="B324" s="34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</row>
    <row r="325" spans="1:48" ht="12.75" customHeight="1">
      <c r="A325" s="26"/>
      <c r="B325" s="34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</row>
    <row r="326" spans="1:48" ht="12.75" customHeight="1">
      <c r="A326" s="26"/>
      <c r="B326" s="34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</row>
    <row r="327" spans="1:48" ht="12.75" customHeight="1">
      <c r="A327" s="26"/>
      <c r="B327" s="34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</row>
    <row r="328" spans="1:48" ht="12.75" customHeight="1">
      <c r="A328" s="26"/>
      <c r="B328" s="34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</row>
    <row r="329" spans="1:48" ht="12.75" customHeight="1">
      <c r="A329" s="26"/>
      <c r="B329" s="34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</row>
    <row r="330" spans="1:48" ht="12.75" customHeight="1">
      <c r="A330" s="26"/>
      <c r="B330" s="34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</row>
    <row r="331" spans="1:48" ht="12.75" customHeight="1">
      <c r="A331" s="26"/>
      <c r="B331" s="34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</row>
    <row r="332" spans="1:48" ht="12.75" customHeight="1">
      <c r="A332" s="26"/>
      <c r="B332" s="34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</row>
    <row r="333" spans="1:48" ht="12.75" customHeight="1">
      <c r="A333" s="26"/>
      <c r="B333" s="34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</row>
    <row r="334" spans="1:48" ht="12.75" customHeight="1">
      <c r="A334" s="26"/>
      <c r="B334" s="34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</row>
    <row r="335" spans="1:48" ht="12.75" customHeight="1">
      <c r="A335" s="26"/>
      <c r="B335" s="34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</row>
    <row r="336" spans="1:48" ht="12.75" customHeight="1">
      <c r="A336" s="26"/>
      <c r="B336" s="34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</row>
    <row r="337" spans="1:48" ht="12.75" customHeight="1">
      <c r="A337" s="26"/>
      <c r="B337" s="34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</row>
    <row r="338" spans="1:48" ht="12.75" customHeight="1">
      <c r="A338" s="26"/>
      <c r="B338" s="34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</row>
    <row r="339" spans="1:48" ht="12.75" customHeight="1">
      <c r="A339" s="26"/>
      <c r="B339" s="34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</row>
    <row r="340" spans="1:48" ht="12.75" customHeight="1">
      <c r="A340" s="26"/>
      <c r="B340" s="34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</row>
    <row r="341" spans="1:48" ht="12.75" customHeight="1">
      <c r="A341" s="26"/>
      <c r="B341" s="34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</row>
    <row r="342" spans="1:48" ht="12.75" customHeight="1">
      <c r="A342" s="26"/>
      <c r="B342" s="34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</row>
    <row r="343" spans="1:48" ht="12.75" customHeight="1">
      <c r="A343" s="26"/>
      <c r="B343" s="34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</row>
    <row r="344" spans="1:48" ht="12.75" customHeight="1">
      <c r="A344" s="26"/>
      <c r="B344" s="34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</row>
    <row r="345" spans="1:48" ht="12.75" customHeight="1">
      <c r="A345" s="26"/>
      <c r="B345" s="34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</row>
    <row r="346" spans="1:48" ht="12.75" customHeight="1">
      <c r="A346" s="26"/>
      <c r="B346" s="34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</row>
    <row r="347" spans="1:48" ht="12.75" customHeight="1">
      <c r="A347" s="26"/>
      <c r="B347" s="34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</row>
    <row r="348" spans="1:48" ht="12.75" customHeight="1">
      <c r="A348" s="26"/>
      <c r="B348" s="34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</row>
    <row r="349" spans="1:48" ht="12.75" customHeight="1">
      <c r="A349" s="26"/>
      <c r="B349" s="34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</row>
    <row r="350" spans="1:48" ht="12.75" customHeight="1">
      <c r="A350" s="26"/>
      <c r="B350" s="34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</row>
    <row r="351" spans="1:48" ht="12.75" customHeight="1">
      <c r="A351" s="26"/>
      <c r="B351" s="34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</row>
    <row r="352" spans="1:48" ht="12.75" customHeight="1">
      <c r="A352" s="26"/>
      <c r="B352" s="34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</row>
    <row r="353" spans="1:48" ht="12.75" customHeight="1">
      <c r="A353" s="26"/>
      <c r="B353" s="34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</row>
    <row r="354" spans="1:48" ht="12.75" customHeight="1">
      <c r="A354" s="26"/>
      <c r="B354" s="34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</row>
    <row r="355" spans="1:48" ht="12.75" customHeight="1">
      <c r="A355" s="26"/>
      <c r="B355" s="34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</row>
    <row r="356" spans="1:48" ht="12.75" customHeight="1">
      <c r="A356" s="26"/>
      <c r="B356" s="34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</row>
    <row r="357" spans="1:48" ht="12.75" customHeight="1">
      <c r="A357" s="26"/>
      <c r="B357" s="34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</row>
    <row r="358" spans="1:48" ht="12.75" customHeight="1">
      <c r="A358" s="26"/>
      <c r="B358" s="34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</row>
    <row r="359" spans="1:48" ht="12.75" customHeight="1">
      <c r="A359" s="26"/>
      <c r="B359" s="34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</row>
    <row r="360" spans="1:48" ht="12.75" customHeight="1">
      <c r="A360" s="26"/>
      <c r="B360" s="34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</row>
    <row r="361" spans="1:48" ht="12.75" customHeight="1">
      <c r="A361" s="26"/>
      <c r="B361" s="34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</row>
    <row r="362" spans="1:48" ht="12.75" customHeight="1">
      <c r="A362" s="26"/>
      <c r="B362" s="34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</row>
    <row r="363" spans="1:48" ht="12.75" customHeight="1">
      <c r="A363" s="26"/>
      <c r="B363" s="34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</row>
    <row r="364" spans="1:48" ht="12.75" customHeight="1">
      <c r="A364" s="26"/>
      <c r="B364" s="34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</row>
    <row r="365" spans="1:48" ht="12.75" customHeight="1">
      <c r="A365" s="26"/>
      <c r="B365" s="34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</row>
    <row r="366" spans="1:48" ht="12.75" customHeight="1">
      <c r="A366" s="26"/>
      <c r="B366" s="34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</row>
    <row r="367" spans="1:48" ht="12.75" customHeight="1">
      <c r="A367" s="26"/>
      <c r="B367" s="34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</row>
    <row r="368" spans="1:48" ht="12.75" customHeight="1">
      <c r="A368" s="26"/>
      <c r="B368" s="34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</row>
    <row r="369" spans="1:48" ht="12.75" customHeight="1">
      <c r="A369" s="26"/>
      <c r="B369" s="34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</row>
    <row r="370" spans="1:48" ht="12.75" customHeight="1">
      <c r="A370" s="26"/>
      <c r="B370" s="34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</row>
    <row r="371" spans="1:48" ht="12.75" customHeight="1">
      <c r="A371" s="26"/>
      <c r="B371" s="34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</row>
    <row r="372" spans="1:48" ht="12.75" customHeight="1">
      <c r="A372" s="26"/>
      <c r="B372" s="34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</row>
    <row r="373" spans="1:48" ht="12.75" customHeight="1">
      <c r="A373" s="26"/>
      <c r="B373" s="34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</row>
    <row r="374" spans="1:48" ht="12.75" customHeight="1">
      <c r="A374" s="26"/>
      <c r="B374" s="34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</row>
    <row r="375" spans="1:48" ht="12.75" customHeight="1">
      <c r="A375" s="26"/>
      <c r="B375" s="34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</row>
    <row r="376" spans="1:48" ht="12.75" customHeight="1">
      <c r="A376" s="26"/>
      <c r="B376" s="34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</row>
    <row r="377" spans="1:48" ht="12.75" customHeight="1">
      <c r="A377" s="26"/>
      <c r="B377" s="34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</row>
    <row r="378" spans="1:48" ht="12.75" customHeight="1">
      <c r="A378" s="26"/>
      <c r="B378" s="34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</row>
    <row r="379" spans="1:48" ht="12.75" customHeight="1">
      <c r="A379" s="26"/>
      <c r="B379" s="34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</row>
    <row r="380" spans="1:48" ht="12.75" customHeight="1">
      <c r="A380" s="26"/>
      <c r="B380" s="34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</row>
    <row r="381" spans="1:48" ht="12.75" customHeight="1">
      <c r="A381" s="26"/>
      <c r="B381" s="34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</row>
    <row r="382" spans="1:48" ht="12.75" customHeight="1">
      <c r="A382" s="26"/>
      <c r="B382" s="34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</row>
    <row r="383" spans="1:48" ht="12.75" customHeight="1">
      <c r="A383" s="26"/>
      <c r="B383" s="34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</row>
    <row r="384" spans="1:48" ht="12.75" customHeight="1">
      <c r="A384" s="26"/>
      <c r="B384" s="34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</row>
    <row r="385" spans="1:48" ht="12.75" customHeight="1">
      <c r="A385" s="26"/>
      <c r="B385" s="34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</row>
    <row r="386" spans="1:48" ht="12.75" customHeight="1">
      <c r="A386" s="26"/>
      <c r="B386" s="34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</row>
    <row r="387" spans="1:48" ht="12.75" customHeight="1">
      <c r="A387" s="26"/>
      <c r="B387" s="34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</row>
    <row r="388" spans="1:48" ht="12.75" customHeight="1">
      <c r="A388" s="26"/>
      <c r="B388" s="34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</row>
    <row r="389" spans="1:48" ht="12.75" customHeight="1">
      <c r="A389" s="26"/>
      <c r="B389" s="34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</row>
    <row r="390" spans="1:48" ht="12.75" customHeight="1">
      <c r="A390" s="26"/>
      <c r="B390" s="34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</row>
    <row r="391" spans="1:48" ht="12.75" customHeight="1">
      <c r="A391" s="26"/>
      <c r="B391" s="34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</row>
    <row r="392" spans="1:48" ht="12.75" customHeight="1">
      <c r="A392" s="26"/>
      <c r="B392" s="34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</row>
    <row r="393" spans="1:48" ht="12.75" customHeight="1">
      <c r="A393" s="26"/>
      <c r="B393" s="34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</row>
    <row r="394" spans="1:48" ht="12.75" customHeight="1">
      <c r="A394" s="26"/>
      <c r="B394" s="34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</row>
    <row r="395" spans="1:48" ht="12.75" customHeight="1">
      <c r="A395" s="26"/>
      <c r="B395" s="34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</row>
    <row r="396" spans="1:48" ht="12.75" customHeight="1">
      <c r="A396" s="26"/>
      <c r="B396" s="34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</row>
    <row r="397" spans="1:48" ht="12.75" customHeight="1">
      <c r="A397" s="26"/>
      <c r="B397" s="34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</row>
    <row r="398" spans="1:48" ht="12.75" customHeight="1">
      <c r="A398" s="26"/>
      <c r="B398" s="34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</row>
    <row r="399" spans="1:48" ht="12.75" customHeight="1">
      <c r="A399" s="26"/>
      <c r="B399" s="34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</row>
    <row r="400" spans="1:48" ht="12.75" customHeight="1">
      <c r="A400" s="26"/>
      <c r="B400" s="34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</row>
    <row r="401" spans="1:48" ht="12.75" customHeight="1">
      <c r="A401" s="26"/>
      <c r="B401" s="34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</row>
    <row r="402" spans="1:48" ht="12.75" customHeight="1">
      <c r="A402" s="26"/>
      <c r="B402" s="34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</row>
    <row r="403" spans="1:48" ht="12.75" customHeight="1">
      <c r="A403" s="26"/>
      <c r="B403" s="34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</row>
    <row r="404" spans="1:48" ht="12.75" customHeight="1">
      <c r="A404" s="26"/>
      <c r="B404" s="34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</row>
    <row r="405" spans="1:48" ht="12.75" customHeight="1">
      <c r="A405" s="26"/>
      <c r="B405" s="34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</row>
    <row r="406" spans="1:48" ht="12.75" customHeight="1">
      <c r="A406" s="26"/>
      <c r="B406" s="34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</row>
    <row r="407" spans="1:48" ht="12.75" customHeight="1">
      <c r="A407" s="26"/>
      <c r="B407" s="34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</row>
    <row r="408" spans="1:48" ht="12.75" customHeight="1">
      <c r="A408" s="26"/>
      <c r="B408" s="34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</row>
    <row r="409" spans="1:48" ht="12.75" customHeight="1">
      <c r="A409" s="26"/>
      <c r="B409" s="34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</row>
    <row r="410" spans="1:48" ht="12.75" customHeight="1">
      <c r="A410" s="26"/>
      <c r="B410" s="34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</row>
    <row r="411" spans="1:48" ht="12.75" customHeight="1">
      <c r="A411" s="26"/>
      <c r="B411" s="34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</row>
    <row r="412" spans="1:48" ht="12.75" customHeight="1">
      <c r="A412" s="26"/>
      <c r="B412" s="34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</row>
    <row r="413" spans="1:48" ht="12.75" customHeight="1">
      <c r="A413" s="26"/>
      <c r="B413" s="34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</row>
    <row r="414" spans="1:48" ht="12.75" customHeight="1">
      <c r="A414" s="26"/>
      <c r="B414" s="34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</row>
    <row r="415" spans="1:48" ht="12.75" customHeight="1">
      <c r="A415" s="26"/>
      <c r="B415" s="34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</row>
    <row r="416" spans="1:48" ht="12.75" customHeight="1">
      <c r="A416" s="26"/>
      <c r="B416" s="34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</row>
    <row r="417" spans="1:48" ht="12.75" customHeight="1">
      <c r="A417" s="26"/>
      <c r="B417" s="34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</row>
    <row r="418" spans="1:48" ht="12.75" customHeight="1">
      <c r="A418" s="26"/>
      <c r="B418" s="34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</row>
    <row r="419" spans="1:48" ht="12.75" customHeight="1">
      <c r="A419" s="26"/>
      <c r="B419" s="34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</row>
    <row r="420" spans="1:48" ht="12.75" customHeight="1">
      <c r="A420" s="26"/>
      <c r="B420" s="34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</row>
    <row r="421" spans="1:48" ht="12.75" customHeight="1">
      <c r="A421" s="26"/>
      <c r="B421" s="34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</row>
    <row r="422" spans="1:48" ht="12.75" customHeight="1">
      <c r="A422" s="26"/>
      <c r="B422" s="34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</row>
    <row r="423" spans="1:48" ht="12.75" customHeight="1">
      <c r="A423" s="26"/>
      <c r="B423" s="34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</row>
    <row r="424" spans="1:48" ht="12.75" customHeight="1">
      <c r="A424" s="26"/>
      <c r="B424" s="34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</row>
    <row r="425" spans="1:48" ht="12.75" customHeight="1">
      <c r="A425" s="26"/>
      <c r="B425" s="34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</row>
    <row r="426" spans="1:48" ht="12.75" customHeight="1">
      <c r="A426" s="26"/>
      <c r="B426" s="34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</row>
    <row r="427" spans="1:48" ht="12.75" customHeight="1">
      <c r="A427" s="26"/>
      <c r="B427" s="34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</row>
    <row r="428" spans="1:48" ht="12.75" customHeight="1">
      <c r="A428" s="26"/>
      <c r="B428" s="34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</row>
    <row r="429" spans="1:48" ht="12.75" customHeight="1">
      <c r="A429" s="26"/>
      <c r="B429" s="34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</row>
    <row r="430" spans="1:48" ht="12.75" customHeight="1">
      <c r="A430" s="26"/>
      <c r="B430" s="34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</row>
    <row r="431" spans="1:48" ht="12.75" customHeight="1">
      <c r="A431" s="26"/>
      <c r="B431" s="34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</row>
    <row r="432" spans="1:48" ht="12.75" customHeight="1">
      <c r="A432" s="26"/>
      <c r="B432" s="34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</row>
    <row r="433" spans="1:48" ht="12.75" customHeight="1">
      <c r="A433" s="26"/>
      <c r="B433" s="34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</row>
    <row r="434" spans="1:48" ht="12.75" customHeight="1">
      <c r="A434" s="26"/>
      <c r="B434" s="34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</row>
    <row r="435" spans="1:48" ht="12.75" customHeight="1">
      <c r="A435" s="26"/>
      <c r="B435" s="34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</row>
    <row r="436" spans="1:48" ht="12.75" customHeight="1">
      <c r="A436" s="26"/>
      <c r="B436" s="34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</row>
    <row r="437" spans="1:48" ht="12.75" customHeight="1">
      <c r="A437" s="26"/>
      <c r="B437" s="34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</row>
    <row r="438" spans="1:48" ht="12.75" customHeight="1">
      <c r="A438" s="26"/>
      <c r="B438" s="34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</row>
    <row r="439" spans="1:48" ht="12.75" customHeight="1">
      <c r="A439" s="26"/>
      <c r="B439" s="34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</row>
    <row r="440" spans="1:48" ht="12.75" customHeight="1">
      <c r="A440" s="26"/>
      <c r="B440" s="34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</row>
    <row r="441" spans="1:48" ht="12.75" customHeight="1">
      <c r="A441" s="26"/>
      <c r="B441" s="34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</row>
    <row r="442" spans="1:48" ht="12.75" customHeight="1">
      <c r="A442" s="26"/>
      <c r="B442" s="34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</row>
    <row r="443" spans="1:48" ht="12.75" customHeight="1">
      <c r="A443" s="26"/>
      <c r="B443" s="34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</row>
    <row r="444" spans="1:48" ht="12.75" customHeight="1">
      <c r="A444" s="26"/>
      <c r="B444" s="34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</row>
    <row r="445" spans="1:48" ht="12.75" customHeight="1">
      <c r="A445" s="26"/>
      <c r="B445" s="34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</row>
    <row r="446" spans="1:48" ht="12.75" customHeight="1">
      <c r="A446" s="26"/>
      <c r="B446" s="34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</row>
    <row r="447" spans="1:48" ht="12.75" customHeight="1">
      <c r="A447" s="26"/>
      <c r="B447" s="34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</row>
    <row r="448" spans="1:48" ht="12.75" customHeight="1">
      <c r="A448" s="26"/>
      <c r="B448" s="34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</row>
    <row r="449" spans="1:48" ht="12.75" customHeight="1">
      <c r="A449" s="26"/>
      <c r="B449" s="34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</row>
    <row r="450" spans="1:48" ht="12.75" customHeight="1">
      <c r="A450" s="26"/>
      <c r="B450" s="34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</row>
    <row r="451" spans="1:48" ht="12.75" customHeight="1">
      <c r="A451" s="26"/>
      <c r="B451" s="34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</row>
    <row r="452" spans="1:48" ht="12.75" customHeight="1">
      <c r="A452" s="26"/>
      <c r="B452" s="34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</row>
    <row r="453" spans="1:48" ht="12.75" customHeight="1">
      <c r="A453" s="26"/>
      <c r="B453" s="34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</row>
    <row r="454" spans="1:48" ht="12.75" customHeight="1">
      <c r="A454" s="26"/>
      <c r="B454" s="34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</row>
    <row r="455" spans="1:48" ht="12.75" customHeight="1">
      <c r="A455" s="26"/>
      <c r="B455" s="34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</row>
    <row r="456" spans="1:48" ht="12.75" customHeight="1">
      <c r="A456" s="26"/>
      <c r="B456" s="34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</row>
    <row r="457" spans="1:48" ht="12.75" customHeight="1">
      <c r="A457" s="26"/>
      <c r="B457" s="34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</row>
    <row r="458" spans="1:48" ht="12.75" customHeight="1">
      <c r="A458" s="26"/>
      <c r="B458" s="34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</row>
    <row r="459" spans="1:48" ht="12.75" customHeight="1">
      <c r="A459" s="26"/>
      <c r="B459" s="34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</row>
    <row r="460" spans="1:48" ht="12.75" customHeight="1">
      <c r="A460" s="26"/>
      <c r="B460" s="34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</row>
    <row r="461" spans="1:48" ht="12.75" customHeight="1">
      <c r="A461" s="26"/>
      <c r="B461" s="34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</row>
    <row r="462" spans="1:48" ht="12.75" customHeight="1">
      <c r="A462" s="26"/>
      <c r="B462" s="34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</row>
    <row r="463" spans="1:48" ht="12.75" customHeight="1">
      <c r="A463" s="26"/>
      <c r="B463" s="34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</row>
    <row r="464" spans="1:48" ht="12.75" customHeight="1">
      <c r="A464" s="26"/>
      <c r="B464" s="34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</row>
    <row r="465" spans="1:48" ht="12.75" customHeight="1">
      <c r="A465" s="26"/>
      <c r="B465" s="34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</row>
    <row r="466" spans="1:48" ht="12.75" customHeight="1">
      <c r="A466" s="26"/>
      <c r="B466" s="34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</row>
    <row r="467" spans="1:48" ht="12.75" customHeight="1">
      <c r="A467" s="26"/>
      <c r="B467" s="34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</row>
    <row r="468" spans="1:48" ht="12.75" customHeight="1">
      <c r="A468" s="26"/>
      <c r="B468" s="34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</row>
    <row r="469" spans="1:48" ht="12.75" customHeight="1">
      <c r="A469" s="26"/>
      <c r="B469" s="34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</row>
    <row r="470" spans="1:48" ht="12.75" customHeight="1">
      <c r="A470" s="26"/>
      <c r="B470" s="34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</row>
    <row r="471" spans="1:48" ht="12.75" customHeight="1">
      <c r="A471" s="26"/>
      <c r="B471" s="34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</row>
    <row r="472" spans="1:48" ht="12.75" customHeight="1">
      <c r="A472" s="26"/>
      <c r="B472" s="34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</row>
    <row r="473" spans="1:48" ht="12.75" customHeight="1">
      <c r="A473" s="26"/>
      <c r="B473" s="34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</row>
    <row r="474" spans="1:48" ht="12.75" customHeight="1">
      <c r="A474" s="26"/>
      <c r="B474" s="34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</row>
    <row r="475" spans="1:48" ht="12.75" customHeight="1">
      <c r="A475" s="26"/>
      <c r="B475" s="34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</row>
    <row r="476" spans="1:48" ht="12.75" customHeight="1">
      <c r="A476" s="26"/>
      <c r="B476" s="34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</row>
    <row r="477" spans="1:48" ht="12.75" customHeight="1">
      <c r="A477" s="26"/>
      <c r="B477" s="34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</row>
    <row r="478" spans="1:48" ht="12.75" customHeight="1">
      <c r="A478" s="26"/>
      <c r="B478" s="34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</row>
    <row r="479" spans="1:48" ht="12.75" customHeight="1">
      <c r="A479" s="26"/>
      <c r="B479" s="34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</row>
    <row r="480" spans="1:48" ht="12.75" customHeight="1">
      <c r="A480" s="26"/>
      <c r="B480" s="34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</row>
    <row r="481" spans="1:48" ht="12.75" customHeight="1">
      <c r="A481" s="26"/>
      <c r="B481" s="34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</row>
    <row r="482" spans="1:48" ht="12.75" customHeight="1">
      <c r="A482" s="26"/>
      <c r="B482" s="34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</row>
    <row r="483" spans="1:48" ht="12.75" customHeight="1">
      <c r="A483" s="26"/>
      <c r="B483" s="34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</row>
    <row r="484" spans="1:48" ht="12.75" customHeight="1">
      <c r="A484" s="26"/>
      <c r="B484" s="34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</row>
    <row r="485" spans="1:48" ht="12.75" customHeight="1">
      <c r="A485" s="26"/>
      <c r="B485" s="34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</row>
    <row r="486" spans="1:48" ht="12.75" customHeight="1">
      <c r="A486" s="26"/>
      <c r="B486" s="34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</row>
    <row r="487" spans="1:48" ht="12.75" customHeight="1">
      <c r="A487" s="26"/>
      <c r="B487" s="34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</row>
    <row r="488" spans="1:48" ht="12.75" customHeight="1">
      <c r="A488" s="26"/>
      <c r="B488" s="34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</row>
    <row r="489" spans="1:48" ht="12.75" customHeight="1">
      <c r="A489" s="26"/>
      <c r="B489" s="34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</row>
    <row r="490" spans="1:48" ht="12.75" customHeight="1">
      <c r="A490" s="26"/>
      <c r="B490" s="34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</row>
    <row r="491" spans="1:48" ht="12.75" customHeight="1">
      <c r="A491" s="26"/>
      <c r="B491" s="34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</row>
    <row r="492" spans="1:48" ht="12.75" customHeight="1">
      <c r="A492" s="26"/>
      <c r="B492" s="34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</row>
    <row r="493" spans="1:48" ht="12.75" customHeight="1">
      <c r="A493" s="26"/>
      <c r="B493" s="34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</row>
    <row r="494" spans="1:48" ht="12.75" customHeight="1">
      <c r="A494" s="26"/>
      <c r="B494" s="34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</row>
    <row r="495" spans="1:48" ht="12.75" customHeight="1">
      <c r="A495" s="26"/>
      <c r="B495" s="34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</row>
    <row r="496" spans="1:48" ht="12.75" customHeight="1">
      <c r="A496" s="26"/>
      <c r="B496" s="34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</row>
    <row r="497" spans="1:48" ht="12.75" customHeight="1">
      <c r="A497" s="26"/>
      <c r="B497" s="34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</row>
    <row r="498" spans="1:48" ht="12.75" customHeight="1">
      <c r="A498" s="26"/>
      <c r="B498" s="34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</row>
    <row r="499" spans="1:48" ht="12.75" customHeight="1">
      <c r="A499" s="26"/>
      <c r="B499" s="34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</row>
    <row r="500" spans="1:48" ht="12.75" customHeight="1">
      <c r="A500" s="26"/>
      <c r="B500" s="34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</row>
    <row r="501" spans="1:48" ht="12.75" customHeight="1">
      <c r="A501" s="26"/>
      <c r="B501" s="34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</row>
    <row r="502" spans="1:48" ht="12.75" customHeight="1">
      <c r="A502" s="26"/>
      <c r="B502" s="34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</row>
    <row r="503" spans="1:48" ht="12.75" customHeight="1">
      <c r="A503" s="26"/>
      <c r="B503" s="34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</row>
    <row r="504" spans="1:48" ht="12.75" customHeight="1">
      <c r="A504" s="26"/>
      <c r="B504" s="34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</row>
    <row r="505" spans="1:48" ht="12.75" customHeight="1">
      <c r="A505" s="26"/>
      <c r="B505" s="34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</row>
    <row r="506" spans="1:48" ht="12.75" customHeight="1">
      <c r="A506" s="26"/>
      <c r="B506" s="34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</row>
    <row r="507" spans="1:48" ht="12.75" customHeight="1">
      <c r="A507" s="26"/>
      <c r="B507" s="34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</row>
    <row r="508" spans="1:48" ht="12.75" customHeight="1">
      <c r="A508" s="26"/>
      <c r="B508" s="34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</row>
    <row r="509" spans="1:48" ht="12.75" customHeight="1">
      <c r="A509" s="26"/>
      <c r="B509" s="34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</row>
    <row r="510" spans="1:48" ht="12.75" customHeight="1">
      <c r="A510" s="26"/>
      <c r="B510" s="34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</row>
    <row r="511" spans="1:48" ht="12.75" customHeight="1">
      <c r="A511" s="26"/>
      <c r="B511" s="34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</row>
    <row r="512" spans="1:48" ht="12.75" customHeight="1">
      <c r="A512" s="26"/>
      <c r="B512" s="34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</row>
    <row r="513" spans="1:48" ht="12.75" customHeight="1">
      <c r="A513" s="26"/>
      <c r="B513" s="34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  <c r="AP513" s="26"/>
      <c r="AQ513" s="26"/>
      <c r="AR513" s="26"/>
      <c r="AS513" s="26"/>
      <c r="AT513" s="26"/>
      <c r="AU513" s="26"/>
      <c r="AV513" s="26"/>
    </row>
    <row r="514" spans="1:48" ht="12.75" customHeight="1">
      <c r="A514" s="26"/>
      <c r="B514" s="34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  <c r="AP514" s="26"/>
      <c r="AQ514" s="26"/>
      <c r="AR514" s="26"/>
      <c r="AS514" s="26"/>
      <c r="AT514" s="26"/>
      <c r="AU514" s="26"/>
      <c r="AV514" s="26"/>
    </row>
    <row r="515" spans="1:48" ht="12.75" customHeight="1">
      <c r="A515" s="26"/>
      <c r="B515" s="34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  <c r="AQ515" s="26"/>
      <c r="AR515" s="26"/>
      <c r="AS515" s="26"/>
      <c r="AT515" s="26"/>
      <c r="AU515" s="26"/>
      <c r="AV515" s="26"/>
    </row>
    <row r="516" spans="1:48" ht="12.75" customHeight="1">
      <c r="A516" s="26"/>
      <c r="B516" s="34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  <c r="AQ516" s="26"/>
      <c r="AR516" s="26"/>
      <c r="AS516" s="26"/>
      <c r="AT516" s="26"/>
      <c r="AU516" s="26"/>
      <c r="AV516" s="26"/>
    </row>
    <row r="517" spans="1:48" ht="12.75" customHeight="1">
      <c r="A517" s="26"/>
      <c r="B517" s="34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  <c r="AP517" s="26"/>
      <c r="AQ517" s="26"/>
      <c r="AR517" s="26"/>
      <c r="AS517" s="26"/>
      <c r="AT517" s="26"/>
      <c r="AU517" s="26"/>
      <c r="AV517" s="26"/>
    </row>
    <row r="518" spans="1:48" ht="12.75" customHeight="1">
      <c r="A518" s="26"/>
      <c r="B518" s="34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  <c r="AQ518" s="26"/>
      <c r="AR518" s="26"/>
      <c r="AS518" s="26"/>
      <c r="AT518" s="26"/>
      <c r="AU518" s="26"/>
      <c r="AV518" s="26"/>
    </row>
    <row r="519" spans="1:48" ht="12.75" customHeight="1">
      <c r="A519" s="26"/>
      <c r="B519" s="34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  <c r="AQ519" s="26"/>
      <c r="AR519" s="26"/>
      <c r="AS519" s="26"/>
      <c r="AT519" s="26"/>
      <c r="AU519" s="26"/>
      <c r="AV519" s="26"/>
    </row>
    <row r="520" spans="1:48" ht="12.75" customHeight="1">
      <c r="A520" s="26"/>
      <c r="B520" s="34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  <c r="AQ520" s="26"/>
      <c r="AR520" s="26"/>
      <c r="AS520" s="26"/>
      <c r="AT520" s="26"/>
      <c r="AU520" s="26"/>
      <c r="AV520" s="26"/>
    </row>
    <row r="521" spans="1:48" ht="12.75" customHeight="1">
      <c r="A521" s="26"/>
      <c r="B521" s="34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</row>
    <row r="522" spans="1:48" ht="12.75" customHeight="1">
      <c r="A522" s="26"/>
      <c r="B522" s="34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</row>
    <row r="523" spans="1:48" ht="12.75" customHeight="1">
      <c r="A523" s="26"/>
      <c r="B523" s="34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</row>
    <row r="524" spans="1:48" ht="12.75" customHeight="1">
      <c r="A524" s="26"/>
      <c r="B524" s="34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</row>
    <row r="525" spans="1:48" ht="12.75" customHeight="1">
      <c r="A525" s="26"/>
      <c r="B525" s="34"/>
      <c r="C525" s="27"/>
      <c r="D525" s="27"/>
      <c r="E525" s="27"/>
      <c r="F525" s="27"/>
      <c r="G525" s="27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</row>
    <row r="526" spans="1:48" ht="12.75" customHeight="1">
      <c r="A526" s="26"/>
      <c r="B526" s="34"/>
      <c r="C526" s="27"/>
      <c r="D526" s="27"/>
      <c r="E526" s="27"/>
      <c r="F526" s="27"/>
      <c r="G526" s="27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</row>
    <row r="527" spans="1:48" ht="12.75" customHeight="1">
      <c r="A527" s="26"/>
      <c r="B527" s="34"/>
      <c r="C527" s="27"/>
      <c r="D527" s="27"/>
      <c r="E527" s="27"/>
      <c r="F527" s="27"/>
      <c r="G527" s="27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</row>
    <row r="528" spans="1:48" ht="12.75" customHeight="1">
      <c r="A528" s="26"/>
      <c r="B528" s="34"/>
      <c r="C528" s="27"/>
      <c r="D528" s="27"/>
      <c r="E528" s="27"/>
      <c r="F528" s="27"/>
      <c r="G528" s="27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</row>
    <row r="529" spans="1:48" ht="12.75" customHeight="1">
      <c r="A529" s="26"/>
      <c r="B529" s="34"/>
      <c r="C529" s="27"/>
      <c r="D529" s="27"/>
      <c r="E529" s="27"/>
      <c r="F529" s="27"/>
      <c r="G529" s="27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</row>
    <row r="530" spans="1:48" ht="12.75" customHeight="1">
      <c r="A530" s="26"/>
      <c r="B530" s="34"/>
      <c r="C530" s="27"/>
      <c r="D530" s="27"/>
      <c r="E530" s="27"/>
      <c r="F530" s="27"/>
      <c r="G530" s="27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</row>
    <row r="531" spans="1:48" ht="12.75" customHeight="1">
      <c r="A531" s="26"/>
      <c r="B531" s="34"/>
      <c r="C531" s="27"/>
      <c r="D531" s="27"/>
      <c r="E531" s="27"/>
      <c r="F531" s="27"/>
      <c r="G531" s="27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</row>
    <row r="532" spans="1:48" ht="12.75" customHeight="1">
      <c r="A532" s="26"/>
      <c r="B532" s="34"/>
      <c r="C532" s="27"/>
      <c r="D532" s="27"/>
      <c r="E532" s="27"/>
      <c r="F532" s="27"/>
      <c r="G532" s="27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</row>
    <row r="533" spans="1:48" ht="12.75" customHeight="1">
      <c r="A533" s="26"/>
      <c r="B533" s="34"/>
      <c r="C533" s="27"/>
      <c r="D533" s="27"/>
      <c r="E533" s="27"/>
      <c r="F533" s="27"/>
      <c r="G533" s="27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</row>
    <row r="534" spans="1:48" ht="12.75" customHeight="1">
      <c r="A534" s="26"/>
      <c r="B534" s="34"/>
      <c r="C534" s="27"/>
      <c r="D534" s="27"/>
      <c r="E534" s="27"/>
      <c r="F534" s="27"/>
      <c r="G534" s="27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</row>
    <row r="535" spans="1:48" ht="12.75" customHeight="1">
      <c r="A535" s="26"/>
      <c r="B535" s="34"/>
      <c r="C535" s="27"/>
      <c r="D535" s="27"/>
      <c r="E535" s="27"/>
      <c r="F535" s="27"/>
      <c r="G535" s="27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</row>
    <row r="536" spans="1:48" ht="12.75" customHeight="1">
      <c r="A536" s="26"/>
      <c r="B536" s="34"/>
      <c r="C536" s="27"/>
      <c r="D536" s="27"/>
      <c r="E536" s="27"/>
      <c r="F536" s="27"/>
      <c r="G536" s="27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</row>
    <row r="537" spans="1:48" ht="12.75" customHeight="1">
      <c r="A537" s="26"/>
      <c r="B537" s="34"/>
      <c r="C537" s="27"/>
      <c r="D537" s="27"/>
      <c r="E537" s="27"/>
      <c r="F537" s="27"/>
      <c r="G537" s="27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</row>
    <row r="538" spans="1:48" ht="12.75" customHeight="1">
      <c r="A538" s="26"/>
      <c r="B538" s="34"/>
      <c r="C538" s="27"/>
      <c r="D538" s="27"/>
      <c r="E538" s="27"/>
      <c r="F538" s="27"/>
      <c r="G538" s="27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</row>
    <row r="539" spans="1:48" ht="12.75" customHeight="1">
      <c r="A539" s="26"/>
      <c r="B539" s="34"/>
      <c r="C539" s="27"/>
      <c r="D539" s="27"/>
      <c r="E539" s="27"/>
      <c r="F539" s="27"/>
      <c r="G539" s="27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</row>
    <row r="540" spans="1:48" ht="12.75" customHeight="1">
      <c r="A540" s="26"/>
      <c r="B540" s="34"/>
      <c r="C540" s="27"/>
      <c r="D540" s="27"/>
      <c r="E540" s="27"/>
      <c r="F540" s="27"/>
      <c r="G540" s="27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</row>
    <row r="541" spans="1:48" ht="12.75" customHeight="1">
      <c r="A541" s="26"/>
      <c r="B541" s="34"/>
      <c r="C541" s="27"/>
      <c r="D541" s="27"/>
      <c r="E541" s="27"/>
      <c r="F541" s="27"/>
      <c r="G541" s="27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</row>
    <row r="542" spans="1:48" ht="12.75" customHeight="1">
      <c r="A542" s="26"/>
      <c r="B542" s="34"/>
      <c r="C542" s="27"/>
      <c r="D542" s="27"/>
      <c r="E542" s="27"/>
      <c r="F542" s="27"/>
      <c r="G542" s="27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</row>
    <row r="543" spans="1:48" ht="12.75" customHeight="1">
      <c r="A543" s="26"/>
      <c r="B543" s="34"/>
      <c r="C543" s="27"/>
      <c r="D543" s="27"/>
      <c r="E543" s="27"/>
      <c r="F543" s="27"/>
      <c r="G543" s="27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</row>
    <row r="544" spans="1:48" ht="12.75" customHeight="1">
      <c r="A544" s="26"/>
      <c r="B544" s="34"/>
      <c r="C544" s="27"/>
      <c r="D544" s="27"/>
      <c r="E544" s="27"/>
      <c r="F544" s="27"/>
      <c r="G544" s="27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</row>
    <row r="545" spans="1:48" ht="12.75" customHeight="1">
      <c r="A545" s="26"/>
      <c r="B545" s="34"/>
      <c r="C545" s="27"/>
      <c r="D545" s="27"/>
      <c r="E545" s="27"/>
      <c r="F545" s="27"/>
      <c r="G545" s="27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</row>
    <row r="546" spans="1:48" ht="12.75" customHeight="1">
      <c r="A546" s="26"/>
      <c r="B546" s="34"/>
      <c r="C546" s="27"/>
      <c r="D546" s="27"/>
      <c r="E546" s="27"/>
      <c r="F546" s="27"/>
      <c r="G546" s="27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</row>
    <row r="547" spans="1:48" ht="12.75" customHeight="1">
      <c r="A547" s="26"/>
      <c r="B547" s="34"/>
      <c r="C547" s="27"/>
      <c r="D547" s="27"/>
      <c r="E547" s="27"/>
      <c r="F547" s="27"/>
      <c r="G547" s="27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</row>
    <row r="548" spans="1:48" ht="12.75" customHeight="1">
      <c r="A548" s="26"/>
      <c r="B548" s="34"/>
      <c r="C548" s="27"/>
      <c r="D548" s="27"/>
      <c r="E548" s="27"/>
      <c r="F548" s="27"/>
      <c r="G548" s="27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</row>
    <row r="549" spans="1:48" ht="12.75" customHeight="1">
      <c r="A549" s="26"/>
      <c r="B549" s="34"/>
      <c r="C549" s="27"/>
      <c r="D549" s="27"/>
      <c r="E549" s="27"/>
      <c r="F549" s="27"/>
      <c r="G549" s="27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</row>
    <row r="550" spans="1:48" ht="12.75" customHeight="1">
      <c r="A550" s="26"/>
      <c r="B550" s="34"/>
      <c r="C550" s="27"/>
      <c r="D550" s="27"/>
      <c r="E550" s="27"/>
      <c r="F550" s="27"/>
      <c r="G550" s="27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</row>
    <row r="551" spans="1:48" ht="12.75" customHeight="1">
      <c r="A551" s="26"/>
      <c r="B551" s="34"/>
      <c r="C551" s="27"/>
      <c r="D551" s="27"/>
      <c r="E551" s="27"/>
      <c r="F551" s="27"/>
      <c r="G551" s="27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</row>
    <row r="552" spans="1:48" ht="12.75" customHeight="1">
      <c r="A552" s="26"/>
      <c r="B552" s="34"/>
      <c r="C552" s="27"/>
      <c r="D552" s="27"/>
      <c r="E552" s="27"/>
      <c r="F552" s="27"/>
      <c r="G552" s="27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</row>
    <row r="553" spans="1:48" ht="12.75" customHeight="1">
      <c r="A553" s="26"/>
      <c r="B553" s="34"/>
      <c r="C553" s="27"/>
      <c r="D553" s="27"/>
      <c r="E553" s="27"/>
      <c r="F553" s="27"/>
      <c r="G553" s="27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</row>
    <row r="554" spans="1:48" ht="12.75" customHeight="1">
      <c r="A554" s="26"/>
      <c r="B554" s="34"/>
      <c r="C554" s="27"/>
      <c r="D554" s="27"/>
      <c r="E554" s="27"/>
      <c r="F554" s="27"/>
      <c r="G554" s="27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</row>
    <row r="555" spans="1:48" ht="12.75" customHeight="1">
      <c r="A555" s="26"/>
      <c r="B555" s="34"/>
      <c r="C555" s="27"/>
      <c r="D555" s="27"/>
      <c r="E555" s="27"/>
      <c r="F555" s="27"/>
      <c r="G555" s="27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</row>
    <row r="556" spans="1:48" ht="12.75" customHeight="1">
      <c r="A556" s="26"/>
      <c r="B556" s="34"/>
      <c r="C556" s="27"/>
      <c r="D556" s="27"/>
      <c r="E556" s="27"/>
      <c r="F556" s="27"/>
      <c r="G556" s="27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</row>
    <row r="557" spans="1:48" ht="12.75" customHeight="1">
      <c r="A557" s="26"/>
      <c r="B557" s="34"/>
      <c r="C557" s="27"/>
      <c r="D557" s="27"/>
      <c r="E557" s="27"/>
      <c r="F557" s="27"/>
      <c r="G557" s="27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</row>
    <row r="558" spans="1:48" ht="12.75" customHeight="1">
      <c r="A558" s="26"/>
      <c r="B558" s="34"/>
      <c r="C558" s="27"/>
      <c r="D558" s="27"/>
      <c r="E558" s="27"/>
      <c r="F558" s="27"/>
      <c r="G558" s="27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</row>
    <row r="559" spans="1:48" ht="12.75" customHeight="1">
      <c r="A559" s="26"/>
      <c r="B559" s="34"/>
      <c r="C559" s="27"/>
      <c r="D559" s="27"/>
      <c r="E559" s="27"/>
      <c r="F559" s="27"/>
      <c r="G559" s="27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</row>
    <row r="560" spans="1:48" ht="12.75" customHeight="1">
      <c r="A560" s="26"/>
      <c r="B560" s="34"/>
      <c r="C560" s="27"/>
      <c r="D560" s="27"/>
      <c r="E560" s="27"/>
      <c r="F560" s="27"/>
      <c r="G560" s="27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</row>
    <row r="561" spans="1:48" ht="12.75" customHeight="1">
      <c r="A561" s="26"/>
      <c r="B561" s="34"/>
      <c r="C561" s="27"/>
      <c r="D561" s="27"/>
      <c r="E561" s="27"/>
      <c r="F561" s="27"/>
      <c r="G561" s="27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</row>
    <row r="562" spans="1:48" ht="12.75" customHeight="1">
      <c r="A562" s="26"/>
      <c r="B562" s="34"/>
      <c r="C562" s="27"/>
      <c r="D562" s="27"/>
      <c r="E562" s="27"/>
      <c r="F562" s="27"/>
      <c r="G562" s="27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</row>
    <row r="563" spans="1:48" ht="12.75" customHeight="1">
      <c r="A563" s="26"/>
      <c r="B563" s="34"/>
      <c r="C563" s="27"/>
      <c r="D563" s="27"/>
      <c r="E563" s="27"/>
      <c r="F563" s="27"/>
      <c r="G563" s="27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</row>
    <row r="564" spans="1:48" ht="12.75" customHeight="1">
      <c r="A564" s="26"/>
      <c r="B564" s="34"/>
      <c r="C564" s="27"/>
      <c r="D564" s="27"/>
      <c r="E564" s="27"/>
      <c r="F564" s="27"/>
      <c r="G564" s="27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</row>
    <row r="565" spans="1:48" ht="12.75" customHeight="1">
      <c r="A565" s="26"/>
      <c r="B565" s="34"/>
      <c r="C565" s="27"/>
      <c r="D565" s="27"/>
      <c r="E565" s="27"/>
      <c r="F565" s="27"/>
      <c r="G565" s="27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</row>
    <row r="566" spans="1:48" ht="12.75" customHeight="1">
      <c r="A566" s="26"/>
      <c r="B566" s="34"/>
      <c r="C566" s="27"/>
      <c r="D566" s="27"/>
      <c r="E566" s="27"/>
      <c r="F566" s="27"/>
      <c r="G566" s="27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</row>
    <row r="567" spans="1:48" ht="12.75" customHeight="1">
      <c r="A567" s="26"/>
      <c r="B567" s="34"/>
      <c r="C567" s="27"/>
      <c r="D567" s="27"/>
      <c r="E567" s="27"/>
      <c r="F567" s="27"/>
      <c r="G567" s="27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</row>
    <row r="568" spans="1:48" ht="12.75" customHeight="1">
      <c r="A568" s="26"/>
      <c r="B568" s="34"/>
      <c r="C568" s="27"/>
      <c r="D568" s="27"/>
      <c r="E568" s="27"/>
      <c r="F568" s="27"/>
      <c r="G568" s="27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</row>
    <row r="569" spans="1:48" ht="12.75" customHeight="1">
      <c r="A569" s="26"/>
      <c r="B569" s="34"/>
      <c r="C569" s="27"/>
      <c r="D569" s="27"/>
      <c r="E569" s="27"/>
      <c r="F569" s="27"/>
      <c r="G569" s="27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</row>
    <row r="570" spans="1:48" ht="12.75" customHeight="1">
      <c r="A570" s="26"/>
      <c r="B570" s="34"/>
      <c r="C570" s="27"/>
      <c r="D570" s="27"/>
      <c r="E570" s="27"/>
      <c r="F570" s="27"/>
      <c r="G570" s="27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</row>
    <row r="571" spans="1:48" ht="12.75" customHeight="1">
      <c r="A571" s="26"/>
      <c r="B571" s="34"/>
      <c r="C571" s="27"/>
      <c r="D571" s="27"/>
      <c r="E571" s="27"/>
      <c r="F571" s="27"/>
      <c r="G571" s="27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</row>
    <row r="572" spans="1:48" ht="12.75" customHeight="1">
      <c r="A572" s="26"/>
      <c r="B572" s="34"/>
      <c r="C572" s="27"/>
      <c r="D572" s="27"/>
      <c r="E572" s="27"/>
      <c r="F572" s="27"/>
      <c r="G572" s="27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</row>
    <row r="573" spans="1:48" ht="12.75" customHeight="1">
      <c r="A573" s="26"/>
      <c r="B573" s="34"/>
      <c r="C573" s="27"/>
      <c r="D573" s="27"/>
      <c r="E573" s="27"/>
      <c r="F573" s="27"/>
      <c r="G573" s="27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</row>
    <row r="574" spans="1:48" ht="12.75" customHeight="1">
      <c r="A574" s="26"/>
      <c r="B574" s="34"/>
      <c r="C574" s="27"/>
      <c r="D574" s="27"/>
      <c r="E574" s="27"/>
      <c r="F574" s="27"/>
      <c r="G574" s="27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</row>
    <row r="575" spans="1:48" ht="12.75" customHeight="1">
      <c r="A575" s="26"/>
      <c r="B575" s="34"/>
      <c r="C575" s="27"/>
      <c r="D575" s="27"/>
      <c r="E575" s="27"/>
      <c r="F575" s="27"/>
      <c r="G575" s="27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</row>
    <row r="576" spans="1:48" ht="12.75" customHeight="1">
      <c r="A576" s="26"/>
      <c r="B576" s="34"/>
      <c r="C576" s="27"/>
      <c r="D576" s="27"/>
      <c r="E576" s="27"/>
      <c r="F576" s="27"/>
      <c r="G576" s="27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</row>
    <row r="577" spans="1:48" ht="12.75" customHeight="1">
      <c r="A577" s="26"/>
      <c r="B577" s="34"/>
      <c r="C577" s="27"/>
      <c r="D577" s="27"/>
      <c r="E577" s="27"/>
      <c r="F577" s="27"/>
      <c r="G577" s="27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</row>
    <row r="578" spans="1:48" ht="12.75" customHeight="1">
      <c r="A578" s="26"/>
      <c r="B578" s="34"/>
      <c r="C578" s="27"/>
      <c r="D578" s="27"/>
      <c r="E578" s="27"/>
      <c r="F578" s="27"/>
      <c r="G578" s="27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</row>
    <row r="579" spans="1:48" ht="12.75" customHeight="1">
      <c r="A579" s="26"/>
      <c r="B579" s="34"/>
      <c r="C579" s="27"/>
      <c r="D579" s="27"/>
      <c r="E579" s="27"/>
      <c r="F579" s="27"/>
      <c r="G579" s="27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</row>
    <row r="580" spans="1:48" ht="12.75" customHeight="1">
      <c r="A580" s="26"/>
      <c r="B580" s="34"/>
      <c r="C580" s="27"/>
      <c r="D580" s="27"/>
      <c r="E580" s="27"/>
      <c r="F580" s="27"/>
      <c r="G580" s="27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</row>
    <row r="581" spans="1:48" ht="12.75" customHeight="1">
      <c r="A581" s="26"/>
      <c r="B581" s="34"/>
      <c r="C581" s="27"/>
      <c r="D581" s="27"/>
      <c r="E581" s="27"/>
      <c r="F581" s="27"/>
      <c r="G581" s="27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</row>
    <row r="582" spans="1:48" ht="12.75" customHeight="1">
      <c r="A582" s="26"/>
      <c r="B582" s="34"/>
      <c r="C582" s="27"/>
      <c r="D582" s="27"/>
      <c r="E582" s="27"/>
      <c r="F582" s="27"/>
      <c r="G582" s="27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</row>
    <row r="583" spans="1:48" ht="12.75" customHeight="1">
      <c r="A583" s="26"/>
      <c r="B583" s="34"/>
      <c r="C583" s="27"/>
      <c r="D583" s="27"/>
      <c r="E583" s="27"/>
      <c r="F583" s="27"/>
      <c r="G583" s="27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</row>
    <row r="584" spans="1:48" ht="12.75" customHeight="1">
      <c r="A584" s="26"/>
      <c r="B584" s="34"/>
      <c r="C584" s="27"/>
      <c r="D584" s="27"/>
      <c r="E584" s="27"/>
      <c r="F584" s="27"/>
      <c r="G584" s="27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</row>
    <row r="585" spans="1:48" ht="12.75" customHeight="1">
      <c r="A585" s="26"/>
      <c r="B585" s="34"/>
      <c r="C585" s="27"/>
      <c r="D585" s="27"/>
      <c r="E585" s="27"/>
      <c r="F585" s="27"/>
      <c r="G585" s="27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</row>
    <row r="586" spans="1:48" ht="12.75" customHeight="1">
      <c r="A586" s="26"/>
      <c r="B586" s="34"/>
      <c r="C586" s="27"/>
      <c r="D586" s="27"/>
      <c r="E586" s="27"/>
      <c r="F586" s="27"/>
      <c r="G586" s="27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</row>
    <row r="587" spans="1:48" ht="12.75" customHeight="1">
      <c r="A587" s="26"/>
      <c r="B587" s="34"/>
      <c r="C587" s="27"/>
      <c r="D587" s="27"/>
      <c r="E587" s="27"/>
      <c r="F587" s="27"/>
      <c r="G587" s="27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</row>
    <row r="588" spans="1:48" ht="12.75" customHeight="1">
      <c r="A588" s="26"/>
      <c r="B588" s="34"/>
      <c r="C588" s="27"/>
      <c r="D588" s="27"/>
      <c r="E588" s="27"/>
      <c r="F588" s="27"/>
      <c r="G588" s="27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</row>
    <row r="589" spans="1:48" ht="12.75" customHeight="1">
      <c r="A589" s="26"/>
      <c r="B589" s="34"/>
      <c r="C589" s="27"/>
      <c r="D589" s="27"/>
      <c r="E589" s="27"/>
      <c r="F589" s="27"/>
      <c r="G589" s="27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</row>
    <row r="590" spans="1:48" ht="12.75" customHeight="1">
      <c r="A590" s="26"/>
      <c r="B590" s="34"/>
      <c r="C590" s="27"/>
      <c r="D590" s="27"/>
      <c r="E590" s="27"/>
      <c r="F590" s="27"/>
      <c r="G590" s="27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</row>
    <row r="591" spans="1:48" ht="12.75" customHeight="1">
      <c r="A591" s="26"/>
      <c r="B591" s="34"/>
      <c r="C591" s="27"/>
      <c r="D591" s="27"/>
      <c r="E591" s="27"/>
      <c r="F591" s="27"/>
      <c r="G591" s="27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</row>
    <row r="592" spans="1:48" ht="12.75" customHeight="1">
      <c r="A592" s="26"/>
      <c r="B592" s="34"/>
      <c r="C592" s="27"/>
      <c r="D592" s="27"/>
      <c r="E592" s="27"/>
      <c r="F592" s="27"/>
      <c r="G592" s="27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</row>
    <row r="593" spans="1:48" ht="12.75" customHeight="1">
      <c r="A593" s="26"/>
      <c r="B593" s="34"/>
      <c r="C593" s="27"/>
      <c r="D593" s="27"/>
      <c r="E593" s="27"/>
      <c r="F593" s="27"/>
      <c r="G593" s="27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</row>
    <row r="594" spans="1:48" ht="12.75" customHeight="1">
      <c r="A594" s="26"/>
      <c r="B594" s="34"/>
      <c r="C594" s="27"/>
      <c r="D594" s="27"/>
      <c r="E594" s="27"/>
      <c r="F594" s="27"/>
      <c r="G594" s="27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</row>
    <row r="595" spans="1:48" ht="12.75" customHeight="1">
      <c r="A595" s="26"/>
      <c r="B595" s="34"/>
      <c r="C595" s="27"/>
      <c r="D595" s="27"/>
      <c r="E595" s="27"/>
      <c r="F595" s="27"/>
      <c r="G595" s="27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</row>
    <row r="596" spans="1:48" ht="12.75" customHeight="1">
      <c r="A596" s="26"/>
      <c r="B596" s="34"/>
      <c r="C596" s="27"/>
      <c r="D596" s="27"/>
      <c r="E596" s="27"/>
      <c r="F596" s="27"/>
      <c r="G596" s="27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</row>
    <row r="597" spans="1:48" ht="12.75" customHeight="1">
      <c r="A597" s="26"/>
      <c r="B597" s="34"/>
      <c r="C597" s="27"/>
      <c r="D597" s="27"/>
      <c r="E597" s="27"/>
      <c r="F597" s="27"/>
      <c r="G597" s="27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</row>
    <row r="598" spans="1:48" ht="12.75" customHeight="1">
      <c r="A598" s="26"/>
      <c r="B598" s="34"/>
      <c r="C598" s="27"/>
      <c r="D598" s="27"/>
      <c r="E598" s="27"/>
      <c r="F598" s="27"/>
      <c r="G598" s="27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</row>
    <row r="599" spans="1:48" ht="12.75" customHeight="1">
      <c r="A599" s="26"/>
      <c r="B599" s="34"/>
      <c r="C599" s="27"/>
      <c r="D599" s="27"/>
      <c r="E599" s="27"/>
      <c r="F599" s="27"/>
      <c r="G599" s="27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</row>
    <row r="600" spans="1:48" ht="12.75" customHeight="1">
      <c r="A600" s="26"/>
      <c r="B600" s="34"/>
      <c r="C600" s="27"/>
      <c r="D600" s="27"/>
      <c r="E600" s="27"/>
      <c r="F600" s="27"/>
      <c r="G600" s="27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</row>
    <row r="601" spans="1:48" ht="12.75" customHeight="1">
      <c r="A601" s="26"/>
      <c r="B601" s="34"/>
      <c r="C601" s="27"/>
      <c r="D601" s="27"/>
      <c r="E601" s="27"/>
      <c r="F601" s="27"/>
      <c r="G601" s="27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</row>
    <row r="602" spans="1:48" ht="12.75" customHeight="1">
      <c r="A602" s="26"/>
      <c r="B602" s="34"/>
      <c r="C602" s="27"/>
      <c r="D602" s="27"/>
      <c r="E602" s="27"/>
      <c r="F602" s="27"/>
      <c r="G602" s="27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</row>
    <row r="603" spans="1:48" ht="12.75" customHeight="1">
      <c r="A603" s="26"/>
      <c r="B603" s="34"/>
      <c r="C603" s="27"/>
      <c r="D603" s="27"/>
      <c r="E603" s="27"/>
      <c r="F603" s="27"/>
      <c r="G603" s="27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</row>
    <row r="604" spans="1:48" ht="12.75" customHeight="1">
      <c r="A604" s="26"/>
      <c r="B604" s="34"/>
      <c r="C604" s="27"/>
      <c r="D604" s="27"/>
      <c r="E604" s="27"/>
      <c r="F604" s="27"/>
      <c r="G604" s="27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</row>
    <row r="605" spans="1:48" ht="12.75" customHeight="1">
      <c r="A605" s="26"/>
      <c r="B605" s="34"/>
      <c r="C605" s="27"/>
      <c r="D605" s="27"/>
      <c r="E605" s="27"/>
      <c r="F605" s="27"/>
      <c r="G605" s="27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</row>
    <row r="606" spans="1:48" ht="12.75" customHeight="1">
      <c r="A606" s="26"/>
      <c r="B606" s="34"/>
      <c r="C606" s="27"/>
      <c r="D606" s="27"/>
      <c r="E606" s="27"/>
      <c r="F606" s="27"/>
      <c r="G606" s="27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</row>
    <row r="607" spans="1:48" ht="12.75" customHeight="1">
      <c r="A607" s="26"/>
      <c r="B607" s="34"/>
      <c r="C607" s="27"/>
      <c r="D607" s="27"/>
      <c r="E607" s="27"/>
      <c r="F607" s="27"/>
      <c r="G607" s="27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</row>
    <row r="608" spans="1:48" ht="12.75" customHeight="1">
      <c r="A608" s="26"/>
      <c r="B608" s="34"/>
      <c r="C608" s="27"/>
      <c r="D608" s="27"/>
      <c r="E608" s="27"/>
      <c r="F608" s="27"/>
      <c r="G608" s="27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</row>
    <row r="609" spans="1:48" ht="12.75" customHeight="1">
      <c r="A609" s="26"/>
      <c r="B609" s="34"/>
      <c r="C609" s="27"/>
      <c r="D609" s="27"/>
      <c r="E609" s="27"/>
      <c r="F609" s="27"/>
      <c r="G609" s="27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</row>
    <row r="610" spans="1:48" ht="12.75" customHeight="1">
      <c r="A610" s="26"/>
      <c r="B610" s="34"/>
      <c r="C610" s="27"/>
      <c r="D610" s="27"/>
      <c r="E610" s="27"/>
      <c r="F610" s="27"/>
      <c r="G610" s="27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</row>
    <row r="611" spans="1:48" ht="12.75" customHeight="1">
      <c r="A611" s="26"/>
      <c r="B611" s="34"/>
      <c r="C611" s="27"/>
      <c r="D611" s="27"/>
      <c r="E611" s="27"/>
      <c r="F611" s="27"/>
      <c r="G611" s="27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</row>
    <row r="612" spans="1:48" ht="12.75" customHeight="1">
      <c r="A612" s="26"/>
      <c r="B612" s="34"/>
      <c r="C612" s="27"/>
      <c r="D612" s="27"/>
      <c r="E612" s="27"/>
      <c r="F612" s="27"/>
      <c r="G612" s="27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</row>
    <row r="613" spans="1:48" ht="12.75" customHeight="1">
      <c r="A613" s="26"/>
      <c r="B613" s="34"/>
      <c r="C613" s="27"/>
      <c r="D613" s="27"/>
      <c r="E613" s="27"/>
      <c r="F613" s="27"/>
      <c r="G613" s="27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</row>
    <row r="614" spans="1:48" ht="12.75" customHeight="1">
      <c r="A614" s="26"/>
      <c r="B614" s="34"/>
      <c r="C614" s="27"/>
      <c r="D614" s="27"/>
      <c r="E614" s="27"/>
      <c r="F614" s="27"/>
      <c r="G614" s="27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</row>
    <row r="615" spans="1:48" ht="12.75" customHeight="1">
      <c r="A615" s="26"/>
      <c r="B615" s="34"/>
      <c r="C615" s="27"/>
      <c r="D615" s="27"/>
      <c r="E615" s="27"/>
      <c r="F615" s="27"/>
      <c r="G615" s="27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</row>
    <row r="616" spans="1:48" ht="12.75" customHeight="1">
      <c r="A616" s="26"/>
      <c r="B616" s="34"/>
      <c r="C616" s="27"/>
      <c r="D616" s="27"/>
      <c r="E616" s="27"/>
      <c r="F616" s="27"/>
      <c r="G616" s="27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</row>
    <row r="617" spans="1:48" ht="12.75" customHeight="1">
      <c r="A617" s="26"/>
      <c r="B617" s="34"/>
      <c r="C617" s="27"/>
      <c r="D617" s="27"/>
      <c r="E617" s="27"/>
      <c r="F617" s="27"/>
      <c r="G617" s="27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</row>
    <row r="618" spans="1:48" ht="12.75" customHeight="1">
      <c r="A618" s="26"/>
      <c r="B618" s="34"/>
      <c r="C618" s="27"/>
      <c r="D618" s="27"/>
      <c r="E618" s="27"/>
      <c r="F618" s="27"/>
      <c r="G618" s="27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</row>
    <row r="619" spans="1:48" ht="12.75" customHeight="1">
      <c r="A619" s="26"/>
      <c r="B619" s="34"/>
      <c r="C619" s="27"/>
      <c r="D619" s="27"/>
      <c r="E619" s="27"/>
      <c r="F619" s="27"/>
      <c r="G619" s="27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</row>
    <row r="620" spans="1:48" ht="12.75" customHeight="1">
      <c r="A620" s="26"/>
      <c r="B620" s="34"/>
      <c r="C620" s="27"/>
      <c r="D620" s="27"/>
      <c r="E620" s="27"/>
      <c r="F620" s="27"/>
      <c r="G620" s="27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</row>
    <row r="621" spans="1:48" ht="12.75" customHeight="1">
      <c r="A621" s="26"/>
      <c r="B621" s="34"/>
      <c r="C621" s="27"/>
      <c r="D621" s="27"/>
      <c r="E621" s="27"/>
      <c r="F621" s="27"/>
      <c r="G621" s="27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</row>
    <row r="622" spans="1:48" ht="12.75" customHeight="1">
      <c r="A622" s="26"/>
      <c r="B622" s="34"/>
      <c r="C622" s="27"/>
      <c r="D622" s="27"/>
      <c r="E622" s="27"/>
      <c r="F622" s="27"/>
      <c r="G622" s="27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</row>
    <row r="623" spans="1:48" ht="12.75" customHeight="1">
      <c r="A623" s="26"/>
      <c r="B623" s="34"/>
      <c r="C623" s="27"/>
      <c r="D623" s="27"/>
      <c r="E623" s="27"/>
      <c r="F623" s="27"/>
      <c r="G623" s="27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</row>
    <row r="624" spans="1:48" ht="12.75" customHeight="1">
      <c r="A624" s="26"/>
      <c r="B624" s="34"/>
      <c r="C624" s="27"/>
      <c r="D624" s="27"/>
      <c r="E624" s="27"/>
      <c r="F624" s="27"/>
      <c r="G624" s="27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</row>
    <row r="625" spans="1:48" ht="12.75" customHeight="1">
      <c r="A625" s="26"/>
      <c r="B625" s="34"/>
      <c r="C625" s="27"/>
      <c r="D625" s="27"/>
      <c r="E625" s="27"/>
      <c r="F625" s="27"/>
      <c r="G625" s="27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</row>
    <row r="626" spans="1:48" ht="12.75" customHeight="1">
      <c r="A626" s="26"/>
      <c r="B626" s="34"/>
      <c r="C626" s="27"/>
      <c r="D626" s="27"/>
      <c r="E626" s="27"/>
      <c r="F626" s="27"/>
      <c r="G626" s="27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</row>
    <row r="627" spans="1:48" ht="12.75" customHeight="1">
      <c r="A627" s="26"/>
      <c r="B627" s="34"/>
      <c r="C627" s="27"/>
      <c r="D627" s="27"/>
      <c r="E627" s="27"/>
      <c r="F627" s="27"/>
      <c r="G627" s="27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</row>
    <row r="628" spans="1:48" ht="12.75" customHeight="1">
      <c r="A628" s="26"/>
      <c r="B628" s="34"/>
      <c r="C628" s="27"/>
      <c r="D628" s="27"/>
      <c r="E628" s="27"/>
      <c r="F628" s="27"/>
      <c r="G628" s="27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</row>
    <row r="629" spans="1:48" ht="12.75" customHeight="1">
      <c r="A629" s="26"/>
      <c r="B629" s="34"/>
      <c r="C629" s="27"/>
      <c r="D629" s="27"/>
      <c r="E629" s="27"/>
      <c r="F629" s="27"/>
      <c r="G629" s="27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</row>
    <row r="630" spans="1:48" ht="12.75" customHeight="1">
      <c r="A630" s="26"/>
      <c r="B630" s="34"/>
      <c r="C630" s="27"/>
      <c r="D630" s="27"/>
      <c r="E630" s="27"/>
      <c r="F630" s="27"/>
      <c r="G630" s="27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</row>
    <row r="631" spans="1:48" ht="12.75" customHeight="1">
      <c r="A631" s="26"/>
      <c r="B631" s="34"/>
      <c r="C631" s="27"/>
      <c r="D631" s="27"/>
      <c r="E631" s="27"/>
      <c r="F631" s="27"/>
      <c r="G631" s="27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</row>
    <row r="632" spans="1:48" ht="12.75" customHeight="1">
      <c r="A632" s="26"/>
      <c r="B632" s="34"/>
      <c r="C632" s="27"/>
      <c r="D632" s="27"/>
      <c r="E632" s="27"/>
      <c r="F632" s="27"/>
      <c r="G632" s="27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</row>
    <row r="633" spans="1:48" ht="12.75" customHeight="1">
      <c r="A633" s="26"/>
      <c r="B633" s="34"/>
      <c r="C633" s="27"/>
      <c r="D633" s="27"/>
      <c r="E633" s="27"/>
      <c r="F633" s="27"/>
      <c r="G633" s="27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</row>
    <row r="634" spans="1:48" ht="12.75" customHeight="1">
      <c r="A634" s="26"/>
      <c r="B634" s="34"/>
      <c r="C634" s="27"/>
      <c r="D634" s="27"/>
      <c r="E634" s="27"/>
      <c r="F634" s="27"/>
      <c r="G634" s="27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</row>
    <row r="635" spans="1:48" ht="12.75" customHeight="1">
      <c r="A635" s="26"/>
      <c r="B635" s="34"/>
      <c r="C635" s="27"/>
      <c r="D635" s="27"/>
      <c r="E635" s="27"/>
      <c r="F635" s="27"/>
      <c r="G635" s="27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</row>
    <row r="636" spans="1:48" ht="12.75" customHeight="1">
      <c r="A636" s="26"/>
      <c r="B636" s="34"/>
      <c r="C636" s="27"/>
      <c r="D636" s="27"/>
      <c r="E636" s="27"/>
      <c r="F636" s="27"/>
      <c r="G636" s="27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</row>
    <row r="637" spans="1:48" ht="12.75" customHeight="1">
      <c r="A637" s="26"/>
      <c r="B637" s="34"/>
      <c r="C637" s="27"/>
      <c r="D637" s="27"/>
      <c r="E637" s="27"/>
      <c r="F637" s="27"/>
      <c r="G637" s="27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</row>
    <row r="638" spans="1:48" ht="12.75" customHeight="1">
      <c r="A638" s="26"/>
      <c r="B638" s="34"/>
      <c r="C638" s="27"/>
      <c r="D638" s="27"/>
      <c r="E638" s="27"/>
      <c r="F638" s="27"/>
      <c r="G638" s="27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</row>
    <row r="639" spans="1:48" ht="12.75" customHeight="1">
      <c r="A639" s="26"/>
      <c r="B639" s="34"/>
      <c r="C639" s="27"/>
      <c r="D639" s="27"/>
      <c r="E639" s="27"/>
      <c r="F639" s="27"/>
      <c r="G639" s="27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</row>
    <row r="640" spans="1:48" ht="12.75" customHeight="1">
      <c r="A640" s="26"/>
      <c r="B640" s="34"/>
      <c r="C640" s="27"/>
      <c r="D640" s="27"/>
      <c r="E640" s="27"/>
      <c r="F640" s="27"/>
      <c r="G640" s="27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</row>
    <row r="641" spans="1:48" ht="12.75" customHeight="1">
      <c r="A641" s="26"/>
      <c r="B641" s="34"/>
      <c r="C641" s="27"/>
      <c r="D641" s="27"/>
      <c r="E641" s="27"/>
      <c r="F641" s="27"/>
      <c r="G641" s="27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</row>
    <row r="642" spans="1:48" ht="12.75" customHeight="1">
      <c r="A642" s="26"/>
      <c r="B642" s="34"/>
      <c r="C642" s="27"/>
      <c r="D642" s="27"/>
      <c r="E642" s="27"/>
      <c r="F642" s="27"/>
      <c r="G642" s="27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</row>
    <row r="643" spans="1:48" ht="12.75" customHeight="1">
      <c r="A643" s="26"/>
      <c r="B643" s="34"/>
      <c r="C643" s="27"/>
      <c r="D643" s="27"/>
      <c r="E643" s="27"/>
      <c r="F643" s="27"/>
      <c r="G643" s="27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</row>
    <row r="644" spans="1:48" ht="12.75" customHeight="1">
      <c r="A644" s="26"/>
      <c r="B644" s="34"/>
      <c r="C644" s="27"/>
      <c r="D644" s="27"/>
      <c r="E644" s="27"/>
      <c r="F644" s="27"/>
      <c r="G644" s="27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</row>
    <row r="645" spans="1:48" ht="12.75" customHeight="1">
      <c r="A645" s="26"/>
      <c r="B645" s="34"/>
      <c r="C645" s="27"/>
      <c r="D645" s="27"/>
      <c r="E645" s="27"/>
      <c r="F645" s="27"/>
      <c r="G645" s="27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</row>
    <row r="646" spans="1:48" ht="12.75" customHeight="1">
      <c r="A646" s="26"/>
      <c r="B646" s="34"/>
      <c r="C646" s="27"/>
      <c r="D646" s="27"/>
      <c r="E646" s="27"/>
      <c r="F646" s="27"/>
      <c r="G646" s="27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</row>
    <row r="647" spans="1:48" ht="12.75" customHeight="1">
      <c r="A647" s="26"/>
      <c r="B647" s="34"/>
      <c r="C647" s="27"/>
      <c r="D647" s="27"/>
      <c r="E647" s="27"/>
      <c r="F647" s="27"/>
      <c r="G647" s="27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</row>
    <row r="648" spans="1:48" ht="12.75" customHeight="1">
      <c r="A648" s="26"/>
      <c r="B648" s="34"/>
      <c r="C648" s="27"/>
      <c r="D648" s="27"/>
      <c r="E648" s="27"/>
      <c r="F648" s="27"/>
      <c r="G648" s="27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</row>
    <row r="649" spans="1:48" ht="12.75" customHeight="1">
      <c r="A649" s="26"/>
      <c r="B649" s="34"/>
      <c r="C649" s="27"/>
      <c r="D649" s="27"/>
      <c r="E649" s="27"/>
      <c r="F649" s="27"/>
      <c r="G649" s="27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</row>
    <row r="650" spans="1:48" ht="12.75" customHeight="1">
      <c r="A650" s="26"/>
      <c r="B650" s="34"/>
      <c r="C650" s="27"/>
      <c r="D650" s="27"/>
      <c r="E650" s="27"/>
      <c r="F650" s="27"/>
      <c r="G650" s="27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</row>
    <row r="651" spans="1:48" ht="12.75" customHeight="1">
      <c r="A651" s="26"/>
      <c r="B651" s="34"/>
      <c r="C651" s="27"/>
      <c r="D651" s="27"/>
      <c r="E651" s="27"/>
      <c r="F651" s="27"/>
      <c r="G651" s="27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</row>
    <row r="652" spans="1:48" ht="12.75" customHeight="1">
      <c r="A652" s="26"/>
      <c r="B652" s="34"/>
      <c r="C652" s="27"/>
      <c r="D652" s="27"/>
      <c r="E652" s="27"/>
      <c r="F652" s="27"/>
      <c r="G652" s="27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</row>
    <row r="653" spans="1:48" ht="12.75" customHeight="1">
      <c r="A653" s="26"/>
      <c r="B653" s="34"/>
      <c r="C653" s="27"/>
      <c r="D653" s="27"/>
      <c r="E653" s="27"/>
      <c r="F653" s="27"/>
      <c r="G653" s="27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</row>
    <row r="654" spans="1:48" ht="12.75" customHeight="1">
      <c r="A654" s="26"/>
      <c r="B654" s="34"/>
      <c r="C654" s="27"/>
      <c r="D654" s="27"/>
      <c r="E654" s="27"/>
      <c r="F654" s="27"/>
      <c r="G654" s="27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</row>
    <row r="655" spans="1:48" ht="12.75" customHeight="1">
      <c r="A655" s="26"/>
      <c r="B655" s="34"/>
      <c r="C655" s="27"/>
      <c r="D655" s="27"/>
      <c r="E655" s="27"/>
      <c r="F655" s="27"/>
      <c r="G655" s="27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</row>
    <row r="656" spans="1:48" ht="12.75" customHeight="1">
      <c r="A656" s="26"/>
      <c r="B656" s="34"/>
      <c r="C656" s="27"/>
      <c r="D656" s="27"/>
      <c r="E656" s="27"/>
      <c r="F656" s="27"/>
      <c r="G656" s="27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</row>
    <row r="657" spans="1:48" ht="12.75" customHeight="1">
      <c r="A657" s="26"/>
      <c r="B657" s="34"/>
      <c r="C657" s="27"/>
      <c r="D657" s="27"/>
      <c r="E657" s="27"/>
      <c r="F657" s="27"/>
      <c r="G657" s="27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</row>
    <row r="658" spans="1:48" ht="12.75" customHeight="1">
      <c r="A658" s="26"/>
      <c r="B658" s="34"/>
      <c r="C658" s="27"/>
      <c r="D658" s="27"/>
      <c r="E658" s="27"/>
      <c r="F658" s="27"/>
      <c r="G658" s="27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</row>
    <row r="659" spans="1:48" ht="12.75" customHeight="1">
      <c r="A659" s="26"/>
      <c r="B659" s="34"/>
      <c r="C659" s="27"/>
      <c r="D659" s="27"/>
      <c r="E659" s="27"/>
      <c r="F659" s="27"/>
      <c r="G659" s="27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</row>
    <row r="660" spans="1:48" ht="12.75" customHeight="1">
      <c r="A660" s="26"/>
      <c r="B660" s="34"/>
      <c r="C660" s="27"/>
      <c r="D660" s="27"/>
      <c r="E660" s="27"/>
      <c r="F660" s="27"/>
      <c r="G660" s="27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</row>
    <row r="661" spans="1:48" ht="12.75" customHeight="1">
      <c r="A661" s="26"/>
      <c r="B661" s="34"/>
      <c r="C661" s="27"/>
      <c r="D661" s="27"/>
      <c r="E661" s="27"/>
      <c r="F661" s="27"/>
      <c r="G661" s="27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</row>
    <row r="662" spans="1:48" ht="12.75" customHeight="1">
      <c r="A662" s="26"/>
      <c r="B662" s="34"/>
      <c r="C662" s="27"/>
      <c r="D662" s="27"/>
      <c r="E662" s="27"/>
      <c r="F662" s="27"/>
      <c r="G662" s="27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</row>
    <row r="663" spans="1:48" ht="12.75" customHeight="1">
      <c r="A663" s="26"/>
      <c r="B663" s="34"/>
      <c r="C663" s="27"/>
      <c r="D663" s="27"/>
      <c r="E663" s="27"/>
      <c r="F663" s="27"/>
      <c r="G663" s="27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</row>
    <row r="664" spans="1:48" ht="12.75" customHeight="1">
      <c r="A664" s="26"/>
      <c r="B664" s="34"/>
      <c r="C664" s="27"/>
      <c r="D664" s="27"/>
      <c r="E664" s="27"/>
      <c r="F664" s="27"/>
      <c r="G664" s="27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</row>
    <row r="665" spans="1:48" ht="12.75" customHeight="1">
      <c r="A665" s="26"/>
      <c r="B665" s="34"/>
      <c r="C665" s="27"/>
      <c r="D665" s="27"/>
      <c r="E665" s="27"/>
      <c r="F665" s="27"/>
      <c r="G665" s="27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</row>
    <row r="666" spans="1:48" ht="12.75" customHeight="1">
      <c r="A666" s="26"/>
      <c r="B666" s="34"/>
      <c r="C666" s="27"/>
      <c r="D666" s="27"/>
      <c r="E666" s="27"/>
      <c r="F666" s="27"/>
      <c r="G666" s="27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</row>
    <row r="667" spans="1:48" ht="12.75" customHeight="1">
      <c r="A667" s="26"/>
      <c r="B667" s="34"/>
      <c r="C667" s="27"/>
      <c r="D667" s="27"/>
      <c r="E667" s="27"/>
      <c r="F667" s="27"/>
      <c r="G667" s="27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</row>
    <row r="668" spans="1:48" ht="12.75" customHeight="1">
      <c r="A668" s="26"/>
      <c r="B668" s="34"/>
      <c r="C668" s="27"/>
      <c r="D668" s="27"/>
      <c r="E668" s="27"/>
      <c r="F668" s="27"/>
      <c r="G668" s="27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</row>
    <row r="669" spans="1:48" ht="12.75" customHeight="1">
      <c r="A669" s="26"/>
      <c r="B669" s="34"/>
      <c r="C669" s="27"/>
      <c r="D669" s="27"/>
      <c r="E669" s="27"/>
      <c r="F669" s="27"/>
      <c r="G669" s="27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</row>
    <row r="670" spans="1:48" ht="12.75" customHeight="1">
      <c r="A670" s="26"/>
      <c r="B670" s="34"/>
      <c r="C670" s="27"/>
      <c r="D670" s="27"/>
      <c r="E670" s="27"/>
      <c r="F670" s="27"/>
      <c r="G670" s="27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</row>
    <row r="671" spans="1:48" ht="12.75" customHeight="1">
      <c r="A671" s="26"/>
      <c r="B671" s="34"/>
      <c r="C671" s="27"/>
      <c r="D671" s="27"/>
      <c r="E671" s="27"/>
      <c r="F671" s="27"/>
      <c r="G671" s="27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</row>
    <row r="672" spans="1:48" ht="12.75" customHeight="1">
      <c r="A672" s="26"/>
      <c r="B672" s="34"/>
      <c r="C672" s="27"/>
      <c r="D672" s="27"/>
      <c r="E672" s="27"/>
      <c r="F672" s="27"/>
      <c r="G672" s="27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</row>
    <row r="673" spans="1:48" ht="12.75" customHeight="1">
      <c r="A673" s="26"/>
      <c r="B673" s="34"/>
      <c r="C673" s="27"/>
      <c r="D673" s="27"/>
      <c r="E673" s="27"/>
      <c r="F673" s="27"/>
      <c r="G673" s="27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</row>
    <row r="674" spans="1:48" ht="12.75" customHeight="1">
      <c r="A674" s="26"/>
      <c r="B674" s="34"/>
      <c r="C674" s="27"/>
      <c r="D674" s="27"/>
      <c r="E674" s="27"/>
      <c r="F674" s="27"/>
      <c r="G674" s="27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</row>
    <row r="675" spans="1:48" ht="12.75" customHeight="1">
      <c r="A675" s="26"/>
      <c r="B675" s="34"/>
      <c r="C675" s="27"/>
      <c r="D675" s="27"/>
      <c r="E675" s="27"/>
      <c r="F675" s="27"/>
      <c r="G675" s="27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</row>
    <row r="676" spans="1:48" ht="12.75" customHeight="1">
      <c r="A676" s="26"/>
      <c r="B676" s="34"/>
      <c r="C676" s="27"/>
      <c r="D676" s="27"/>
      <c r="E676" s="27"/>
      <c r="F676" s="27"/>
      <c r="G676" s="27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</row>
    <row r="677" spans="1:48" ht="12.75" customHeight="1">
      <c r="A677" s="26"/>
      <c r="B677" s="34"/>
      <c r="C677" s="27"/>
      <c r="D677" s="27"/>
      <c r="E677" s="27"/>
      <c r="F677" s="27"/>
      <c r="G677" s="27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</row>
    <row r="678" spans="1:48" ht="12.75" customHeight="1">
      <c r="A678" s="26"/>
      <c r="B678" s="34"/>
      <c r="C678" s="27"/>
      <c r="D678" s="27"/>
      <c r="E678" s="27"/>
      <c r="F678" s="27"/>
      <c r="G678" s="27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</row>
    <row r="679" spans="1:48" ht="12.75" customHeight="1">
      <c r="A679" s="26"/>
      <c r="B679" s="34"/>
      <c r="C679" s="27"/>
      <c r="D679" s="27"/>
      <c r="E679" s="27"/>
      <c r="F679" s="27"/>
      <c r="G679" s="27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</row>
    <row r="680" spans="1:48" ht="12.75" customHeight="1">
      <c r="A680" s="26"/>
      <c r="B680" s="34"/>
      <c r="C680" s="27"/>
      <c r="D680" s="27"/>
      <c r="E680" s="27"/>
      <c r="F680" s="27"/>
      <c r="G680" s="27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</row>
    <row r="681" spans="1:48" ht="12.75" customHeight="1">
      <c r="A681" s="26"/>
      <c r="B681" s="34"/>
      <c r="C681" s="27"/>
      <c r="D681" s="27"/>
      <c r="E681" s="27"/>
      <c r="F681" s="27"/>
      <c r="G681" s="27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</row>
    <row r="682" spans="1:48" ht="12.75" customHeight="1">
      <c r="A682" s="26"/>
      <c r="B682" s="34"/>
      <c r="C682" s="27"/>
      <c r="D682" s="27"/>
      <c r="E682" s="27"/>
      <c r="F682" s="27"/>
      <c r="G682" s="27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</row>
    <row r="683" spans="1:48" ht="12.75" customHeight="1">
      <c r="A683" s="26"/>
      <c r="B683" s="34"/>
      <c r="C683" s="27"/>
      <c r="D683" s="27"/>
      <c r="E683" s="27"/>
      <c r="F683" s="27"/>
      <c r="G683" s="27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</row>
    <row r="684" spans="1:48" ht="12.75" customHeight="1">
      <c r="A684" s="26"/>
      <c r="B684" s="34"/>
      <c r="C684" s="27"/>
      <c r="D684" s="27"/>
      <c r="E684" s="27"/>
      <c r="F684" s="27"/>
      <c r="G684" s="27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</row>
    <row r="685" spans="1:48" ht="12.75" customHeight="1">
      <c r="A685" s="26"/>
      <c r="B685" s="34"/>
      <c r="C685" s="27"/>
      <c r="D685" s="27"/>
      <c r="E685" s="27"/>
      <c r="F685" s="27"/>
      <c r="G685" s="27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</row>
    <row r="686" spans="1:48" ht="12.75" customHeight="1">
      <c r="A686" s="26"/>
      <c r="B686" s="34"/>
      <c r="C686" s="27"/>
      <c r="D686" s="27"/>
      <c r="E686" s="27"/>
      <c r="F686" s="27"/>
      <c r="G686" s="27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</row>
    <row r="687" spans="1:48" ht="12.75" customHeight="1">
      <c r="A687" s="26"/>
      <c r="B687" s="34"/>
      <c r="C687" s="27"/>
      <c r="D687" s="27"/>
      <c r="E687" s="27"/>
      <c r="F687" s="27"/>
      <c r="G687" s="27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</row>
    <row r="688" spans="1:48" ht="12.75" customHeight="1">
      <c r="A688" s="26"/>
      <c r="B688" s="34"/>
      <c r="C688" s="27"/>
      <c r="D688" s="27"/>
      <c r="E688" s="27"/>
      <c r="F688" s="27"/>
      <c r="G688" s="27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</row>
    <row r="689" spans="1:48" ht="12.75" customHeight="1">
      <c r="A689" s="26"/>
      <c r="B689" s="34"/>
      <c r="C689" s="27"/>
      <c r="D689" s="27"/>
      <c r="E689" s="27"/>
      <c r="F689" s="27"/>
      <c r="G689" s="27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</row>
    <row r="690" spans="1:48" ht="12.75" customHeight="1">
      <c r="A690" s="26"/>
      <c r="B690" s="34"/>
      <c r="C690" s="27"/>
      <c r="D690" s="27"/>
      <c r="E690" s="27"/>
      <c r="F690" s="27"/>
      <c r="G690" s="27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</row>
    <row r="691" spans="1:48" ht="12.75" customHeight="1">
      <c r="A691" s="26"/>
      <c r="B691" s="34"/>
      <c r="C691" s="27"/>
      <c r="D691" s="27"/>
      <c r="E691" s="27"/>
      <c r="F691" s="27"/>
      <c r="G691" s="27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</row>
    <row r="692" spans="1:48" ht="12.75" customHeight="1">
      <c r="A692" s="26"/>
      <c r="B692" s="34"/>
      <c r="C692" s="27"/>
      <c r="D692" s="27"/>
      <c r="E692" s="27"/>
      <c r="F692" s="27"/>
      <c r="G692" s="27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</row>
    <row r="693" spans="1:48" ht="12.75" customHeight="1">
      <c r="A693" s="26"/>
      <c r="B693" s="34"/>
      <c r="C693" s="27"/>
      <c r="D693" s="27"/>
      <c r="E693" s="27"/>
      <c r="F693" s="27"/>
      <c r="G693" s="27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</row>
    <row r="694" spans="1:48" ht="12.75" customHeight="1">
      <c r="A694" s="26"/>
      <c r="B694" s="34"/>
      <c r="C694" s="27"/>
      <c r="D694" s="27"/>
      <c r="E694" s="27"/>
      <c r="F694" s="27"/>
      <c r="G694" s="27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</row>
    <row r="695" spans="1:48" ht="12.75" customHeight="1">
      <c r="A695" s="26"/>
      <c r="B695" s="34"/>
      <c r="C695" s="27"/>
      <c r="D695" s="27"/>
      <c r="E695" s="27"/>
      <c r="F695" s="27"/>
      <c r="G695" s="27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</row>
    <row r="696" spans="1:48" ht="12.75" customHeight="1">
      <c r="A696" s="26"/>
      <c r="B696" s="34"/>
      <c r="C696" s="27"/>
      <c r="D696" s="27"/>
      <c r="E696" s="27"/>
      <c r="F696" s="27"/>
      <c r="G696" s="27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</row>
    <row r="697" spans="1:48" ht="12.75" customHeight="1">
      <c r="A697" s="26"/>
      <c r="B697" s="34"/>
      <c r="C697" s="27"/>
      <c r="D697" s="27"/>
      <c r="E697" s="27"/>
      <c r="F697" s="27"/>
      <c r="G697" s="27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</row>
    <row r="698" spans="1:48" ht="12.75" customHeight="1">
      <c r="A698" s="26"/>
      <c r="B698" s="34"/>
      <c r="C698" s="27"/>
      <c r="D698" s="27"/>
      <c r="E698" s="27"/>
      <c r="F698" s="27"/>
      <c r="G698" s="27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</row>
    <row r="699" spans="1:48" ht="12.75" customHeight="1">
      <c r="A699" s="26"/>
      <c r="B699" s="34"/>
      <c r="C699" s="27"/>
      <c r="D699" s="27"/>
      <c r="E699" s="27"/>
      <c r="F699" s="27"/>
      <c r="G699" s="27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</row>
    <row r="700" spans="1:48" ht="12.75" customHeight="1">
      <c r="A700" s="26"/>
      <c r="B700" s="34"/>
      <c r="C700" s="27"/>
      <c r="D700" s="27"/>
      <c r="E700" s="27"/>
      <c r="F700" s="27"/>
      <c r="G700" s="27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</row>
    <row r="701" spans="1:48" ht="12.75" customHeight="1">
      <c r="A701" s="26"/>
      <c r="B701" s="34"/>
      <c r="C701" s="27"/>
      <c r="D701" s="27"/>
      <c r="E701" s="27"/>
      <c r="F701" s="27"/>
      <c r="G701" s="27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</row>
    <row r="702" spans="1:48" ht="12.75" customHeight="1">
      <c r="A702" s="26"/>
      <c r="B702" s="34"/>
      <c r="C702" s="27"/>
      <c r="D702" s="27"/>
      <c r="E702" s="27"/>
      <c r="F702" s="27"/>
      <c r="G702" s="27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</row>
    <row r="703" spans="1:48" ht="12.75" customHeight="1">
      <c r="A703" s="26"/>
      <c r="B703" s="34"/>
      <c r="C703" s="27"/>
      <c r="D703" s="27"/>
      <c r="E703" s="27"/>
      <c r="F703" s="27"/>
      <c r="G703" s="27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</row>
    <row r="704" spans="1:48" ht="12.75" customHeight="1">
      <c r="A704" s="26"/>
      <c r="B704" s="34"/>
      <c r="C704" s="27"/>
      <c r="D704" s="27"/>
      <c r="E704" s="27"/>
      <c r="F704" s="27"/>
      <c r="G704" s="27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</row>
    <row r="705" spans="1:48" ht="12.75" customHeight="1">
      <c r="A705" s="26"/>
      <c r="B705" s="34"/>
      <c r="C705" s="27"/>
      <c r="D705" s="27"/>
      <c r="E705" s="27"/>
      <c r="F705" s="27"/>
      <c r="G705" s="27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</row>
    <row r="706" spans="1:48" ht="12.75" customHeight="1">
      <c r="A706" s="26"/>
      <c r="B706" s="34"/>
      <c r="C706" s="27"/>
      <c r="D706" s="27"/>
      <c r="E706" s="27"/>
      <c r="F706" s="27"/>
      <c r="G706" s="27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</row>
    <row r="707" spans="1:48" ht="12.75" customHeight="1">
      <c r="A707" s="26"/>
      <c r="B707" s="34"/>
      <c r="C707" s="27"/>
      <c r="D707" s="27"/>
      <c r="E707" s="27"/>
      <c r="F707" s="27"/>
      <c r="G707" s="27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</row>
    <row r="708" spans="1:48" ht="12.75" customHeight="1">
      <c r="A708" s="26"/>
      <c r="B708" s="34"/>
      <c r="C708" s="27"/>
      <c r="D708" s="27"/>
      <c r="E708" s="27"/>
      <c r="F708" s="27"/>
      <c r="G708" s="27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</row>
    <row r="709" spans="1:48" ht="12.75" customHeight="1">
      <c r="A709" s="26"/>
      <c r="B709" s="34"/>
      <c r="C709" s="27"/>
      <c r="D709" s="27"/>
      <c r="E709" s="27"/>
      <c r="F709" s="27"/>
      <c r="G709" s="27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</row>
    <row r="710" spans="1:48" ht="12.75" customHeight="1">
      <c r="A710" s="26"/>
      <c r="B710" s="34"/>
      <c r="C710" s="27"/>
      <c r="D710" s="27"/>
      <c r="E710" s="27"/>
      <c r="F710" s="27"/>
      <c r="G710" s="27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</row>
    <row r="711" spans="1:48" ht="12.75" customHeight="1">
      <c r="A711" s="26"/>
      <c r="B711" s="34"/>
      <c r="C711" s="27"/>
      <c r="D711" s="27"/>
      <c r="E711" s="27"/>
      <c r="F711" s="27"/>
      <c r="G711" s="27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</row>
    <row r="712" spans="1:48" ht="12.75" customHeight="1">
      <c r="A712" s="26"/>
      <c r="B712" s="34"/>
      <c r="C712" s="27"/>
      <c r="D712" s="27"/>
      <c r="E712" s="27"/>
      <c r="F712" s="27"/>
      <c r="G712" s="27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</row>
    <row r="713" spans="1:48" ht="12.75" customHeight="1">
      <c r="A713" s="26"/>
      <c r="B713" s="34"/>
      <c r="C713" s="27"/>
      <c r="D713" s="27"/>
      <c r="E713" s="27"/>
      <c r="F713" s="27"/>
      <c r="G713" s="27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</row>
    <row r="714" spans="1:48" ht="12.75" customHeight="1">
      <c r="A714" s="26"/>
      <c r="B714" s="34"/>
      <c r="C714" s="27"/>
      <c r="D714" s="27"/>
      <c r="E714" s="27"/>
      <c r="F714" s="27"/>
      <c r="G714" s="27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</row>
    <row r="715" spans="1:48" ht="12.75" customHeight="1">
      <c r="A715" s="26"/>
      <c r="B715" s="34"/>
      <c r="C715" s="27"/>
      <c r="D715" s="27"/>
      <c r="E715" s="27"/>
      <c r="F715" s="27"/>
      <c r="G715" s="27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</row>
    <row r="716" spans="1:48" ht="12.75" customHeight="1">
      <c r="A716" s="26"/>
      <c r="B716" s="34"/>
      <c r="C716" s="27"/>
      <c r="D716" s="27"/>
      <c r="E716" s="27"/>
      <c r="F716" s="27"/>
      <c r="G716" s="27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</row>
    <row r="717" spans="1:48" ht="12.75" customHeight="1">
      <c r="A717" s="26"/>
      <c r="B717" s="34"/>
      <c r="C717" s="27"/>
      <c r="D717" s="27"/>
      <c r="E717" s="27"/>
      <c r="F717" s="27"/>
      <c r="G717" s="27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</row>
    <row r="718" spans="1:48" ht="12.75" customHeight="1">
      <c r="A718" s="26"/>
      <c r="B718" s="34"/>
      <c r="C718" s="27"/>
      <c r="D718" s="27"/>
      <c r="E718" s="27"/>
      <c r="F718" s="27"/>
      <c r="G718" s="27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</row>
    <row r="719" spans="1:48" ht="12.75" customHeight="1">
      <c r="A719" s="26"/>
      <c r="B719" s="34"/>
      <c r="C719" s="27"/>
      <c r="D719" s="27"/>
      <c r="E719" s="27"/>
      <c r="F719" s="27"/>
      <c r="G719" s="27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</row>
    <row r="720" spans="1:48" ht="12.75" customHeight="1">
      <c r="A720" s="26"/>
      <c r="B720" s="34"/>
      <c r="C720" s="27"/>
      <c r="D720" s="27"/>
      <c r="E720" s="27"/>
      <c r="F720" s="27"/>
      <c r="G720" s="27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</row>
    <row r="721" spans="1:48" ht="12.75" customHeight="1">
      <c r="A721" s="26"/>
      <c r="B721" s="34"/>
      <c r="C721" s="27"/>
      <c r="D721" s="27"/>
      <c r="E721" s="27"/>
      <c r="F721" s="27"/>
      <c r="G721" s="27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</row>
    <row r="722" spans="1:48" ht="12.75" customHeight="1">
      <c r="A722" s="26"/>
      <c r="B722" s="34"/>
      <c r="C722" s="27"/>
      <c r="D722" s="27"/>
      <c r="E722" s="27"/>
      <c r="F722" s="27"/>
      <c r="G722" s="27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</row>
    <row r="723" spans="1:48" ht="12.75" customHeight="1">
      <c r="A723" s="26"/>
      <c r="B723" s="34"/>
      <c r="C723" s="27"/>
      <c r="D723" s="27"/>
      <c r="E723" s="27"/>
      <c r="F723" s="27"/>
      <c r="G723" s="27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</row>
    <row r="724" spans="1:48" ht="12.75" customHeight="1">
      <c r="A724" s="26"/>
      <c r="B724" s="34"/>
      <c r="C724" s="27"/>
      <c r="D724" s="27"/>
      <c r="E724" s="27"/>
      <c r="F724" s="27"/>
      <c r="G724" s="27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</row>
    <row r="725" spans="1:48" ht="12.75" customHeight="1">
      <c r="A725" s="26"/>
      <c r="B725" s="34"/>
      <c r="C725" s="27"/>
      <c r="D725" s="27"/>
      <c r="E725" s="27"/>
      <c r="F725" s="27"/>
      <c r="G725" s="27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</row>
    <row r="726" spans="1:48" ht="12.75" customHeight="1">
      <c r="A726" s="26"/>
      <c r="B726" s="34"/>
      <c r="C726" s="27"/>
      <c r="D726" s="27"/>
      <c r="E726" s="27"/>
      <c r="F726" s="27"/>
      <c r="G726" s="27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</row>
    <row r="727" spans="1:48" ht="12.75" customHeight="1">
      <c r="A727" s="26"/>
      <c r="B727" s="34"/>
      <c r="C727" s="27"/>
      <c r="D727" s="27"/>
      <c r="E727" s="27"/>
      <c r="F727" s="27"/>
      <c r="G727" s="27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</row>
    <row r="728" spans="1:48" ht="12.75" customHeight="1">
      <c r="A728" s="26"/>
      <c r="B728" s="34"/>
      <c r="C728" s="27"/>
      <c r="D728" s="27"/>
      <c r="E728" s="27"/>
      <c r="F728" s="27"/>
      <c r="G728" s="27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</row>
    <row r="729" spans="1:48" ht="12.75" customHeight="1">
      <c r="A729" s="26"/>
      <c r="B729" s="34"/>
      <c r="C729" s="27"/>
      <c r="D729" s="27"/>
      <c r="E729" s="27"/>
      <c r="F729" s="27"/>
      <c r="G729" s="27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</row>
    <row r="730" spans="1:48" ht="12.75" customHeight="1">
      <c r="A730" s="26"/>
      <c r="B730" s="34"/>
      <c r="C730" s="27"/>
      <c r="D730" s="27"/>
      <c r="E730" s="27"/>
      <c r="F730" s="27"/>
      <c r="G730" s="27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</row>
    <row r="731" spans="1:48" ht="12.75" customHeight="1">
      <c r="A731" s="26"/>
      <c r="B731" s="34"/>
      <c r="C731" s="27"/>
      <c r="D731" s="27"/>
      <c r="E731" s="27"/>
      <c r="F731" s="27"/>
      <c r="G731" s="27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</row>
    <row r="732" spans="1:48" ht="12.75" customHeight="1">
      <c r="A732" s="26"/>
      <c r="B732" s="34"/>
      <c r="C732" s="27"/>
      <c r="D732" s="27"/>
      <c r="E732" s="27"/>
      <c r="F732" s="27"/>
      <c r="G732" s="27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</row>
    <row r="733" spans="1:48" ht="12.75" customHeight="1">
      <c r="A733" s="26"/>
      <c r="B733" s="34"/>
      <c r="C733" s="27"/>
      <c r="D733" s="27"/>
      <c r="E733" s="27"/>
      <c r="F733" s="27"/>
      <c r="G733" s="27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</row>
    <row r="734" spans="1:48" ht="12.75" customHeight="1">
      <c r="A734" s="26"/>
      <c r="B734" s="34"/>
      <c r="C734" s="27"/>
      <c r="D734" s="27"/>
      <c r="E734" s="27"/>
      <c r="F734" s="27"/>
      <c r="G734" s="27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</row>
    <row r="735" spans="1:48" ht="12.75" customHeight="1">
      <c r="A735" s="26"/>
      <c r="B735" s="34"/>
      <c r="C735" s="27"/>
      <c r="D735" s="27"/>
      <c r="E735" s="27"/>
      <c r="F735" s="27"/>
      <c r="G735" s="27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</row>
    <row r="736" spans="1:48" ht="12.75" customHeight="1">
      <c r="A736" s="26"/>
      <c r="B736" s="34"/>
      <c r="C736" s="27"/>
      <c r="D736" s="27"/>
      <c r="E736" s="27"/>
      <c r="F736" s="27"/>
      <c r="G736" s="27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</row>
    <row r="737" spans="1:48" ht="12.75" customHeight="1">
      <c r="A737" s="26"/>
      <c r="B737" s="34"/>
      <c r="C737" s="27"/>
      <c r="D737" s="27"/>
      <c r="E737" s="27"/>
      <c r="F737" s="27"/>
      <c r="G737" s="27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</row>
    <row r="738" spans="1:48" ht="12.75" customHeight="1">
      <c r="A738" s="26"/>
      <c r="B738" s="34"/>
      <c r="C738" s="27"/>
      <c r="D738" s="27"/>
      <c r="E738" s="27"/>
      <c r="F738" s="27"/>
      <c r="G738" s="27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</row>
    <row r="739" spans="1:48" ht="12.75" customHeight="1">
      <c r="A739" s="26"/>
      <c r="B739" s="34"/>
      <c r="C739" s="27"/>
      <c r="D739" s="27"/>
      <c r="E739" s="27"/>
      <c r="F739" s="27"/>
      <c r="G739" s="27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</row>
    <row r="740" spans="1:48" ht="12.75" customHeight="1">
      <c r="A740" s="26"/>
      <c r="B740" s="34"/>
      <c r="C740" s="27"/>
      <c r="D740" s="27"/>
      <c r="E740" s="27"/>
      <c r="F740" s="27"/>
      <c r="G740" s="27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</row>
    <row r="741" spans="1:48" ht="12.75" customHeight="1">
      <c r="A741" s="26"/>
      <c r="B741" s="34"/>
      <c r="C741" s="27"/>
      <c r="D741" s="27"/>
      <c r="E741" s="27"/>
      <c r="F741" s="27"/>
      <c r="G741" s="27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</row>
    <row r="742" spans="1:48" ht="12.75" customHeight="1">
      <c r="A742" s="26"/>
      <c r="B742" s="34"/>
      <c r="C742" s="27"/>
      <c r="D742" s="27"/>
      <c r="E742" s="27"/>
      <c r="F742" s="27"/>
      <c r="G742" s="27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</row>
    <row r="743" spans="1:48" ht="12.75" customHeight="1">
      <c r="A743" s="26"/>
      <c r="B743" s="34"/>
      <c r="C743" s="27"/>
      <c r="D743" s="27"/>
      <c r="E743" s="27"/>
      <c r="F743" s="27"/>
      <c r="G743" s="27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</row>
    <row r="744" spans="1:48" ht="12.75" customHeight="1">
      <c r="A744" s="26"/>
      <c r="B744" s="34"/>
      <c r="C744" s="27"/>
      <c r="D744" s="27"/>
      <c r="E744" s="27"/>
      <c r="F744" s="27"/>
      <c r="G744" s="27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</row>
    <row r="745" spans="1:48" ht="12.75" customHeight="1">
      <c r="A745" s="26"/>
      <c r="B745" s="34"/>
      <c r="C745" s="27"/>
      <c r="D745" s="27"/>
      <c r="E745" s="27"/>
      <c r="F745" s="27"/>
      <c r="G745" s="27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</row>
    <row r="746" spans="1:48" ht="12.75" customHeight="1">
      <c r="A746" s="26"/>
      <c r="B746" s="34"/>
      <c r="C746" s="27"/>
      <c r="D746" s="27"/>
      <c r="E746" s="27"/>
      <c r="F746" s="27"/>
      <c r="G746" s="27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</row>
    <row r="747" spans="1:48" ht="12.75" customHeight="1">
      <c r="A747" s="26"/>
      <c r="B747" s="34"/>
      <c r="C747" s="27"/>
      <c r="D747" s="27"/>
      <c r="E747" s="27"/>
      <c r="F747" s="27"/>
      <c r="G747" s="27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</row>
    <row r="748" spans="1:48" ht="12.75" customHeight="1">
      <c r="A748" s="26"/>
      <c r="B748" s="34"/>
      <c r="C748" s="27"/>
      <c r="D748" s="27"/>
      <c r="E748" s="27"/>
      <c r="F748" s="27"/>
      <c r="G748" s="27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</row>
    <row r="749" spans="1:48" ht="12.75" customHeight="1">
      <c r="A749" s="26"/>
      <c r="B749" s="34"/>
      <c r="C749" s="27"/>
      <c r="D749" s="27"/>
      <c r="E749" s="27"/>
      <c r="F749" s="27"/>
      <c r="G749" s="27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</row>
    <row r="750" spans="1:48" ht="12.75" customHeight="1">
      <c r="A750" s="26"/>
      <c r="B750" s="34"/>
      <c r="C750" s="27"/>
      <c r="D750" s="27"/>
      <c r="E750" s="27"/>
      <c r="F750" s="27"/>
      <c r="G750" s="27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</row>
    <row r="751" spans="1:48" ht="12.75" customHeight="1">
      <c r="A751" s="26"/>
      <c r="B751" s="34"/>
      <c r="C751" s="27"/>
      <c r="D751" s="27"/>
      <c r="E751" s="27"/>
      <c r="F751" s="27"/>
      <c r="G751" s="27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</row>
    <row r="752" spans="1:48" ht="12.75" customHeight="1">
      <c r="A752" s="26"/>
      <c r="B752" s="34"/>
      <c r="C752" s="27"/>
      <c r="D752" s="27"/>
      <c r="E752" s="27"/>
      <c r="F752" s="27"/>
      <c r="G752" s="27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</row>
    <row r="753" spans="1:48" ht="12.75" customHeight="1">
      <c r="A753" s="26"/>
      <c r="B753" s="34"/>
      <c r="C753" s="27"/>
      <c r="D753" s="27"/>
      <c r="E753" s="27"/>
      <c r="F753" s="27"/>
      <c r="G753" s="27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</row>
    <row r="754" spans="1:48" ht="12.75" customHeight="1">
      <c r="A754" s="26"/>
      <c r="B754" s="34"/>
      <c r="C754" s="27"/>
      <c r="D754" s="27"/>
      <c r="E754" s="27"/>
      <c r="F754" s="27"/>
      <c r="G754" s="27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</row>
    <row r="755" spans="1:48" ht="12.75" customHeight="1">
      <c r="A755" s="26"/>
      <c r="B755" s="34"/>
      <c r="C755" s="27"/>
      <c r="D755" s="27"/>
      <c r="E755" s="27"/>
      <c r="F755" s="27"/>
      <c r="G755" s="27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</row>
    <row r="756" spans="1:48" ht="12.75" customHeight="1">
      <c r="A756" s="26"/>
      <c r="B756" s="34"/>
      <c r="C756" s="27"/>
      <c r="D756" s="27"/>
      <c r="E756" s="27"/>
      <c r="F756" s="27"/>
      <c r="G756" s="27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</row>
    <row r="757" spans="1:48" ht="12.75" customHeight="1">
      <c r="A757" s="26"/>
      <c r="B757" s="34"/>
      <c r="C757" s="27"/>
      <c r="D757" s="27"/>
      <c r="E757" s="27"/>
      <c r="F757" s="27"/>
      <c r="G757" s="27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</row>
    <row r="758" spans="1:48" ht="12.75" customHeight="1">
      <c r="A758" s="26"/>
      <c r="B758" s="34"/>
      <c r="C758" s="27"/>
      <c r="D758" s="27"/>
      <c r="E758" s="27"/>
      <c r="F758" s="27"/>
      <c r="G758" s="27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</row>
    <row r="759" spans="1:48" ht="12.75" customHeight="1">
      <c r="A759" s="26"/>
      <c r="B759" s="34"/>
      <c r="C759" s="27"/>
      <c r="D759" s="27"/>
      <c r="E759" s="27"/>
      <c r="F759" s="27"/>
      <c r="G759" s="27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</row>
    <row r="760" spans="1:48" ht="12.75" customHeight="1">
      <c r="A760" s="26"/>
      <c r="B760" s="34"/>
      <c r="C760" s="27"/>
      <c r="D760" s="27"/>
      <c r="E760" s="27"/>
      <c r="F760" s="27"/>
      <c r="G760" s="27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</row>
    <row r="761" spans="1:48" ht="12.75" customHeight="1">
      <c r="A761" s="26"/>
      <c r="B761" s="34"/>
      <c r="C761" s="27"/>
      <c r="D761" s="27"/>
      <c r="E761" s="27"/>
      <c r="F761" s="27"/>
      <c r="G761" s="27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</row>
    <row r="762" spans="1:48" ht="12.75" customHeight="1">
      <c r="A762" s="26"/>
      <c r="B762" s="34"/>
      <c r="C762" s="27"/>
      <c r="D762" s="27"/>
      <c r="E762" s="27"/>
      <c r="F762" s="27"/>
      <c r="G762" s="27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</row>
    <row r="763" spans="1:48" ht="12.75" customHeight="1">
      <c r="A763" s="26"/>
      <c r="B763" s="34"/>
      <c r="C763" s="27"/>
      <c r="D763" s="27"/>
      <c r="E763" s="27"/>
      <c r="F763" s="27"/>
      <c r="G763" s="27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</row>
    <row r="764" spans="1:48" ht="12.75" customHeight="1">
      <c r="A764" s="26"/>
      <c r="B764" s="34"/>
      <c r="C764" s="27"/>
      <c r="D764" s="27"/>
      <c r="E764" s="27"/>
      <c r="F764" s="27"/>
      <c r="G764" s="27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</row>
    <row r="765" spans="1:48" ht="12.75" customHeight="1">
      <c r="A765" s="26"/>
      <c r="B765" s="34"/>
      <c r="C765" s="27"/>
      <c r="D765" s="27"/>
      <c r="E765" s="27"/>
      <c r="F765" s="27"/>
      <c r="G765" s="27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</row>
    <row r="766" spans="1:48" ht="12.75" customHeight="1">
      <c r="A766" s="26"/>
      <c r="B766" s="34"/>
      <c r="C766" s="27"/>
      <c r="D766" s="27"/>
      <c r="E766" s="27"/>
      <c r="F766" s="27"/>
      <c r="G766" s="27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</row>
    <row r="767" spans="1:48" ht="12.75" customHeight="1">
      <c r="A767" s="26"/>
      <c r="B767" s="34"/>
      <c r="C767" s="27"/>
      <c r="D767" s="27"/>
      <c r="E767" s="27"/>
      <c r="F767" s="27"/>
      <c r="G767" s="27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</row>
    <row r="768" spans="1:48" ht="12.75" customHeight="1">
      <c r="A768" s="26"/>
      <c r="B768" s="34"/>
      <c r="C768" s="27"/>
      <c r="D768" s="27"/>
      <c r="E768" s="27"/>
      <c r="F768" s="27"/>
      <c r="G768" s="27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</row>
    <row r="769" spans="1:48" ht="12.75" customHeight="1">
      <c r="A769" s="26"/>
      <c r="B769" s="34"/>
      <c r="C769" s="27"/>
      <c r="D769" s="27"/>
      <c r="E769" s="27"/>
      <c r="F769" s="27"/>
      <c r="G769" s="27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</row>
    <row r="770" spans="1:48" ht="12.75" customHeight="1">
      <c r="A770" s="26"/>
      <c r="B770" s="34"/>
      <c r="C770" s="27"/>
      <c r="D770" s="27"/>
      <c r="E770" s="27"/>
      <c r="F770" s="27"/>
      <c r="G770" s="27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</row>
    <row r="771" spans="1:48" ht="12.75" customHeight="1">
      <c r="A771" s="26"/>
      <c r="B771" s="34"/>
      <c r="C771" s="27"/>
      <c r="D771" s="27"/>
      <c r="E771" s="27"/>
      <c r="F771" s="27"/>
      <c r="G771" s="27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</row>
    <row r="772" spans="1:48" ht="12.75" customHeight="1">
      <c r="A772" s="26"/>
      <c r="B772" s="34"/>
      <c r="C772" s="27"/>
      <c r="D772" s="27"/>
      <c r="E772" s="27"/>
      <c r="F772" s="27"/>
      <c r="G772" s="27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</row>
    <row r="773" spans="1:48" ht="12.75" customHeight="1">
      <c r="A773" s="26"/>
      <c r="B773" s="34"/>
      <c r="C773" s="27"/>
      <c r="D773" s="27"/>
      <c r="E773" s="27"/>
      <c r="F773" s="27"/>
      <c r="G773" s="27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</row>
    <row r="774" spans="1:48" ht="12.75" customHeight="1">
      <c r="A774" s="26"/>
      <c r="B774" s="34"/>
      <c r="C774" s="27"/>
      <c r="D774" s="27"/>
      <c r="E774" s="27"/>
      <c r="F774" s="27"/>
      <c r="G774" s="27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</row>
    <row r="775" spans="1:48" ht="12.75" customHeight="1">
      <c r="A775" s="26"/>
      <c r="B775" s="34"/>
      <c r="C775" s="27"/>
      <c r="D775" s="27"/>
      <c r="E775" s="27"/>
      <c r="F775" s="27"/>
      <c r="G775" s="27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</row>
    <row r="776" spans="1:48" ht="12.75" customHeight="1">
      <c r="A776" s="26"/>
      <c r="B776" s="34"/>
      <c r="C776" s="27"/>
      <c r="D776" s="27"/>
      <c r="E776" s="27"/>
      <c r="F776" s="27"/>
      <c r="G776" s="27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</row>
    <row r="777" spans="1:48" ht="12.75" customHeight="1">
      <c r="A777" s="26"/>
      <c r="B777" s="34"/>
      <c r="C777" s="27"/>
      <c r="D777" s="27"/>
      <c r="E777" s="27"/>
      <c r="F777" s="27"/>
      <c r="G777" s="27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</row>
    <row r="778" spans="1:48" ht="12.75" customHeight="1">
      <c r="A778" s="26"/>
      <c r="B778" s="34"/>
      <c r="C778" s="27"/>
      <c r="D778" s="27"/>
      <c r="E778" s="27"/>
      <c r="F778" s="27"/>
      <c r="G778" s="27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</row>
    <row r="779" spans="1:48" ht="12.75" customHeight="1">
      <c r="A779" s="26"/>
      <c r="B779" s="34"/>
      <c r="C779" s="27"/>
      <c r="D779" s="27"/>
      <c r="E779" s="27"/>
      <c r="F779" s="27"/>
      <c r="G779" s="27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</row>
    <row r="780" spans="1:48" ht="12.75" customHeight="1">
      <c r="A780" s="26"/>
      <c r="B780" s="34"/>
      <c r="C780" s="27"/>
      <c r="D780" s="27"/>
      <c r="E780" s="27"/>
      <c r="F780" s="27"/>
      <c r="G780" s="27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</row>
    <row r="781" spans="1:48" ht="12.75" customHeight="1">
      <c r="A781" s="26"/>
      <c r="B781" s="34"/>
      <c r="C781" s="27"/>
      <c r="D781" s="27"/>
      <c r="E781" s="27"/>
      <c r="F781" s="27"/>
      <c r="G781" s="27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</row>
    <row r="782" spans="1:48" ht="12.75" customHeight="1">
      <c r="A782" s="26"/>
      <c r="B782" s="34"/>
      <c r="C782" s="27"/>
      <c r="D782" s="27"/>
      <c r="E782" s="27"/>
      <c r="F782" s="27"/>
      <c r="G782" s="27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</row>
    <row r="783" spans="1:48" ht="12.75" customHeight="1">
      <c r="A783" s="26"/>
      <c r="B783" s="34"/>
      <c r="C783" s="27"/>
      <c r="D783" s="27"/>
      <c r="E783" s="27"/>
      <c r="F783" s="27"/>
      <c r="G783" s="27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</row>
    <row r="784" spans="1:48" ht="12.75" customHeight="1">
      <c r="A784" s="26"/>
      <c r="B784" s="34"/>
      <c r="C784" s="27"/>
      <c r="D784" s="27"/>
      <c r="E784" s="27"/>
      <c r="F784" s="27"/>
      <c r="G784" s="27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</row>
    <row r="785" spans="1:48" ht="12.75" customHeight="1">
      <c r="A785" s="26"/>
      <c r="B785" s="34"/>
      <c r="C785" s="27"/>
      <c r="D785" s="27"/>
      <c r="E785" s="27"/>
      <c r="F785" s="27"/>
      <c r="G785" s="27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</row>
    <row r="786" spans="1:48" ht="12.75" customHeight="1">
      <c r="A786" s="26"/>
      <c r="B786" s="34"/>
      <c r="C786" s="27"/>
      <c r="D786" s="27"/>
      <c r="E786" s="27"/>
      <c r="F786" s="27"/>
      <c r="G786" s="27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</row>
    <row r="787" spans="1:48" ht="12.75" customHeight="1">
      <c r="A787" s="26"/>
      <c r="B787" s="34"/>
      <c r="C787" s="27"/>
      <c r="D787" s="27"/>
      <c r="E787" s="27"/>
      <c r="F787" s="27"/>
      <c r="G787" s="27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</row>
    <row r="788" spans="1:48" ht="12.75" customHeight="1">
      <c r="A788" s="26"/>
      <c r="B788" s="34"/>
      <c r="C788" s="27"/>
      <c r="D788" s="27"/>
      <c r="E788" s="27"/>
      <c r="F788" s="27"/>
      <c r="G788" s="27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</row>
    <row r="789" spans="1:48" ht="12.75" customHeight="1">
      <c r="A789" s="26"/>
      <c r="B789" s="34"/>
      <c r="C789" s="27"/>
      <c r="D789" s="27"/>
      <c r="E789" s="27"/>
      <c r="F789" s="27"/>
      <c r="G789" s="27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</row>
    <row r="790" spans="1:48" ht="12.75" customHeight="1">
      <c r="A790" s="26"/>
      <c r="B790" s="34"/>
      <c r="C790" s="27"/>
      <c r="D790" s="27"/>
      <c r="E790" s="27"/>
      <c r="F790" s="27"/>
      <c r="G790" s="27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</row>
    <row r="791" spans="1:48" ht="12.75" customHeight="1">
      <c r="A791" s="26"/>
      <c r="B791" s="34"/>
      <c r="C791" s="27"/>
      <c r="D791" s="27"/>
      <c r="E791" s="27"/>
      <c r="F791" s="27"/>
      <c r="G791" s="27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</row>
    <row r="792" spans="1:48" ht="12.75" customHeight="1">
      <c r="A792" s="26"/>
      <c r="B792" s="34"/>
      <c r="C792" s="27"/>
      <c r="D792" s="27"/>
      <c r="E792" s="27"/>
      <c r="F792" s="27"/>
      <c r="G792" s="27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</row>
    <row r="793" spans="1:48" ht="12.75" customHeight="1">
      <c r="A793" s="26"/>
      <c r="B793" s="34"/>
      <c r="C793" s="27"/>
      <c r="D793" s="27"/>
      <c r="E793" s="27"/>
      <c r="F793" s="27"/>
      <c r="G793" s="27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</row>
    <row r="794" spans="1:48" ht="12.75" customHeight="1">
      <c r="A794" s="26"/>
      <c r="B794" s="34"/>
      <c r="C794" s="27"/>
      <c r="D794" s="27"/>
      <c r="E794" s="27"/>
      <c r="F794" s="27"/>
      <c r="G794" s="27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</row>
    <row r="795" spans="1:48" ht="12.75" customHeight="1">
      <c r="A795" s="26"/>
      <c r="B795" s="34"/>
      <c r="C795" s="27"/>
      <c r="D795" s="27"/>
      <c r="E795" s="27"/>
      <c r="F795" s="27"/>
      <c r="G795" s="27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</row>
    <row r="796" spans="1:48" ht="12.75" customHeight="1">
      <c r="A796" s="26"/>
      <c r="B796" s="34"/>
      <c r="C796" s="27"/>
      <c r="D796" s="27"/>
      <c r="E796" s="27"/>
      <c r="F796" s="27"/>
      <c r="G796" s="27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</row>
    <row r="797" spans="1:48" ht="12.75" customHeight="1">
      <c r="A797" s="26"/>
      <c r="B797" s="34"/>
      <c r="C797" s="27"/>
      <c r="D797" s="27"/>
      <c r="E797" s="27"/>
      <c r="F797" s="27"/>
      <c r="G797" s="27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</row>
    <row r="798" spans="1:48" ht="12.75" customHeight="1">
      <c r="A798" s="26"/>
      <c r="B798" s="34"/>
      <c r="C798" s="27"/>
      <c r="D798" s="27"/>
      <c r="E798" s="27"/>
      <c r="F798" s="27"/>
      <c r="G798" s="27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</row>
    <row r="799" spans="1:48" ht="12.75" customHeight="1">
      <c r="A799" s="26"/>
      <c r="B799" s="34"/>
      <c r="C799" s="27"/>
      <c r="D799" s="27"/>
      <c r="E799" s="27"/>
      <c r="F799" s="27"/>
      <c r="G799" s="27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</row>
    <row r="800" spans="1:48" ht="12.75" customHeight="1">
      <c r="A800" s="26"/>
      <c r="B800" s="34"/>
      <c r="C800" s="27"/>
      <c r="D800" s="27"/>
      <c r="E800" s="27"/>
      <c r="F800" s="27"/>
      <c r="G800" s="27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</row>
    <row r="801" spans="1:48" ht="12.75" customHeight="1">
      <c r="A801" s="26"/>
      <c r="B801" s="34"/>
      <c r="C801" s="27"/>
      <c r="D801" s="27"/>
      <c r="E801" s="27"/>
      <c r="F801" s="27"/>
      <c r="G801" s="27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</row>
    <row r="802" spans="1:48" ht="12.75" customHeight="1">
      <c r="A802" s="26"/>
      <c r="B802" s="34"/>
      <c r="C802" s="27"/>
      <c r="D802" s="27"/>
      <c r="E802" s="27"/>
      <c r="F802" s="27"/>
      <c r="G802" s="27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</row>
    <row r="803" spans="1:48" ht="12.75" customHeight="1">
      <c r="A803" s="26"/>
      <c r="B803" s="34"/>
      <c r="C803" s="27"/>
      <c r="D803" s="27"/>
      <c r="E803" s="27"/>
      <c r="F803" s="27"/>
      <c r="G803" s="27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</row>
    <row r="804" spans="1:48" ht="12.75" customHeight="1">
      <c r="A804" s="26"/>
      <c r="B804" s="34"/>
      <c r="C804" s="27"/>
      <c r="D804" s="27"/>
      <c r="E804" s="27"/>
      <c r="F804" s="27"/>
      <c r="G804" s="27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</row>
    <row r="805" spans="1:48" ht="12.75" customHeight="1">
      <c r="A805" s="26"/>
      <c r="B805" s="34"/>
      <c r="C805" s="27"/>
      <c r="D805" s="27"/>
      <c r="E805" s="27"/>
      <c r="F805" s="27"/>
      <c r="G805" s="27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</row>
    <row r="806" spans="1:48" ht="12.75" customHeight="1">
      <c r="A806" s="26"/>
      <c r="B806" s="34"/>
      <c r="C806" s="27"/>
      <c r="D806" s="27"/>
      <c r="E806" s="27"/>
      <c r="F806" s="27"/>
      <c r="G806" s="27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</row>
    <row r="807" spans="1:48" ht="12.75" customHeight="1">
      <c r="A807" s="26"/>
      <c r="B807" s="34"/>
      <c r="C807" s="27"/>
      <c r="D807" s="27"/>
      <c r="E807" s="27"/>
      <c r="F807" s="27"/>
      <c r="G807" s="27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</row>
    <row r="808" spans="1:48" ht="12.75" customHeight="1">
      <c r="A808" s="26"/>
      <c r="B808" s="34"/>
      <c r="C808" s="27"/>
      <c r="D808" s="27"/>
      <c r="E808" s="27"/>
      <c r="F808" s="27"/>
      <c r="G808" s="27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</row>
    <row r="809" spans="1:48" ht="12.75" customHeight="1">
      <c r="A809" s="26"/>
      <c r="B809" s="34"/>
      <c r="C809" s="27"/>
      <c r="D809" s="27"/>
      <c r="E809" s="27"/>
      <c r="F809" s="27"/>
      <c r="G809" s="27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</row>
    <row r="810" spans="1:48" ht="12.75" customHeight="1">
      <c r="A810" s="26"/>
      <c r="B810" s="34"/>
      <c r="C810" s="27"/>
      <c r="D810" s="27"/>
      <c r="E810" s="27"/>
      <c r="F810" s="27"/>
      <c r="G810" s="27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</row>
    <row r="811" spans="1:48" ht="12.75" customHeight="1">
      <c r="A811" s="26"/>
      <c r="B811" s="34"/>
      <c r="C811" s="27"/>
      <c r="D811" s="27"/>
      <c r="E811" s="27"/>
      <c r="F811" s="27"/>
      <c r="G811" s="27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</row>
    <row r="812" spans="1:48" ht="12.75" customHeight="1">
      <c r="A812" s="26"/>
      <c r="B812" s="34"/>
      <c r="C812" s="27"/>
      <c r="D812" s="27"/>
      <c r="E812" s="27"/>
      <c r="F812" s="27"/>
      <c r="G812" s="27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</row>
    <row r="813" spans="1:48" ht="12.75" customHeight="1">
      <c r="A813" s="26"/>
      <c r="B813" s="34"/>
      <c r="C813" s="27"/>
      <c r="D813" s="27"/>
      <c r="E813" s="27"/>
      <c r="F813" s="27"/>
      <c r="G813" s="27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</row>
    <row r="814" spans="1:48" ht="12.75" customHeight="1">
      <c r="A814" s="26"/>
      <c r="B814" s="34"/>
      <c r="C814" s="27"/>
      <c r="D814" s="27"/>
      <c r="E814" s="27"/>
      <c r="F814" s="27"/>
      <c r="G814" s="27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</row>
    <row r="815" spans="1:48" ht="12.75" customHeight="1">
      <c r="A815" s="26"/>
      <c r="B815" s="34"/>
      <c r="C815" s="27"/>
      <c r="D815" s="27"/>
      <c r="E815" s="27"/>
      <c r="F815" s="27"/>
      <c r="G815" s="27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</row>
    <row r="816" spans="1:48" ht="12.75" customHeight="1">
      <c r="A816" s="26"/>
      <c r="B816" s="34"/>
      <c r="C816" s="27"/>
      <c r="D816" s="27"/>
      <c r="E816" s="27"/>
      <c r="F816" s="27"/>
      <c r="G816" s="27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</row>
    <row r="817" spans="1:48" ht="12.75" customHeight="1">
      <c r="A817" s="26"/>
      <c r="B817" s="34"/>
      <c r="C817" s="27"/>
      <c r="D817" s="27"/>
      <c r="E817" s="27"/>
      <c r="F817" s="27"/>
      <c r="G817" s="27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</row>
    <row r="818" spans="1:48" ht="12.75" customHeight="1">
      <c r="A818" s="26"/>
      <c r="B818" s="34"/>
      <c r="C818" s="27"/>
      <c r="D818" s="27"/>
      <c r="E818" s="27"/>
      <c r="F818" s="27"/>
      <c r="G818" s="27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</row>
    <row r="819" spans="1:48" ht="12.75" customHeight="1">
      <c r="A819" s="26"/>
      <c r="B819" s="34"/>
      <c r="C819" s="27"/>
      <c r="D819" s="27"/>
      <c r="E819" s="27"/>
      <c r="F819" s="27"/>
      <c r="G819" s="27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</row>
    <row r="820" spans="1:48" ht="12.75" customHeight="1">
      <c r="A820" s="26"/>
      <c r="B820" s="34"/>
      <c r="C820" s="27"/>
      <c r="D820" s="27"/>
      <c r="E820" s="27"/>
      <c r="F820" s="27"/>
      <c r="G820" s="27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</row>
    <row r="821" spans="1:48" ht="12.75" customHeight="1">
      <c r="A821" s="26"/>
      <c r="B821" s="34"/>
      <c r="C821" s="27"/>
      <c r="D821" s="27"/>
      <c r="E821" s="27"/>
      <c r="F821" s="27"/>
      <c r="G821" s="27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</row>
    <row r="822" spans="1:48" ht="12.75" customHeight="1">
      <c r="A822" s="26"/>
      <c r="B822" s="34"/>
      <c r="C822" s="27"/>
      <c r="D822" s="27"/>
      <c r="E822" s="27"/>
      <c r="F822" s="27"/>
      <c r="G822" s="27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</row>
    <row r="823" spans="1:48" ht="12.75" customHeight="1">
      <c r="A823" s="26"/>
      <c r="B823" s="34"/>
      <c r="C823" s="27"/>
      <c r="D823" s="27"/>
      <c r="E823" s="27"/>
      <c r="F823" s="27"/>
      <c r="G823" s="27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</row>
    <row r="824" spans="1:48" ht="12.75" customHeight="1">
      <c r="A824" s="26"/>
      <c r="B824" s="34"/>
      <c r="C824" s="27"/>
      <c r="D824" s="27"/>
      <c r="E824" s="27"/>
      <c r="F824" s="27"/>
      <c r="G824" s="27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</row>
    <row r="825" spans="1:48" ht="12.75" customHeight="1">
      <c r="A825" s="26"/>
      <c r="B825" s="34"/>
      <c r="C825" s="27"/>
      <c r="D825" s="27"/>
      <c r="E825" s="27"/>
      <c r="F825" s="27"/>
      <c r="G825" s="27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</row>
    <row r="826" spans="1:48" ht="12.75" customHeight="1">
      <c r="A826" s="26"/>
      <c r="B826" s="34"/>
      <c r="C826" s="27"/>
      <c r="D826" s="27"/>
      <c r="E826" s="27"/>
      <c r="F826" s="27"/>
      <c r="G826" s="27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</row>
    <row r="827" spans="1:48" ht="12.75" customHeight="1">
      <c r="A827" s="26"/>
      <c r="B827" s="34"/>
      <c r="C827" s="27"/>
      <c r="D827" s="27"/>
      <c r="E827" s="27"/>
      <c r="F827" s="27"/>
      <c r="G827" s="27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</row>
    <row r="828" spans="1:48" ht="12.75" customHeight="1">
      <c r="A828" s="26"/>
      <c r="B828" s="34"/>
      <c r="C828" s="27"/>
      <c r="D828" s="27"/>
      <c r="E828" s="27"/>
      <c r="F828" s="27"/>
      <c r="G828" s="27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</row>
    <row r="829" spans="1:48" ht="12.75" customHeight="1">
      <c r="A829" s="26"/>
      <c r="B829" s="34"/>
      <c r="C829" s="27"/>
      <c r="D829" s="27"/>
      <c r="E829" s="27"/>
      <c r="F829" s="27"/>
      <c r="G829" s="27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</row>
    <row r="830" spans="1:48" ht="12.75" customHeight="1">
      <c r="A830" s="26"/>
      <c r="B830" s="34"/>
      <c r="C830" s="27"/>
      <c r="D830" s="27"/>
      <c r="E830" s="27"/>
      <c r="F830" s="27"/>
      <c r="G830" s="27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</row>
    <row r="831" spans="1:48" ht="12.75" customHeight="1">
      <c r="A831" s="26"/>
      <c r="B831" s="34"/>
      <c r="C831" s="27"/>
      <c r="D831" s="27"/>
      <c r="E831" s="27"/>
      <c r="F831" s="27"/>
      <c r="G831" s="27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</row>
    <row r="832" spans="1:48" ht="12.75" customHeight="1">
      <c r="A832" s="26"/>
      <c r="B832" s="34"/>
      <c r="C832" s="27"/>
      <c r="D832" s="27"/>
      <c r="E832" s="27"/>
      <c r="F832" s="27"/>
      <c r="G832" s="27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</row>
    <row r="833" spans="1:48" ht="12.75" customHeight="1">
      <c r="A833" s="26"/>
      <c r="B833" s="34"/>
      <c r="C833" s="27"/>
      <c r="D833" s="27"/>
      <c r="E833" s="27"/>
      <c r="F833" s="27"/>
      <c r="G833" s="27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</row>
    <row r="834" spans="1:48" ht="12.75" customHeight="1">
      <c r="A834" s="26"/>
      <c r="B834" s="34"/>
      <c r="C834" s="27"/>
      <c r="D834" s="27"/>
      <c r="E834" s="27"/>
      <c r="F834" s="27"/>
      <c r="G834" s="27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</row>
    <row r="835" spans="1:48" ht="12.75" customHeight="1">
      <c r="A835" s="26"/>
      <c r="B835" s="34"/>
      <c r="C835" s="27"/>
      <c r="D835" s="27"/>
      <c r="E835" s="27"/>
      <c r="F835" s="27"/>
      <c r="G835" s="27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</row>
    <row r="836" spans="1:48" ht="12.75" customHeight="1">
      <c r="A836" s="26"/>
      <c r="B836" s="34"/>
      <c r="C836" s="27"/>
      <c r="D836" s="27"/>
      <c r="E836" s="27"/>
      <c r="F836" s="27"/>
      <c r="G836" s="27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</row>
    <row r="837" spans="1:48" ht="12.75" customHeight="1">
      <c r="A837" s="26"/>
      <c r="B837" s="34"/>
      <c r="C837" s="27"/>
      <c r="D837" s="27"/>
      <c r="E837" s="27"/>
      <c r="F837" s="27"/>
      <c r="G837" s="27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</row>
    <row r="838" spans="1:48" ht="12.75" customHeight="1">
      <c r="A838" s="26"/>
      <c r="B838" s="34"/>
      <c r="C838" s="27"/>
      <c r="D838" s="27"/>
      <c r="E838" s="27"/>
      <c r="F838" s="27"/>
      <c r="G838" s="27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</row>
    <row r="839" spans="1:48" ht="12.75" customHeight="1">
      <c r="A839" s="26"/>
      <c r="B839" s="34"/>
      <c r="C839" s="27"/>
      <c r="D839" s="27"/>
      <c r="E839" s="27"/>
      <c r="F839" s="27"/>
      <c r="G839" s="27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</row>
    <row r="840" spans="1:48" ht="12.75" customHeight="1">
      <c r="A840" s="26"/>
      <c r="B840" s="34"/>
      <c r="C840" s="27"/>
      <c r="D840" s="27"/>
      <c r="E840" s="27"/>
      <c r="F840" s="27"/>
      <c r="G840" s="27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</row>
    <row r="841" spans="1:48" ht="12.75" customHeight="1">
      <c r="A841" s="26"/>
      <c r="B841" s="34"/>
      <c r="C841" s="27"/>
      <c r="D841" s="27"/>
      <c r="E841" s="27"/>
      <c r="F841" s="27"/>
      <c r="G841" s="27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</row>
    <row r="842" spans="1:48" ht="12.75" customHeight="1">
      <c r="A842" s="26"/>
      <c r="B842" s="34"/>
      <c r="C842" s="27"/>
      <c r="D842" s="27"/>
      <c r="E842" s="27"/>
      <c r="F842" s="27"/>
      <c r="G842" s="27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</row>
    <row r="843" spans="1:48" ht="12.75" customHeight="1">
      <c r="A843" s="26"/>
      <c r="B843" s="34"/>
      <c r="C843" s="27"/>
      <c r="D843" s="27"/>
      <c r="E843" s="27"/>
      <c r="F843" s="27"/>
      <c r="G843" s="27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</row>
    <row r="844" spans="1:48" ht="12.75" customHeight="1">
      <c r="A844" s="26"/>
      <c r="B844" s="34"/>
      <c r="C844" s="27"/>
      <c r="D844" s="27"/>
      <c r="E844" s="27"/>
      <c r="F844" s="27"/>
      <c r="G844" s="27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</row>
    <row r="845" spans="1:48" ht="12.75" customHeight="1">
      <c r="A845" s="26"/>
      <c r="B845" s="34"/>
      <c r="C845" s="27"/>
      <c r="D845" s="27"/>
      <c r="E845" s="27"/>
      <c r="F845" s="27"/>
      <c r="G845" s="27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</row>
    <row r="846" spans="1:48" ht="12.75" customHeight="1">
      <c r="A846" s="26"/>
      <c r="B846" s="34"/>
      <c r="C846" s="27"/>
      <c r="D846" s="27"/>
      <c r="E846" s="27"/>
      <c r="F846" s="27"/>
      <c r="G846" s="27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</row>
    <row r="847" spans="1:48" ht="12.75" customHeight="1">
      <c r="A847" s="26"/>
      <c r="B847" s="34"/>
      <c r="C847" s="27"/>
      <c r="D847" s="27"/>
      <c r="E847" s="27"/>
      <c r="F847" s="27"/>
      <c r="G847" s="27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</row>
    <row r="848" spans="1:48" ht="12.75" customHeight="1">
      <c r="A848" s="26"/>
      <c r="B848" s="34"/>
      <c r="C848" s="27"/>
      <c r="D848" s="27"/>
      <c r="E848" s="27"/>
      <c r="F848" s="27"/>
      <c r="G848" s="27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</row>
    <row r="849" spans="1:48" ht="12.75" customHeight="1">
      <c r="A849" s="26"/>
      <c r="B849" s="34"/>
      <c r="C849" s="27"/>
      <c r="D849" s="27"/>
      <c r="E849" s="27"/>
      <c r="F849" s="27"/>
      <c r="G849" s="27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</row>
    <row r="850" spans="1:48" ht="12.75" customHeight="1">
      <c r="A850" s="26"/>
      <c r="B850" s="34"/>
      <c r="C850" s="27"/>
      <c r="D850" s="27"/>
      <c r="E850" s="27"/>
      <c r="F850" s="27"/>
      <c r="G850" s="27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</row>
    <row r="851" spans="1:48" ht="12.75" customHeight="1">
      <c r="A851" s="26"/>
      <c r="B851" s="34"/>
      <c r="C851" s="27"/>
      <c r="D851" s="27"/>
      <c r="E851" s="27"/>
      <c r="F851" s="27"/>
      <c r="G851" s="27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</row>
    <row r="852" spans="1:48" ht="12.75" customHeight="1">
      <c r="A852" s="26"/>
      <c r="B852" s="34"/>
      <c r="C852" s="27"/>
      <c r="D852" s="27"/>
      <c r="E852" s="27"/>
      <c r="F852" s="27"/>
      <c r="G852" s="27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</row>
    <row r="853" spans="1:48" ht="12.75" customHeight="1">
      <c r="A853" s="26"/>
      <c r="B853" s="34"/>
      <c r="C853" s="27"/>
      <c r="D853" s="27"/>
      <c r="E853" s="27"/>
      <c r="F853" s="27"/>
      <c r="G853" s="27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</row>
    <row r="854" spans="1:48" ht="12.75" customHeight="1">
      <c r="A854" s="26"/>
      <c r="B854" s="34"/>
      <c r="C854" s="27"/>
      <c r="D854" s="27"/>
      <c r="E854" s="27"/>
      <c r="F854" s="27"/>
      <c r="G854" s="27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</row>
    <row r="855" spans="1:48" ht="12.75" customHeight="1">
      <c r="A855" s="26"/>
      <c r="B855" s="34"/>
      <c r="C855" s="27"/>
      <c r="D855" s="27"/>
      <c r="E855" s="27"/>
      <c r="F855" s="27"/>
      <c r="G855" s="27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</row>
    <row r="856" spans="1:48" ht="12.75" customHeight="1">
      <c r="A856" s="26"/>
      <c r="B856" s="34"/>
      <c r="C856" s="27"/>
      <c r="D856" s="27"/>
      <c r="E856" s="27"/>
      <c r="F856" s="27"/>
      <c r="G856" s="27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</row>
    <row r="857" spans="1:48" ht="12.75" customHeight="1">
      <c r="A857" s="26"/>
      <c r="B857" s="34"/>
      <c r="C857" s="27"/>
      <c r="D857" s="27"/>
      <c r="E857" s="27"/>
      <c r="F857" s="27"/>
      <c r="G857" s="27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</row>
    <row r="858" spans="1:48" ht="12.75" customHeight="1">
      <c r="A858" s="26"/>
      <c r="B858" s="34"/>
      <c r="C858" s="27"/>
      <c r="D858" s="27"/>
      <c r="E858" s="27"/>
      <c r="F858" s="27"/>
      <c r="G858" s="27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</row>
    <row r="859" spans="1:48" ht="12.75" customHeight="1">
      <c r="A859" s="26"/>
      <c r="B859" s="34"/>
      <c r="C859" s="27"/>
      <c r="D859" s="27"/>
      <c r="E859" s="27"/>
      <c r="F859" s="27"/>
      <c r="G859" s="27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</row>
    <row r="860" spans="1:48" ht="12.75" customHeight="1">
      <c r="A860" s="26"/>
      <c r="B860" s="34"/>
      <c r="C860" s="27"/>
      <c r="D860" s="27"/>
      <c r="E860" s="27"/>
      <c r="F860" s="27"/>
      <c r="G860" s="27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</row>
    <row r="861" spans="1:48" ht="12.75" customHeight="1">
      <c r="A861" s="26"/>
      <c r="B861" s="34"/>
      <c r="C861" s="27"/>
      <c r="D861" s="27"/>
      <c r="E861" s="27"/>
      <c r="F861" s="27"/>
      <c r="G861" s="27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</row>
    <row r="862" spans="1:48" ht="12.75" customHeight="1">
      <c r="A862" s="26"/>
      <c r="B862" s="34"/>
      <c r="C862" s="27"/>
      <c r="D862" s="27"/>
      <c r="E862" s="27"/>
      <c r="F862" s="27"/>
      <c r="G862" s="27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</row>
    <row r="863" spans="1:48" ht="12.75" customHeight="1">
      <c r="A863" s="26"/>
      <c r="B863" s="34"/>
      <c r="C863" s="27"/>
      <c r="D863" s="27"/>
      <c r="E863" s="27"/>
      <c r="F863" s="27"/>
      <c r="G863" s="27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</row>
    <row r="864" spans="1:48" ht="12.75" customHeight="1">
      <c r="A864" s="26"/>
      <c r="B864" s="34"/>
      <c r="C864" s="27"/>
      <c r="D864" s="27"/>
      <c r="E864" s="27"/>
      <c r="F864" s="27"/>
      <c r="G864" s="27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</row>
    <row r="865" spans="1:48" ht="12.75" customHeight="1">
      <c r="A865" s="26"/>
      <c r="B865" s="34"/>
      <c r="C865" s="27"/>
      <c r="D865" s="27"/>
      <c r="E865" s="27"/>
      <c r="F865" s="27"/>
      <c r="G865" s="27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</row>
    <row r="866" spans="1:48" ht="12.75" customHeight="1">
      <c r="A866" s="26"/>
      <c r="B866" s="34"/>
      <c r="C866" s="27"/>
      <c r="D866" s="27"/>
      <c r="E866" s="27"/>
      <c r="F866" s="27"/>
      <c r="G866" s="27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</row>
    <row r="867" spans="1:48" ht="12.75" customHeight="1">
      <c r="A867" s="26"/>
      <c r="B867" s="34"/>
      <c r="C867" s="27"/>
      <c r="D867" s="27"/>
      <c r="E867" s="27"/>
      <c r="F867" s="27"/>
      <c r="G867" s="27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</row>
    <row r="868" spans="1:48" ht="12.75" customHeight="1">
      <c r="A868" s="26"/>
      <c r="B868" s="34"/>
      <c r="C868" s="27"/>
      <c r="D868" s="27"/>
      <c r="E868" s="27"/>
      <c r="F868" s="27"/>
      <c r="G868" s="27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</row>
    <row r="869" spans="1:48" ht="12.75" customHeight="1">
      <c r="A869" s="26"/>
      <c r="B869" s="34"/>
      <c r="C869" s="27"/>
      <c r="D869" s="27"/>
      <c r="E869" s="27"/>
      <c r="F869" s="27"/>
      <c r="G869" s="27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</row>
    <row r="870" spans="1:48" ht="12.75" customHeight="1">
      <c r="A870" s="26"/>
      <c r="B870" s="34"/>
      <c r="C870" s="27"/>
      <c r="D870" s="27"/>
      <c r="E870" s="27"/>
      <c r="F870" s="27"/>
      <c r="G870" s="27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</row>
    <row r="871" spans="1:48" ht="12.75" customHeight="1">
      <c r="A871" s="26"/>
      <c r="B871" s="34"/>
      <c r="C871" s="27"/>
      <c r="D871" s="27"/>
      <c r="E871" s="27"/>
      <c r="F871" s="27"/>
      <c r="G871" s="27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</row>
    <row r="872" spans="1:48" ht="12.75" customHeight="1">
      <c r="A872" s="26"/>
      <c r="B872" s="34"/>
      <c r="C872" s="27"/>
      <c r="D872" s="27"/>
      <c r="E872" s="27"/>
      <c r="F872" s="27"/>
      <c r="G872" s="27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</row>
    <row r="873" spans="1:48" ht="12.75" customHeight="1">
      <c r="A873" s="26"/>
      <c r="B873" s="34"/>
      <c r="C873" s="27"/>
      <c r="D873" s="27"/>
      <c r="E873" s="27"/>
      <c r="F873" s="27"/>
      <c r="G873" s="27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</row>
    <row r="874" spans="1:48" ht="12.75" customHeight="1">
      <c r="A874" s="26"/>
      <c r="B874" s="34"/>
      <c r="C874" s="27"/>
      <c r="D874" s="27"/>
      <c r="E874" s="27"/>
      <c r="F874" s="27"/>
      <c r="G874" s="27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</row>
    <row r="875" spans="1:48" ht="12.75" customHeight="1">
      <c r="A875" s="26"/>
      <c r="B875" s="34"/>
      <c r="C875" s="27"/>
      <c r="D875" s="27"/>
      <c r="E875" s="27"/>
      <c r="F875" s="27"/>
      <c r="G875" s="27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</row>
    <row r="876" spans="1:48" ht="12.75" customHeight="1">
      <c r="A876" s="26"/>
      <c r="B876" s="34"/>
      <c r="C876" s="27"/>
      <c r="D876" s="27"/>
      <c r="E876" s="27"/>
      <c r="F876" s="27"/>
      <c r="G876" s="27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</row>
    <row r="877" spans="1:48" ht="12.75" customHeight="1">
      <c r="A877" s="26"/>
      <c r="B877" s="34"/>
      <c r="C877" s="27"/>
      <c r="D877" s="27"/>
      <c r="E877" s="27"/>
      <c r="F877" s="27"/>
      <c r="G877" s="27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</row>
    <row r="878" spans="1:48" ht="12.75" customHeight="1">
      <c r="A878" s="26"/>
      <c r="B878" s="34"/>
      <c r="C878" s="27"/>
      <c r="D878" s="27"/>
      <c r="E878" s="27"/>
      <c r="F878" s="27"/>
      <c r="G878" s="27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</row>
    <row r="879" spans="1:48" ht="12.75" customHeight="1">
      <c r="A879" s="26"/>
      <c r="B879" s="34"/>
      <c r="C879" s="27"/>
      <c r="D879" s="27"/>
      <c r="E879" s="27"/>
      <c r="F879" s="27"/>
      <c r="G879" s="27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</row>
    <row r="880" spans="1:48" ht="12.75" customHeight="1">
      <c r="A880" s="26"/>
      <c r="B880" s="34"/>
      <c r="C880" s="27"/>
      <c r="D880" s="27"/>
      <c r="E880" s="27"/>
      <c r="F880" s="27"/>
      <c r="G880" s="27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</row>
    <row r="881" spans="1:48" ht="12.75" customHeight="1">
      <c r="A881" s="26"/>
      <c r="B881" s="34"/>
      <c r="C881" s="27"/>
      <c r="D881" s="27"/>
      <c r="E881" s="27"/>
      <c r="F881" s="27"/>
      <c r="G881" s="27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</row>
    <row r="882" spans="1:48" ht="12.75" customHeight="1">
      <c r="A882" s="26"/>
      <c r="B882" s="34"/>
      <c r="C882" s="27"/>
      <c r="D882" s="27"/>
      <c r="E882" s="27"/>
      <c r="F882" s="27"/>
      <c r="G882" s="27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</row>
    <row r="883" spans="1:48" ht="12.75" customHeight="1">
      <c r="A883" s="26"/>
      <c r="B883" s="34"/>
      <c r="C883" s="27"/>
      <c r="D883" s="27"/>
      <c r="E883" s="27"/>
      <c r="F883" s="27"/>
      <c r="G883" s="27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</row>
    <row r="884" spans="1:48" ht="12.75" customHeight="1">
      <c r="A884" s="26"/>
      <c r="B884" s="34"/>
      <c r="C884" s="27"/>
      <c r="D884" s="27"/>
      <c r="E884" s="27"/>
      <c r="F884" s="27"/>
      <c r="G884" s="27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</row>
    <row r="885" spans="1:48" ht="12.75" customHeight="1">
      <c r="A885" s="26"/>
      <c r="B885" s="34"/>
      <c r="C885" s="27"/>
      <c r="D885" s="27"/>
      <c r="E885" s="27"/>
      <c r="F885" s="27"/>
      <c r="G885" s="27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</row>
    <row r="886" spans="1:48" ht="12.75" customHeight="1">
      <c r="A886" s="26"/>
      <c r="B886" s="34"/>
      <c r="C886" s="27"/>
      <c r="D886" s="27"/>
      <c r="E886" s="27"/>
      <c r="F886" s="27"/>
      <c r="G886" s="27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</row>
    <row r="887" spans="1:48" ht="12.75" customHeight="1">
      <c r="A887" s="26"/>
      <c r="B887" s="34"/>
      <c r="C887" s="27"/>
      <c r="D887" s="27"/>
      <c r="E887" s="27"/>
      <c r="F887" s="27"/>
      <c r="G887" s="27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</row>
    <row r="888" spans="1:48" ht="12.75" customHeight="1">
      <c r="A888" s="26"/>
      <c r="B888" s="34"/>
      <c r="C888" s="27"/>
      <c r="D888" s="27"/>
      <c r="E888" s="27"/>
      <c r="F888" s="27"/>
      <c r="G888" s="27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</row>
    <row r="889" spans="1:48" ht="12.75" customHeight="1">
      <c r="A889" s="26"/>
      <c r="B889" s="34"/>
      <c r="C889" s="27"/>
      <c r="D889" s="27"/>
      <c r="E889" s="27"/>
      <c r="F889" s="27"/>
      <c r="G889" s="27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</row>
    <row r="890" spans="1:48" ht="12.75" customHeight="1">
      <c r="A890" s="26"/>
      <c r="B890" s="34"/>
      <c r="C890" s="27"/>
      <c r="D890" s="27"/>
      <c r="E890" s="27"/>
      <c r="F890" s="27"/>
      <c r="G890" s="27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</row>
    <row r="891" spans="1:48" ht="12.75" customHeight="1">
      <c r="A891" s="26"/>
      <c r="B891" s="34"/>
      <c r="C891" s="27"/>
      <c r="D891" s="27"/>
      <c r="E891" s="27"/>
      <c r="F891" s="27"/>
      <c r="G891" s="27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</row>
    <row r="892" spans="1:48" ht="12.75" customHeight="1">
      <c r="A892" s="26"/>
      <c r="B892" s="34"/>
      <c r="C892" s="27"/>
      <c r="D892" s="27"/>
      <c r="E892" s="27"/>
      <c r="F892" s="27"/>
      <c r="G892" s="27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</row>
    <row r="893" spans="1:48" ht="12.75" customHeight="1">
      <c r="A893" s="26"/>
      <c r="B893" s="34"/>
      <c r="C893" s="27"/>
      <c r="D893" s="27"/>
      <c r="E893" s="27"/>
      <c r="F893" s="27"/>
      <c r="G893" s="27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</row>
    <row r="894" spans="1:48" ht="12.75" customHeight="1">
      <c r="A894" s="26"/>
      <c r="B894" s="34"/>
      <c r="C894" s="27"/>
      <c r="D894" s="27"/>
      <c r="E894" s="27"/>
      <c r="F894" s="27"/>
      <c r="G894" s="27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</row>
    <row r="895" spans="1:48" ht="12.75" customHeight="1">
      <c r="A895" s="26"/>
      <c r="B895" s="34"/>
      <c r="C895" s="27"/>
      <c r="D895" s="27"/>
      <c r="E895" s="27"/>
      <c r="F895" s="27"/>
      <c r="G895" s="27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</row>
    <row r="896" spans="1:48" ht="12.75" customHeight="1">
      <c r="A896" s="26"/>
      <c r="B896" s="34"/>
      <c r="C896" s="27"/>
      <c r="D896" s="27"/>
      <c r="E896" s="27"/>
      <c r="F896" s="27"/>
      <c r="G896" s="27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</row>
    <row r="897" spans="1:48" ht="12.75" customHeight="1">
      <c r="A897" s="26"/>
      <c r="B897" s="34"/>
      <c r="C897" s="27"/>
      <c r="D897" s="27"/>
      <c r="E897" s="27"/>
      <c r="F897" s="27"/>
      <c r="G897" s="27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</row>
    <row r="898" spans="1:48" ht="12.75" customHeight="1">
      <c r="A898" s="26"/>
      <c r="B898" s="34"/>
      <c r="C898" s="27"/>
      <c r="D898" s="27"/>
      <c r="E898" s="27"/>
      <c r="F898" s="27"/>
      <c r="G898" s="27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</row>
    <row r="899" spans="1:48" ht="12.75" customHeight="1">
      <c r="A899" s="26"/>
      <c r="B899" s="34"/>
      <c r="C899" s="27"/>
      <c r="D899" s="27"/>
      <c r="E899" s="27"/>
      <c r="F899" s="27"/>
      <c r="G899" s="27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</row>
    <row r="900" spans="1:48" ht="12.75" customHeight="1">
      <c r="A900" s="26"/>
      <c r="B900" s="34"/>
      <c r="C900" s="27"/>
      <c r="D900" s="27"/>
      <c r="E900" s="27"/>
      <c r="F900" s="27"/>
      <c r="G900" s="27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</row>
    <row r="901" spans="1:48" ht="12.75" customHeight="1">
      <c r="A901" s="26"/>
      <c r="B901" s="34"/>
      <c r="C901" s="27"/>
      <c r="D901" s="27"/>
      <c r="E901" s="27"/>
      <c r="F901" s="27"/>
      <c r="G901" s="27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</row>
    <row r="902" spans="1:48" ht="12.75" customHeight="1">
      <c r="A902" s="26"/>
      <c r="B902" s="34"/>
      <c r="C902" s="27"/>
      <c r="D902" s="27"/>
      <c r="E902" s="27"/>
      <c r="F902" s="27"/>
      <c r="G902" s="27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</row>
    <row r="903" spans="1:48" ht="12.75" customHeight="1">
      <c r="A903" s="26"/>
      <c r="B903" s="34"/>
      <c r="C903" s="27"/>
      <c r="D903" s="27"/>
      <c r="E903" s="27"/>
      <c r="F903" s="27"/>
      <c r="G903" s="27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</row>
    <row r="904" spans="1:48" ht="12.75" customHeight="1">
      <c r="A904" s="26"/>
      <c r="B904" s="34"/>
      <c r="C904" s="27"/>
      <c r="D904" s="27"/>
      <c r="E904" s="27"/>
      <c r="F904" s="27"/>
      <c r="G904" s="27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</row>
    <row r="905" spans="1:48" ht="12.75" customHeight="1">
      <c r="A905" s="26"/>
      <c r="B905" s="34"/>
      <c r="C905" s="27"/>
      <c r="D905" s="27"/>
      <c r="E905" s="27"/>
      <c r="F905" s="27"/>
      <c r="G905" s="27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</row>
    <row r="906" spans="1:48" ht="12.75" customHeight="1">
      <c r="A906" s="26"/>
      <c r="B906" s="34"/>
      <c r="C906" s="27"/>
      <c r="D906" s="27"/>
      <c r="E906" s="27"/>
      <c r="F906" s="27"/>
      <c r="G906" s="27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</row>
    <row r="907" spans="1:48" ht="12.75" customHeight="1">
      <c r="A907" s="26"/>
      <c r="B907" s="34"/>
      <c r="C907" s="27"/>
      <c r="D907" s="27"/>
      <c r="E907" s="27"/>
      <c r="F907" s="27"/>
      <c r="G907" s="27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</row>
    <row r="908" spans="1:48" ht="12.75" customHeight="1">
      <c r="A908" s="26"/>
      <c r="B908" s="34"/>
      <c r="C908" s="27"/>
      <c r="D908" s="27"/>
      <c r="E908" s="27"/>
      <c r="F908" s="27"/>
      <c r="G908" s="27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</row>
    <row r="909" spans="1:48" ht="12.75" customHeight="1">
      <c r="A909" s="26"/>
      <c r="B909" s="34"/>
      <c r="C909" s="27"/>
      <c r="D909" s="27"/>
      <c r="E909" s="27"/>
      <c r="F909" s="27"/>
      <c r="G909" s="27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</row>
    <row r="910" spans="1:48" ht="12.75" customHeight="1">
      <c r="A910" s="26"/>
      <c r="B910" s="34"/>
      <c r="C910" s="27"/>
      <c r="D910" s="27"/>
      <c r="E910" s="27"/>
      <c r="F910" s="27"/>
      <c r="G910" s="27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</row>
    <row r="911" spans="1:48" ht="12.75" customHeight="1">
      <c r="A911" s="26"/>
      <c r="B911" s="34"/>
      <c r="C911" s="27"/>
      <c r="D911" s="27"/>
      <c r="E911" s="27"/>
      <c r="F911" s="27"/>
      <c r="G911" s="27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</row>
    <row r="912" spans="1:48" ht="12.75" customHeight="1">
      <c r="A912" s="26"/>
      <c r="B912" s="34"/>
      <c r="C912" s="27"/>
      <c r="D912" s="27"/>
      <c r="E912" s="27"/>
      <c r="F912" s="27"/>
      <c r="G912" s="27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</row>
    <row r="913" spans="1:48" ht="12.75" customHeight="1">
      <c r="A913" s="26"/>
      <c r="B913" s="34"/>
      <c r="C913" s="27"/>
      <c r="D913" s="27"/>
      <c r="E913" s="27"/>
      <c r="F913" s="27"/>
      <c r="G913" s="27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</row>
    <row r="914" spans="1:48" ht="12.75" customHeight="1">
      <c r="A914" s="26"/>
      <c r="B914" s="34"/>
      <c r="C914" s="27"/>
      <c r="D914" s="27"/>
      <c r="E914" s="27"/>
      <c r="F914" s="27"/>
      <c r="G914" s="27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</row>
    <row r="915" spans="1:48" ht="12.75" customHeight="1">
      <c r="A915" s="26"/>
      <c r="B915" s="34"/>
      <c r="C915" s="27"/>
      <c r="D915" s="27"/>
      <c r="E915" s="27"/>
      <c r="F915" s="27"/>
      <c r="G915" s="27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</row>
    <row r="916" spans="1:48" ht="12.75" customHeight="1">
      <c r="A916" s="26"/>
      <c r="B916" s="34"/>
      <c r="C916" s="27"/>
      <c r="D916" s="27"/>
      <c r="E916" s="27"/>
      <c r="F916" s="27"/>
      <c r="G916" s="27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</row>
    <row r="917" spans="1:48" ht="12.75" customHeight="1">
      <c r="A917" s="26"/>
      <c r="B917" s="34"/>
      <c r="C917" s="27"/>
      <c r="D917" s="27"/>
      <c r="E917" s="27"/>
      <c r="F917" s="27"/>
      <c r="G917" s="27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</row>
    <row r="918" spans="1:48" ht="12.75" customHeight="1">
      <c r="A918" s="26"/>
      <c r="B918" s="34"/>
      <c r="C918" s="27"/>
      <c r="D918" s="27"/>
      <c r="E918" s="27"/>
      <c r="F918" s="27"/>
      <c r="G918" s="27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</row>
    <row r="919" spans="1:48" ht="12.75" customHeight="1">
      <c r="A919" s="26"/>
      <c r="B919" s="34"/>
      <c r="C919" s="27"/>
      <c r="D919" s="27"/>
      <c r="E919" s="27"/>
      <c r="F919" s="27"/>
      <c r="G919" s="27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</row>
    <row r="920" spans="1:48" ht="12.75" customHeight="1">
      <c r="A920" s="26"/>
      <c r="B920" s="34"/>
      <c r="C920" s="27"/>
      <c r="D920" s="27"/>
      <c r="E920" s="27"/>
      <c r="F920" s="27"/>
      <c r="G920" s="27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</row>
    <row r="921" spans="1:48" ht="12.75" customHeight="1">
      <c r="A921" s="26"/>
      <c r="B921" s="34"/>
      <c r="C921" s="27"/>
      <c r="D921" s="27"/>
      <c r="E921" s="27"/>
      <c r="F921" s="27"/>
      <c r="G921" s="27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</row>
    <row r="922" spans="1:48" ht="12.75" customHeight="1">
      <c r="A922" s="26"/>
      <c r="B922" s="34"/>
      <c r="C922" s="27"/>
      <c r="D922" s="27"/>
      <c r="E922" s="27"/>
      <c r="F922" s="27"/>
      <c r="G922" s="27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</row>
    <row r="923" spans="1:48" ht="12.75" customHeight="1">
      <c r="A923" s="26"/>
      <c r="B923" s="34"/>
      <c r="C923" s="27"/>
      <c r="D923" s="27"/>
      <c r="E923" s="27"/>
      <c r="F923" s="27"/>
      <c r="G923" s="27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</row>
    <row r="924" spans="1:48" ht="12.75" customHeight="1">
      <c r="A924" s="26"/>
      <c r="B924" s="34"/>
      <c r="C924" s="27"/>
      <c r="D924" s="27"/>
      <c r="E924" s="27"/>
      <c r="F924" s="27"/>
      <c r="G924" s="27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</row>
    <row r="925" spans="1:48" ht="12.75" customHeight="1">
      <c r="A925" s="26"/>
      <c r="B925" s="34"/>
      <c r="C925" s="27"/>
      <c r="D925" s="27"/>
      <c r="E925" s="27"/>
      <c r="F925" s="27"/>
      <c r="G925" s="27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</row>
    <row r="926" spans="1:48" ht="12.75" customHeight="1">
      <c r="A926" s="26"/>
      <c r="B926" s="34"/>
      <c r="C926" s="27"/>
      <c r="D926" s="27"/>
      <c r="E926" s="27"/>
      <c r="F926" s="27"/>
      <c r="G926" s="27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</row>
    <row r="927" spans="1:48" ht="12.75" customHeight="1">
      <c r="A927" s="26"/>
      <c r="B927" s="34"/>
      <c r="C927" s="27"/>
      <c r="D927" s="27"/>
      <c r="E927" s="27"/>
      <c r="F927" s="27"/>
      <c r="G927" s="27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</row>
    <row r="928" spans="1:48" ht="12.75" customHeight="1">
      <c r="A928" s="26"/>
      <c r="B928" s="34"/>
      <c r="C928" s="27"/>
      <c r="D928" s="27"/>
      <c r="E928" s="27"/>
      <c r="F928" s="27"/>
      <c r="G928" s="27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</row>
    <row r="929" spans="1:48" ht="12.75" customHeight="1">
      <c r="A929" s="26"/>
      <c r="B929" s="34"/>
      <c r="C929" s="27"/>
      <c r="D929" s="27"/>
      <c r="E929" s="27"/>
      <c r="F929" s="27"/>
      <c r="G929" s="27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</row>
    <row r="930" spans="1:48" ht="12.75" customHeight="1">
      <c r="A930" s="26"/>
      <c r="B930" s="34"/>
      <c r="C930" s="27"/>
      <c r="D930" s="27"/>
      <c r="E930" s="27"/>
      <c r="F930" s="27"/>
      <c r="G930" s="27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</row>
    <row r="931" spans="1:48" ht="12.75" customHeight="1">
      <c r="A931" s="26"/>
      <c r="B931" s="34"/>
      <c r="C931" s="27"/>
      <c r="D931" s="27"/>
      <c r="E931" s="27"/>
      <c r="F931" s="27"/>
      <c r="G931" s="27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</row>
    <row r="932" spans="1:48" ht="12.75" customHeight="1">
      <c r="A932" s="26"/>
      <c r="B932" s="34"/>
      <c r="C932" s="27"/>
      <c r="D932" s="27"/>
      <c r="E932" s="27"/>
      <c r="F932" s="27"/>
      <c r="G932" s="27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</row>
    <row r="933" spans="1:48" ht="12.75" customHeight="1">
      <c r="A933" s="26"/>
      <c r="B933" s="34"/>
      <c r="C933" s="27"/>
      <c r="D933" s="27"/>
      <c r="E933" s="27"/>
      <c r="F933" s="27"/>
      <c r="G933" s="27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</row>
    <row r="934" spans="1:48" ht="12.75" customHeight="1">
      <c r="A934" s="26"/>
      <c r="B934" s="34"/>
      <c r="C934" s="27"/>
      <c r="D934" s="27"/>
      <c r="E934" s="27"/>
      <c r="F934" s="27"/>
      <c r="G934" s="27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</row>
    <row r="935" spans="1:48" ht="12.75" customHeight="1">
      <c r="A935" s="26"/>
      <c r="B935" s="34"/>
      <c r="C935" s="27"/>
      <c r="D935" s="27"/>
      <c r="E935" s="27"/>
      <c r="F935" s="27"/>
      <c r="G935" s="27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</row>
    <row r="936" spans="1:48" ht="12.75" customHeight="1">
      <c r="A936" s="26"/>
      <c r="B936" s="34"/>
      <c r="C936" s="27"/>
      <c r="D936" s="27"/>
      <c r="E936" s="27"/>
      <c r="F936" s="27"/>
      <c r="G936" s="27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</row>
    <row r="937" spans="1:48" ht="12.75" customHeight="1">
      <c r="A937" s="26"/>
      <c r="B937" s="34"/>
      <c r="C937" s="27"/>
      <c r="D937" s="27"/>
      <c r="E937" s="27"/>
      <c r="F937" s="27"/>
      <c r="G937" s="27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</row>
    <row r="938" spans="1:48" ht="12.75" customHeight="1">
      <c r="A938" s="26"/>
      <c r="B938" s="34"/>
      <c r="C938" s="27"/>
      <c r="D938" s="27"/>
      <c r="E938" s="27"/>
      <c r="F938" s="27"/>
      <c r="G938" s="27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</row>
    <row r="939" spans="1:48" ht="12.75" customHeight="1">
      <c r="A939" s="26"/>
      <c r="B939" s="34"/>
      <c r="C939" s="27"/>
      <c r="D939" s="27"/>
      <c r="E939" s="27"/>
      <c r="F939" s="27"/>
      <c r="G939" s="27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</row>
    <row r="940" spans="1:48" ht="12.75" customHeight="1">
      <c r="A940" s="26"/>
      <c r="B940" s="34"/>
      <c r="C940" s="27"/>
      <c r="D940" s="27"/>
      <c r="E940" s="27"/>
      <c r="F940" s="27"/>
      <c r="G940" s="27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</row>
    <row r="941" spans="1:48" ht="12.75" customHeight="1">
      <c r="A941" s="26"/>
      <c r="B941" s="34"/>
      <c r="C941" s="27"/>
      <c r="D941" s="27"/>
      <c r="E941" s="27"/>
      <c r="F941" s="27"/>
      <c r="G941" s="27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</row>
    <row r="942" spans="1:48" ht="12.75" customHeight="1">
      <c r="A942" s="26"/>
      <c r="B942" s="34"/>
      <c r="C942" s="27"/>
      <c r="D942" s="27"/>
      <c r="E942" s="27"/>
      <c r="F942" s="27"/>
      <c r="G942" s="27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</row>
    <row r="943" spans="1:48" ht="12.75" customHeight="1">
      <c r="A943" s="26"/>
      <c r="B943" s="34"/>
      <c r="C943" s="27"/>
      <c r="D943" s="27"/>
      <c r="E943" s="27"/>
      <c r="F943" s="27"/>
      <c r="G943" s="27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</row>
    <row r="944" spans="1:48" ht="12.75" customHeight="1">
      <c r="A944" s="26"/>
      <c r="B944" s="34"/>
      <c r="C944" s="27"/>
      <c r="D944" s="27"/>
      <c r="E944" s="27"/>
      <c r="F944" s="27"/>
      <c r="G944" s="27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</row>
    <row r="945" spans="1:48" ht="12.75" customHeight="1">
      <c r="A945" s="26"/>
      <c r="B945" s="34"/>
      <c r="C945" s="27"/>
      <c r="D945" s="27"/>
      <c r="E945" s="27"/>
      <c r="F945" s="27"/>
      <c r="G945" s="27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</row>
    <row r="946" spans="1:48" ht="12.75" customHeight="1">
      <c r="A946" s="26"/>
      <c r="B946" s="34"/>
      <c r="C946" s="27"/>
      <c r="D946" s="27"/>
      <c r="E946" s="27"/>
      <c r="F946" s="27"/>
      <c r="G946" s="27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</row>
    <row r="947" spans="1:48" ht="12.75" customHeight="1">
      <c r="A947" s="26"/>
      <c r="B947" s="34"/>
      <c r="C947" s="27"/>
      <c r="D947" s="27"/>
      <c r="E947" s="27"/>
      <c r="F947" s="27"/>
      <c r="G947" s="27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</row>
    <row r="948" spans="1:48" ht="12.75" customHeight="1">
      <c r="A948" s="26"/>
      <c r="B948" s="34"/>
      <c r="C948" s="27"/>
      <c r="D948" s="27"/>
      <c r="E948" s="27"/>
      <c r="F948" s="27"/>
      <c r="G948" s="27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</row>
    <row r="949" spans="1:48" ht="12.75" customHeight="1">
      <c r="A949" s="26"/>
      <c r="B949" s="34"/>
      <c r="C949" s="27"/>
      <c r="D949" s="27"/>
      <c r="E949" s="27"/>
      <c r="F949" s="27"/>
      <c r="G949" s="27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</row>
    <row r="950" spans="1:48" ht="12.75" customHeight="1">
      <c r="A950" s="26"/>
      <c r="B950" s="34"/>
      <c r="C950" s="27"/>
      <c r="D950" s="27"/>
      <c r="E950" s="27"/>
      <c r="F950" s="27"/>
      <c r="G950" s="27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</row>
    <row r="951" spans="1:48" ht="12.75" customHeight="1">
      <c r="A951" s="26"/>
      <c r="B951" s="34"/>
      <c r="C951" s="27"/>
      <c r="D951" s="27"/>
      <c r="E951" s="27"/>
      <c r="F951" s="27"/>
      <c r="G951" s="27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</row>
    <row r="952" spans="1:48" ht="12.75" customHeight="1">
      <c r="A952" s="26"/>
      <c r="B952" s="34"/>
      <c r="C952" s="27"/>
      <c r="D952" s="27"/>
      <c r="E952" s="27"/>
      <c r="F952" s="27"/>
      <c r="G952" s="27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</row>
    <row r="953" spans="1:48" ht="12.75" customHeight="1">
      <c r="A953" s="26"/>
      <c r="B953" s="34"/>
      <c r="C953" s="27"/>
      <c r="D953" s="27"/>
      <c r="E953" s="27"/>
      <c r="F953" s="27"/>
      <c r="G953" s="27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</row>
    <row r="954" spans="1:48" ht="12.75" customHeight="1">
      <c r="A954" s="26"/>
      <c r="B954" s="34"/>
      <c r="C954" s="27"/>
      <c r="D954" s="27"/>
      <c r="E954" s="27"/>
      <c r="F954" s="27"/>
      <c r="G954" s="27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</row>
    <row r="955" spans="1:48" ht="12.75" customHeight="1">
      <c r="A955" s="26"/>
      <c r="B955" s="34"/>
      <c r="C955" s="27"/>
      <c r="D955" s="27"/>
      <c r="E955" s="27"/>
      <c r="F955" s="27"/>
      <c r="G955" s="27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</row>
    <row r="956" spans="1:48" ht="12.75" customHeight="1">
      <c r="A956" s="26"/>
      <c r="B956" s="34"/>
      <c r="C956" s="27"/>
      <c r="D956" s="27"/>
      <c r="E956" s="27"/>
      <c r="F956" s="27"/>
      <c r="G956" s="27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</row>
    <row r="957" spans="1:48" ht="12.75" customHeight="1">
      <c r="A957" s="26"/>
      <c r="B957" s="34"/>
      <c r="C957" s="27"/>
      <c r="D957" s="27"/>
      <c r="E957" s="27"/>
      <c r="F957" s="27"/>
      <c r="G957" s="27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</row>
    <row r="958" spans="1:48" ht="12.75" customHeight="1">
      <c r="A958" s="26"/>
      <c r="B958" s="34"/>
      <c r="C958" s="27"/>
      <c r="D958" s="27"/>
      <c r="E958" s="27"/>
      <c r="F958" s="27"/>
      <c r="G958" s="27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</row>
    <row r="959" spans="1:48" ht="12.75" customHeight="1">
      <c r="A959" s="26"/>
      <c r="B959" s="34"/>
      <c r="C959" s="27"/>
      <c r="D959" s="27"/>
      <c r="E959" s="27"/>
      <c r="F959" s="27"/>
      <c r="G959" s="27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</row>
    <row r="960" spans="1:48" ht="12.75" customHeight="1">
      <c r="A960" s="26"/>
      <c r="B960" s="34"/>
      <c r="C960" s="27"/>
      <c r="D960" s="27"/>
      <c r="E960" s="27"/>
      <c r="F960" s="27"/>
      <c r="G960" s="27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</row>
    <row r="961" spans="1:48" ht="12.75" customHeight="1">
      <c r="A961" s="26"/>
      <c r="B961" s="34"/>
      <c r="C961" s="27"/>
      <c r="D961" s="27"/>
      <c r="E961" s="27"/>
      <c r="F961" s="27"/>
      <c r="G961" s="27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</row>
    <row r="962" spans="1:48" ht="12.75" customHeight="1">
      <c r="A962" s="26"/>
      <c r="B962" s="34"/>
      <c r="C962" s="27"/>
      <c r="D962" s="27"/>
      <c r="E962" s="27"/>
      <c r="F962" s="27"/>
      <c r="G962" s="27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</row>
    <row r="963" spans="1:48" ht="12.75" customHeight="1">
      <c r="A963" s="26"/>
      <c r="B963" s="34"/>
      <c r="C963" s="27"/>
      <c r="D963" s="27"/>
      <c r="E963" s="27"/>
      <c r="F963" s="27"/>
      <c r="G963" s="27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</row>
    <row r="964" spans="1:48" ht="12.75" customHeight="1">
      <c r="A964" s="26"/>
      <c r="B964" s="34"/>
      <c r="C964" s="27"/>
      <c r="D964" s="27"/>
      <c r="E964" s="27"/>
      <c r="F964" s="27"/>
      <c r="G964" s="27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</row>
    <row r="965" spans="1:48" ht="12.75" customHeight="1">
      <c r="A965" s="26"/>
      <c r="B965" s="34"/>
      <c r="C965" s="27"/>
      <c r="D965" s="27"/>
      <c r="E965" s="27"/>
      <c r="F965" s="27"/>
      <c r="G965" s="27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</row>
    <row r="966" spans="1:48" ht="12.75" customHeight="1">
      <c r="A966" s="26"/>
      <c r="B966" s="34"/>
      <c r="C966" s="27"/>
      <c r="D966" s="27"/>
      <c r="E966" s="27"/>
      <c r="F966" s="27"/>
      <c r="G966" s="27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</row>
    <row r="967" spans="1:48" ht="12.75" customHeight="1">
      <c r="A967" s="26"/>
      <c r="B967" s="34"/>
      <c r="C967" s="27"/>
      <c r="D967" s="27"/>
      <c r="E967" s="27"/>
      <c r="F967" s="27"/>
      <c r="G967" s="27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</row>
    <row r="968" spans="1:48" ht="12.75" customHeight="1">
      <c r="A968" s="26"/>
      <c r="B968" s="34"/>
      <c r="C968" s="27"/>
      <c r="D968" s="27"/>
      <c r="E968" s="27"/>
      <c r="F968" s="27"/>
      <c r="G968" s="27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</row>
    <row r="969" spans="1:48" ht="12.75" customHeight="1">
      <c r="A969" s="26"/>
      <c r="B969" s="34"/>
      <c r="C969" s="27"/>
      <c r="D969" s="27"/>
      <c r="E969" s="27"/>
      <c r="F969" s="27"/>
      <c r="G969" s="27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</row>
    <row r="970" spans="1:48" ht="12.75" customHeight="1">
      <c r="A970" s="26"/>
      <c r="B970" s="34"/>
      <c r="C970" s="27"/>
      <c r="D970" s="27"/>
      <c r="E970" s="27"/>
      <c r="F970" s="27"/>
      <c r="G970" s="27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</row>
    <row r="971" spans="1:48" ht="12.75" customHeight="1">
      <c r="A971" s="26"/>
      <c r="B971" s="34"/>
      <c r="C971" s="27"/>
      <c r="D971" s="27"/>
      <c r="E971" s="27"/>
      <c r="F971" s="27"/>
      <c r="G971" s="27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</row>
    <row r="972" spans="1:48" ht="12.75" customHeight="1">
      <c r="A972" s="26"/>
      <c r="B972" s="34"/>
      <c r="C972" s="27"/>
      <c r="D972" s="27"/>
      <c r="E972" s="27"/>
      <c r="F972" s="27"/>
      <c r="G972" s="27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</row>
    <row r="973" spans="1:48" ht="12.75" customHeight="1">
      <c r="A973" s="26"/>
      <c r="B973" s="34"/>
      <c r="C973" s="27"/>
      <c r="D973" s="27"/>
      <c r="E973" s="27"/>
      <c r="F973" s="27"/>
      <c r="G973" s="27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</row>
    <row r="974" spans="1:48" ht="12.75" customHeight="1">
      <c r="A974" s="26"/>
      <c r="B974" s="34"/>
      <c r="C974" s="27"/>
      <c r="D974" s="27"/>
      <c r="E974" s="27"/>
      <c r="F974" s="27"/>
      <c r="G974" s="27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</row>
    <row r="975" spans="1:48" ht="12.75" customHeight="1">
      <c r="A975" s="26"/>
      <c r="B975" s="34"/>
      <c r="C975" s="27"/>
      <c r="D975" s="27"/>
      <c r="E975" s="27"/>
      <c r="F975" s="27"/>
      <c r="G975" s="27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</row>
    <row r="976" spans="1:48" ht="12.75" customHeight="1">
      <c r="A976" s="26"/>
      <c r="B976" s="34"/>
      <c r="C976" s="27"/>
      <c r="D976" s="27"/>
      <c r="E976" s="27"/>
      <c r="F976" s="27"/>
      <c r="G976" s="27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</row>
    <row r="977" spans="1:48" ht="12.75" customHeight="1">
      <c r="A977" s="26"/>
      <c r="B977" s="34"/>
      <c r="C977" s="27"/>
      <c r="D977" s="27"/>
      <c r="E977" s="27"/>
      <c r="F977" s="27"/>
      <c r="G977" s="27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</row>
    <row r="978" spans="1:48" ht="12.75" customHeight="1">
      <c r="A978" s="26"/>
      <c r="B978" s="34"/>
      <c r="C978" s="27"/>
      <c r="D978" s="27"/>
      <c r="E978" s="27"/>
      <c r="F978" s="27"/>
      <c r="G978" s="27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</row>
    <row r="979" spans="1:48" ht="12.75" customHeight="1">
      <c r="A979" s="26"/>
      <c r="B979" s="34"/>
      <c r="C979" s="27"/>
      <c r="D979" s="27"/>
      <c r="E979" s="27"/>
      <c r="F979" s="27"/>
      <c r="G979" s="27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</row>
    <row r="980" spans="1:48" ht="12.75" customHeight="1">
      <c r="A980" s="26"/>
      <c r="B980" s="34"/>
      <c r="C980" s="27"/>
      <c r="D980" s="27"/>
      <c r="E980" s="27"/>
      <c r="F980" s="27"/>
      <c r="G980" s="27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</row>
    <row r="981" spans="1:48" ht="12.75" customHeight="1">
      <c r="A981" s="26"/>
      <c r="B981" s="34"/>
      <c r="C981" s="27"/>
      <c r="D981" s="27"/>
      <c r="E981" s="27"/>
      <c r="F981" s="27"/>
      <c r="G981" s="27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</row>
    <row r="982" spans="1:48" ht="12.75" customHeight="1">
      <c r="A982" s="26"/>
      <c r="B982" s="34"/>
      <c r="C982" s="27"/>
      <c r="D982" s="27"/>
      <c r="E982" s="27"/>
      <c r="F982" s="27"/>
      <c r="G982" s="27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</row>
    <row r="983" spans="1:48" ht="12.75" customHeight="1">
      <c r="A983" s="26"/>
      <c r="B983" s="34"/>
      <c r="C983" s="27"/>
      <c r="D983" s="27"/>
      <c r="E983" s="27"/>
      <c r="F983" s="27"/>
      <c r="G983" s="27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</row>
    <row r="984" spans="1:48" ht="12.75" customHeight="1">
      <c r="A984" s="26"/>
      <c r="B984" s="34"/>
      <c r="C984" s="27"/>
      <c r="D984" s="27"/>
      <c r="E984" s="27"/>
      <c r="F984" s="27"/>
      <c r="G984" s="27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</row>
    <row r="985" spans="1:48" ht="12.75" customHeight="1">
      <c r="A985" s="26"/>
      <c r="B985" s="34"/>
      <c r="C985" s="27"/>
      <c r="D985" s="27"/>
      <c r="E985" s="27"/>
      <c r="F985" s="27"/>
      <c r="G985" s="27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</row>
    <row r="986" spans="1:48" ht="12.75" customHeight="1">
      <c r="A986" s="26"/>
      <c r="B986" s="34"/>
      <c r="C986" s="27"/>
      <c r="D986" s="27"/>
      <c r="E986" s="27"/>
      <c r="F986" s="27"/>
      <c r="G986" s="27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</row>
    <row r="987" spans="1:48" ht="12.75" customHeight="1">
      <c r="A987" s="26"/>
      <c r="B987" s="34"/>
      <c r="C987" s="27"/>
      <c r="D987" s="27"/>
      <c r="E987" s="27"/>
      <c r="F987" s="27"/>
      <c r="G987" s="27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</row>
    <row r="988" spans="1:48" ht="12.75" customHeight="1">
      <c r="A988" s="26"/>
      <c r="B988" s="34"/>
      <c r="C988" s="27"/>
      <c r="D988" s="27"/>
      <c r="E988" s="27"/>
      <c r="F988" s="27"/>
      <c r="G988" s="27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</row>
    <row r="989" spans="1:48" ht="12.75" customHeight="1">
      <c r="A989" s="26"/>
      <c r="B989" s="34"/>
      <c r="C989" s="27"/>
      <c r="D989" s="27"/>
      <c r="E989" s="27"/>
      <c r="F989" s="27"/>
      <c r="G989" s="27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</row>
    <row r="990" spans="1:48" ht="12.75" customHeight="1">
      <c r="A990" s="26"/>
      <c r="B990" s="34"/>
      <c r="C990" s="27"/>
      <c r="D990" s="27"/>
      <c r="E990" s="27"/>
      <c r="F990" s="27"/>
      <c r="G990" s="27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</row>
    <row r="991" spans="1:48" ht="12.75" customHeight="1">
      <c r="A991" s="26"/>
      <c r="B991" s="34"/>
      <c r="C991" s="27"/>
      <c r="D991" s="27"/>
      <c r="E991" s="27"/>
      <c r="F991" s="27"/>
      <c r="G991" s="27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</row>
    <row r="992" spans="1:48" ht="12.75" customHeight="1">
      <c r="A992" s="26"/>
      <c r="B992" s="34"/>
      <c r="C992" s="27"/>
      <c r="D992" s="27"/>
      <c r="E992" s="27"/>
      <c r="F992" s="27"/>
      <c r="G992" s="27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</row>
    <row r="993" spans="1:48" ht="12.75" customHeight="1">
      <c r="A993" s="26"/>
      <c r="B993" s="34"/>
      <c r="C993" s="27"/>
      <c r="D993" s="27"/>
      <c r="E993" s="27"/>
      <c r="F993" s="27"/>
      <c r="G993" s="27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</row>
    <row r="994" spans="1:48" ht="12.75" customHeight="1">
      <c r="A994" s="26"/>
      <c r="B994" s="34"/>
      <c r="C994" s="27"/>
      <c r="D994" s="27"/>
      <c r="E994" s="27"/>
      <c r="F994" s="27"/>
      <c r="G994" s="27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</row>
    <row r="995" spans="1:48" ht="12.75" customHeight="1">
      <c r="A995" s="26"/>
      <c r="B995" s="34"/>
      <c r="C995" s="27"/>
      <c r="D995" s="27"/>
      <c r="E995" s="27"/>
      <c r="F995" s="27"/>
      <c r="G995" s="27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</row>
    <row r="996" spans="1:48" ht="12.75" customHeight="1">
      <c r="A996" s="26"/>
      <c r="B996" s="34"/>
      <c r="C996" s="27"/>
      <c r="D996" s="27"/>
      <c r="E996" s="27"/>
      <c r="F996" s="27"/>
      <c r="G996" s="27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</row>
    <row r="997" spans="1:48" ht="12.75" customHeight="1">
      <c r="A997" s="26"/>
      <c r="B997" s="34"/>
      <c r="C997" s="27"/>
      <c r="D997" s="27"/>
      <c r="E997" s="27"/>
      <c r="F997" s="27"/>
      <c r="G997" s="27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</row>
    <row r="998" spans="1:48" ht="12.75" customHeight="1">
      <c r="A998" s="26"/>
      <c r="B998" s="34"/>
      <c r="C998" s="27"/>
      <c r="D998" s="27"/>
      <c r="E998" s="27"/>
      <c r="F998" s="27"/>
      <c r="G998" s="27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</row>
    <row r="999" spans="1:48" ht="12.75" customHeight="1">
      <c r="A999" s="26"/>
      <c r="B999" s="34"/>
      <c r="C999" s="27"/>
      <c r="D999" s="27"/>
      <c r="E999" s="27"/>
      <c r="F999" s="27"/>
      <c r="G999" s="27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</row>
    <row r="1000" spans="1:48" ht="12.75" customHeight="1">
      <c r="A1000" s="26"/>
      <c r="B1000" s="34"/>
      <c r="C1000" s="27"/>
      <c r="D1000" s="27"/>
      <c r="E1000" s="27"/>
      <c r="F1000" s="27"/>
      <c r="G1000" s="27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</row>
    <row r="1001" spans="1:48" ht="12.75" customHeight="1">
      <c r="A1001" s="26"/>
      <c r="B1001" s="34"/>
      <c r="C1001" s="27"/>
      <c r="D1001" s="27"/>
      <c r="E1001" s="27"/>
      <c r="F1001" s="27"/>
      <c r="G1001" s="27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</row>
    <row r="1002" spans="1:48" ht="12.75" customHeight="1">
      <c r="A1002" s="26"/>
      <c r="B1002" s="34"/>
      <c r="C1002" s="27"/>
      <c r="D1002" s="27"/>
      <c r="E1002" s="27"/>
      <c r="F1002" s="27"/>
      <c r="G1002" s="27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</row>
    <row r="1003" spans="1:48" ht="12.75" customHeight="1">
      <c r="A1003" s="26"/>
      <c r="B1003" s="34"/>
      <c r="C1003" s="27"/>
      <c r="D1003" s="27"/>
      <c r="E1003" s="27"/>
      <c r="F1003" s="27"/>
      <c r="G1003" s="27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</row>
    <row r="1004" spans="1:48" ht="12.75" customHeight="1">
      <c r="A1004" s="26"/>
      <c r="B1004" s="34"/>
      <c r="C1004" s="27"/>
      <c r="D1004" s="27"/>
      <c r="E1004" s="27"/>
      <c r="F1004" s="27"/>
      <c r="G1004" s="27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</row>
    <row r="1005" spans="1:48" ht="12.75" customHeight="1">
      <c r="A1005" s="26"/>
      <c r="B1005" s="34"/>
      <c r="C1005" s="27"/>
      <c r="D1005" s="27"/>
      <c r="E1005" s="27"/>
      <c r="F1005" s="27"/>
      <c r="G1005" s="27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</row>
    <row r="1006" spans="1:48" ht="12.75" customHeight="1">
      <c r="A1006" s="26"/>
      <c r="B1006" s="34"/>
      <c r="C1006" s="27"/>
      <c r="D1006" s="27"/>
      <c r="E1006" s="27"/>
      <c r="F1006" s="27"/>
      <c r="G1006" s="27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</row>
    <row r="1007" spans="1:48" ht="12.75" customHeight="1">
      <c r="A1007" s="26"/>
      <c r="B1007" s="34"/>
      <c r="C1007" s="27"/>
      <c r="D1007" s="27"/>
      <c r="E1007" s="27"/>
      <c r="F1007" s="27"/>
      <c r="G1007" s="27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</row>
    <row r="1008" spans="1:48" ht="12.75" customHeight="1">
      <c r="A1008" s="26"/>
      <c r="B1008" s="34"/>
      <c r="C1008" s="27"/>
      <c r="D1008" s="27"/>
      <c r="E1008" s="27"/>
      <c r="F1008" s="27"/>
      <c r="G1008" s="27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</row>
    <row r="1009" spans="1:48" ht="12.75" customHeight="1">
      <c r="A1009" s="26"/>
      <c r="B1009" s="34"/>
      <c r="C1009" s="27"/>
      <c r="D1009" s="27"/>
      <c r="E1009" s="27"/>
      <c r="F1009" s="27"/>
      <c r="G1009" s="27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</row>
    <row r="1010" spans="1:48" ht="12.75" customHeight="1">
      <c r="A1010" s="26"/>
      <c r="B1010" s="34"/>
      <c r="C1010" s="27"/>
      <c r="D1010" s="27"/>
      <c r="E1010" s="27"/>
      <c r="F1010" s="27"/>
      <c r="G1010" s="27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</row>
    <row r="1011" spans="1:48" ht="12.75" customHeight="1">
      <c r="A1011" s="26"/>
      <c r="B1011" s="34"/>
      <c r="C1011" s="27"/>
      <c r="D1011" s="27"/>
      <c r="E1011" s="27"/>
      <c r="F1011" s="27"/>
      <c r="G1011" s="27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</row>
    <row r="1012" spans="1:48" ht="12.75" customHeight="1">
      <c r="A1012" s="26"/>
      <c r="B1012" s="34"/>
      <c r="C1012" s="27"/>
      <c r="D1012" s="27"/>
      <c r="E1012" s="27"/>
      <c r="F1012" s="27"/>
      <c r="G1012" s="27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</row>
    <row r="1013" spans="1:48" ht="12.75" customHeight="1">
      <c r="A1013" s="26"/>
      <c r="B1013" s="34"/>
      <c r="C1013" s="27"/>
      <c r="D1013" s="27"/>
      <c r="E1013" s="27"/>
      <c r="F1013" s="27"/>
      <c r="G1013" s="27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</row>
    <row r="1014" spans="1:48" ht="12.75" customHeight="1">
      <c r="A1014" s="26"/>
      <c r="B1014" s="34"/>
      <c r="C1014" s="27"/>
      <c r="D1014" s="27"/>
      <c r="E1014" s="27"/>
      <c r="F1014" s="27"/>
      <c r="G1014" s="27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</row>
    <row r="1015" spans="1:48" ht="12.75" customHeight="1">
      <c r="A1015" s="26"/>
      <c r="B1015" s="34"/>
      <c r="C1015" s="27"/>
      <c r="D1015" s="27"/>
      <c r="E1015" s="27"/>
      <c r="F1015" s="27"/>
      <c r="G1015" s="27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</row>
    <row r="1016" spans="1:48" ht="12.75" customHeight="1">
      <c r="A1016" s="26"/>
      <c r="B1016" s="34"/>
      <c r="C1016" s="27"/>
      <c r="D1016" s="27"/>
      <c r="E1016" s="27"/>
      <c r="F1016" s="27"/>
      <c r="G1016" s="27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</row>
    <row r="1017" spans="1:48" ht="12.75" customHeight="1">
      <c r="A1017" s="26"/>
      <c r="B1017" s="34"/>
      <c r="C1017" s="27"/>
      <c r="D1017" s="27"/>
      <c r="E1017" s="27"/>
      <c r="F1017" s="27"/>
      <c r="G1017" s="27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</row>
    <row r="1018" spans="1:48" ht="12.75" customHeight="1">
      <c r="A1018" s="26"/>
      <c r="B1018" s="34"/>
      <c r="C1018" s="27"/>
      <c r="D1018" s="27"/>
      <c r="E1018" s="27"/>
      <c r="F1018" s="27"/>
      <c r="G1018" s="27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</row>
    <row r="1019" spans="1:48" ht="12.75" customHeight="1">
      <c r="A1019" s="26"/>
      <c r="B1019" s="34"/>
      <c r="C1019" s="27"/>
      <c r="D1019" s="27"/>
      <c r="E1019" s="27"/>
      <c r="F1019" s="27"/>
      <c r="G1019" s="27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</row>
    <row r="1020" spans="1:48" ht="12.75" customHeight="1">
      <c r="A1020" s="26"/>
      <c r="B1020" s="34"/>
      <c r="C1020" s="27"/>
      <c r="D1020" s="27"/>
      <c r="E1020" s="27"/>
      <c r="F1020" s="27"/>
      <c r="G1020" s="27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</row>
    <row r="1021" spans="1:48" ht="12.75" customHeight="1">
      <c r="A1021" s="26"/>
      <c r="B1021" s="34"/>
      <c r="C1021" s="27"/>
      <c r="D1021" s="27"/>
      <c r="E1021" s="27"/>
      <c r="F1021" s="27"/>
      <c r="G1021" s="27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</row>
    <row r="1022" spans="1:48" ht="12.75" customHeight="1">
      <c r="A1022" s="26"/>
      <c r="B1022" s="34"/>
      <c r="C1022" s="27"/>
      <c r="D1022" s="27"/>
      <c r="E1022" s="27"/>
      <c r="F1022" s="27"/>
      <c r="G1022" s="27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</row>
    <row r="1023" spans="1:48" ht="12.75" customHeight="1">
      <c r="A1023" s="26"/>
      <c r="B1023" s="34"/>
      <c r="C1023" s="27"/>
      <c r="D1023" s="27"/>
      <c r="E1023" s="27"/>
      <c r="F1023" s="27"/>
      <c r="G1023" s="27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</row>
    <row r="1024" spans="1:48" ht="12.75" customHeight="1">
      <c r="A1024" s="26"/>
      <c r="B1024" s="34"/>
      <c r="C1024" s="27"/>
      <c r="D1024" s="27"/>
      <c r="E1024" s="27"/>
      <c r="F1024" s="27"/>
      <c r="G1024" s="27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</row>
    <row r="1025" spans="1:48" ht="12.75" customHeight="1">
      <c r="A1025" s="26"/>
      <c r="B1025" s="34"/>
      <c r="C1025" s="27"/>
      <c r="D1025" s="27"/>
      <c r="E1025" s="27"/>
      <c r="F1025" s="27"/>
      <c r="G1025" s="27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</row>
    <row r="1026" spans="1:48" ht="12.75" customHeight="1">
      <c r="A1026" s="26"/>
      <c r="B1026" s="34"/>
      <c r="C1026" s="27"/>
      <c r="D1026" s="27"/>
      <c r="E1026" s="27"/>
      <c r="F1026" s="27"/>
      <c r="G1026" s="27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</row>
    <row r="1027" spans="1:48" ht="12.75" customHeight="1">
      <c r="A1027" s="26"/>
      <c r="B1027" s="34"/>
      <c r="C1027" s="27"/>
      <c r="D1027" s="27"/>
      <c r="E1027" s="27"/>
      <c r="F1027" s="27"/>
      <c r="G1027" s="27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</row>
    <row r="1028" spans="1:48" ht="12.75" customHeight="1">
      <c r="A1028" s="26"/>
      <c r="B1028" s="34"/>
      <c r="C1028" s="27"/>
      <c r="D1028" s="27"/>
      <c r="E1028" s="27"/>
      <c r="F1028" s="27"/>
      <c r="G1028" s="27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</row>
    <row r="1029" spans="1:48" ht="12.75" customHeight="1">
      <c r="A1029" s="26"/>
      <c r="B1029" s="34"/>
      <c r="C1029" s="27"/>
      <c r="D1029" s="27"/>
      <c r="E1029" s="27"/>
      <c r="F1029" s="27"/>
      <c r="G1029" s="27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</row>
    <row r="1030" spans="1:48" ht="12.75" customHeight="1">
      <c r="A1030" s="26"/>
      <c r="B1030" s="34"/>
      <c r="C1030" s="27"/>
      <c r="D1030" s="27"/>
      <c r="E1030" s="27"/>
      <c r="F1030" s="27"/>
      <c r="G1030" s="27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</row>
    <row r="1031" spans="1:48" ht="12.75" customHeight="1">
      <c r="A1031" s="26"/>
      <c r="B1031" s="34"/>
      <c r="C1031" s="27"/>
      <c r="D1031" s="27"/>
      <c r="E1031" s="27"/>
      <c r="F1031" s="27"/>
      <c r="G1031" s="27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</row>
  </sheetData>
  <sheetProtection password="DFFD" sheet="1" objects="1" scenarios="1" formatCells="0"/>
  <mergeCells count="136">
    <mergeCell ref="BC28:BC29"/>
    <mergeCell ref="BD28:BD29"/>
    <mergeCell ref="BE28:BE29"/>
    <mergeCell ref="AT28:AT29"/>
    <mergeCell ref="AU28:AU29"/>
    <mergeCell ref="AV28:AV29"/>
    <mergeCell ref="AW28:AW29"/>
    <mergeCell ref="AX28:AX29"/>
    <mergeCell ref="AY28:AY29"/>
    <mergeCell ref="AZ28:AZ29"/>
    <mergeCell ref="BA28:BA29"/>
    <mergeCell ref="H26:H27"/>
    <mergeCell ref="O26:O27"/>
    <mergeCell ref="J14:P14"/>
    <mergeCell ref="J16:P16"/>
    <mergeCell ref="J15:P15"/>
    <mergeCell ref="F22:H22"/>
    <mergeCell ref="J19:P19"/>
    <mergeCell ref="C26:G26"/>
    <mergeCell ref="BB28:BB29"/>
    <mergeCell ref="I26:N26"/>
    <mergeCell ref="AB27:AG27"/>
    <mergeCell ref="AH27:AM27"/>
    <mergeCell ref="AQ27:AS27"/>
    <mergeCell ref="AR28:AR29"/>
    <mergeCell ref="AS28:AS29"/>
    <mergeCell ref="AW27:AX27"/>
    <mergeCell ref="AB26:AX26"/>
    <mergeCell ref="B23:C23"/>
    <mergeCell ref="B24:C24"/>
    <mergeCell ref="Z5:AV5"/>
    <mergeCell ref="Z3:AV3"/>
    <mergeCell ref="A11:B11"/>
    <mergeCell ref="R14:U14"/>
    <mergeCell ref="J18:P18"/>
    <mergeCell ref="J17:P17"/>
    <mergeCell ref="R21:U21"/>
    <mergeCell ref="R15:U15"/>
    <mergeCell ref="R16:U16"/>
    <mergeCell ref="R17:U17"/>
    <mergeCell ref="R13:U13"/>
    <mergeCell ref="J12:P12"/>
    <mergeCell ref="J13:P13"/>
    <mergeCell ref="F18:H18"/>
    <mergeCell ref="B19:C19"/>
    <mergeCell ref="D116:G116"/>
    <mergeCell ref="D117:G117"/>
    <mergeCell ref="H115:J115"/>
    <mergeCell ref="H116:J116"/>
    <mergeCell ref="B116:C116"/>
    <mergeCell ref="B117:C117"/>
    <mergeCell ref="B119:C119"/>
    <mergeCell ref="Z9:AV9"/>
    <mergeCell ref="Z7:AV7"/>
    <mergeCell ref="AA26:AA29"/>
    <mergeCell ref="Z26:Z29"/>
    <mergeCell ref="X26:X29"/>
    <mergeCell ref="AN28:AN29"/>
    <mergeCell ref="AO28:AO29"/>
    <mergeCell ref="AQ28:AQ29"/>
    <mergeCell ref="AP28:AP29"/>
    <mergeCell ref="B26:B29"/>
    <mergeCell ref="R20:U20"/>
    <mergeCell ref="Q12:U12"/>
    <mergeCell ref="D119:G119"/>
    <mergeCell ref="H117:J117"/>
    <mergeCell ref="B114:C114"/>
    <mergeCell ref="H119:J119"/>
    <mergeCell ref="P26:U26"/>
    <mergeCell ref="B115:C115"/>
    <mergeCell ref="D113:G113"/>
    <mergeCell ref="H114:J114"/>
    <mergeCell ref="D114:G114"/>
    <mergeCell ref="H113:J113"/>
    <mergeCell ref="D111:G111"/>
    <mergeCell ref="H111:J111"/>
    <mergeCell ref="D112:G112"/>
    <mergeCell ref="H112:J112"/>
    <mergeCell ref="D115:G115"/>
    <mergeCell ref="B104:J104"/>
    <mergeCell ref="D110:G110"/>
    <mergeCell ref="D109:G109"/>
    <mergeCell ref="D108:G108"/>
    <mergeCell ref="H110:J110"/>
    <mergeCell ref="H109:J109"/>
    <mergeCell ref="H108:J108"/>
    <mergeCell ref="E105:J105"/>
    <mergeCell ref="B105:D105"/>
    <mergeCell ref="AI102:AL102"/>
    <mergeCell ref="AI103:AL103"/>
    <mergeCell ref="B1:V1"/>
    <mergeCell ref="AN27:AP27"/>
    <mergeCell ref="AT27:AV27"/>
    <mergeCell ref="E13:H13"/>
    <mergeCell ref="F14:H14"/>
    <mergeCell ref="F15:H15"/>
    <mergeCell ref="F16:H16"/>
    <mergeCell ref="F17:H17"/>
    <mergeCell ref="A13:C13"/>
    <mergeCell ref="B14:C14"/>
    <mergeCell ref="B15:C15"/>
    <mergeCell ref="B16:C16"/>
    <mergeCell ref="B17:C17"/>
    <mergeCell ref="W26:W27"/>
    <mergeCell ref="V26:V27"/>
    <mergeCell ref="A26:A29"/>
    <mergeCell ref="J20:P20"/>
    <mergeCell ref="J21:P21"/>
    <mergeCell ref="J22:P22"/>
    <mergeCell ref="R18:U18"/>
    <mergeCell ref="R19:U19"/>
    <mergeCell ref="R22:U22"/>
    <mergeCell ref="B118:C118"/>
    <mergeCell ref="D118:G118"/>
    <mergeCell ref="H118:J118"/>
    <mergeCell ref="F23:H23"/>
    <mergeCell ref="J11:V11"/>
    <mergeCell ref="A8:V9"/>
    <mergeCell ref="A6:V7"/>
    <mergeCell ref="A4:V5"/>
    <mergeCell ref="A2:V3"/>
    <mergeCell ref="B111:C111"/>
    <mergeCell ref="B20:C20"/>
    <mergeCell ref="H107:J107"/>
    <mergeCell ref="D107:G107"/>
    <mergeCell ref="B107:C107"/>
    <mergeCell ref="B108:C108"/>
    <mergeCell ref="B109:C109"/>
    <mergeCell ref="B110:C110"/>
    <mergeCell ref="B106:J106"/>
    <mergeCell ref="F19:H19"/>
    <mergeCell ref="F20:H20"/>
    <mergeCell ref="F21:H21"/>
    <mergeCell ref="B18:C18"/>
    <mergeCell ref="B112:C112"/>
    <mergeCell ref="B113:C113"/>
  </mergeCells>
  <conditionalFormatting sqref="C61:G100 G30:G43 G45:G60">
    <cfRule type="cellIs" dxfId="40" priority="29" operator="lessThanOrEqual">
      <formula>0</formula>
    </cfRule>
  </conditionalFormatting>
  <conditionalFormatting sqref="I61:N100">
    <cfRule type="cellIs" dxfId="39" priority="28" operator="lessThanOrEqual">
      <formula>0</formula>
    </cfRule>
  </conditionalFormatting>
  <conditionalFormatting sqref="P61:U100">
    <cfRule type="cellIs" dxfId="38" priority="27" operator="lessThanOrEqual">
      <formula>0</formula>
    </cfRule>
  </conditionalFormatting>
  <conditionalFormatting sqref="X30:X100">
    <cfRule type="expression" dxfId="37" priority="1">
      <formula>$W30=0</formula>
    </cfRule>
    <cfRule type="cellIs" dxfId="36" priority="10" operator="equal">
      <formula>"Incomplete"</formula>
    </cfRule>
    <cfRule type="cellIs" dxfId="35" priority="23" operator="equal">
      <formula>"F (Fail)"</formula>
    </cfRule>
    <cfRule type="cellIs" dxfId="34" priority="24" operator="equal">
      <formula>"A (Plus)"</formula>
    </cfRule>
    <cfRule type="cellIs" dxfId="33" priority="25" operator="equal">
      <formula>"Error"</formula>
    </cfRule>
    <cfRule type="cellIs" dxfId="32" priority="26" operator="equal">
      <formula>"-"</formula>
    </cfRule>
  </conditionalFormatting>
  <conditionalFormatting sqref="W30:W100">
    <cfRule type="cellIs" dxfId="31" priority="6" operator="equal">
      <formula>"Absent"</formula>
    </cfRule>
    <cfRule type="expression" dxfId="30" priority="21">
      <formula>OR(MOD($W30,5)=4,MOD($W30,5)=3,INT($W30)&lt;&gt;$W30)</formula>
    </cfRule>
  </conditionalFormatting>
  <conditionalFormatting sqref="C56:F60 E30:F43 E45:F58">
    <cfRule type="cellIs" dxfId="29" priority="17" operator="lessThanOrEqual">
      <formula>0</formula>
    </cfRule>
  </conditionalFormatting>
  <conditionalFormatting sqref="I59:N60">
    <cfRule type="cellIs" dxfId="28" priority="16" operator="lessThanOrEqual">
      <formula>0</formula>
    </cfRule>
  </conditionalFormatting>
  <conditionalFormatting sqref="P56:U60">
    <cfRule type="cellIs" dxfId="27" priority="14" operator="lessThanOrEqual">
      <formula>0</formula>
    </cfRule>
  </conditionalFormatting>
  <conditionalFormatting sqref="C30:D43 C45:D58">
    <cfRule type="cellIs" dxfId="26" priority="13" operator="lessThanOrEqual">
      <formula>0</formula>
    </cfRule>
  </conditionalFormatting>
  <conditionalFormatting sqref="I30:N58">
    <cfRule type="cellIs" dxfId="25" priority="12" operator="lessThanOrEqual">
      <formula>0</formula>
    </cfRule>
  </conditionalFormatting>
  <conditionalFormatting sqref="P30:U58">
    <cfRule type="cellIs" dxfId="24" priority="11" operator="lessThanOrEqual">
      <formula>0</formula>
    </cfRule>
  </conditionalFormatting>
  <conditionalFormatting sqref="H29:H100">
    <cfRule type="cellIs" dxfId="23" priority="9" operator="equal">
      <formula>"Error"</formula>
    </cfRule>
  </conditionalFormatting>
  <conditionalFormatting sqref="O29:O100">
    <cfRule type="cellIs" dxfId="22" priority="8" operator="equal">
      <formula>"Error"</formula>
    </cfRule>
  </conditionalFormatting>
  <conditionalFormatting sqref="V29:V100">
    <cfRule type="cellIs" dxfId="21" priority="7" operator="equal">
      <formula>"Error"</formula>
    </cfRule>
  </conditionalFormatting>
  <conditionalFormatting sqref="G44">
    <cfRule type="cellIs" dxfId="20" priority="5" operator="lessThanOrEqual">
      <formula>0</formula>
    </cfRule>
  </conditionalFormatting>
  <conditionalFormatting sqref="E44:F44">
    <cfRule type="cellIs" dxfId="19" priority="4" operator="lessThanOrEqual">
      <formula>0</formula>
    </cfRule>
  </conditionalFormatting>
  <conditionalFormatting sqref="C44:D44">
    <cfRule type="cellIs" dxfId="18" priority="3" operator="lessThanOrEqual">
      <formula>0</formula>
    </cfRule>
  </conditionalFormatting>
  <printOptions horizontalCentered="1" verticalCentered="1"/>
  <pageMargins left="0.25" right="0.25" top="0.5" bottom="0.5" header="0" footer="0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5"/>
  <sheetViews>
    <sheetView workbookViewId="0">
      <selection activeCell="B6" sqref="B6:E6"/>
    </sheetView>
  </sheetViews>
  <sheetFormatPr defaultRowHeight="12.75"/>
  <cols>
    <col min="1" max="1" width="17.42578125" customWidth="1"/>
    <col min="2" max="2" width="10.140625" customWidth="1"/>
    <col min="3" max="3" width="10.28515625" customWidth="1"/>
    <col min="4" max="4" width="12" customWidth="1"/>
    <col min="5" max="5" width="12.85546875" customWidth="1"/>
    <col min="6" max="6" width="9.85546875" customWidth="1"/>
  </cols>
  <sheetData>
    <row r="1" spans="1:9" ht="18">
      <c r="A1" s="235" t="s">
        <v>92</v>
      </c>
      <c r="B1" s="235"/>
      <c r="C1" s="235"/>
      <c r="D1" s="235"/>
      <c r="E1" s="235"/>
      <c r="F1" s="5"/>
      <c r="G1" s="5"/>
      <c r="H1" s="5"/>
      <c r="I1" s="5"/>
    </row>
    <row r="2" spans="1:9" ht="18">
      <c r="A2" s="96" t="s">
        <v>97</v>
      </c>
      <c r="B2" s="237" t="str">
        <f>GradeSheet!A8</f>
        <v>Summer Semester, 2026</v>
      </c>
      <c r="C2" s="237"/>
      <c r="D2" s="237"/>
      <c r="E2" s="237"/>
      <c r="F2" s="5"/>
      <c r="G2" s="5"/>
      <c r="H2" s="5"/>
      <c r="I2" s="5"/>
    </row>
    <row r="3" spans="1:9" ht="15">
      <c r="A3" s="97" t="s">
        <v>9</v>
      </c>
      <c r="B3" s="236" t="str">
        <f>GradeSheet!B14</f>
        <v>CSE 342</v>
      </c>
      <c r="C3" s="236"/>
      <c r="D3" s="236"/>
      <c r="E3" s="236"/>
      <c r="F3" s="2"/>
      <c r="G3" s="2"/>
      <c r="H3" s="2"/>
      <c r="I3" s="2"/>
    </row>
    <row r="4" spans="1:9" ht="15">
      <c r="A4" s="97" t="s">
        <v>13</v>
      </c>
      <c r="B4" s="236" t="str">
        <f>GradeSheet!B15</f>
        <v>Computer Graphics</v>
      </c>
      <c r="C4" s="236"/>
      <c r="D4" s="236"/>
      <c r="E4" s="236"/>
      <c r="F4" s="1"/>
      <c r="G4" s="2"/>
      <c r="H4" s="3"/>
      <c r="I4" s="2"/>
    </row>
    <row r="5" spans="1:9" ht="15">
      <c r="A5" s="97" t="s">
        <v>17</v>
      </c>
      <c r="B5" s="236" t="str">
        <f>GradeSheet!B16</f>
        <v>B.Sc. In CSE</v>
      </c>
      <c r="C5" s="236"/>
      <c r="D5" s="236"/>
      <c r="E5" s="236"/>
      <c r="F5" s="1"/>
      <c r="G5" s="2"/>
      <c r="H5" s="3"/>
      <c r="I5" s="2"/>
    </row>
    <row r="6" spans="1:9" ht="15">
      <c r="A6" s="97" t="s">
        <v>21</v>
      </c>
      <c r="B6" s="236" t="str">
        <f>GradeSheet!B17</f>
        <v>Md. Ashiqur Rahman (AR)</v>
      </c>
      <c r="C6" s="236"/>
      <c r="D6" s="236"/>
      <c r="E6" s="236"/>
      <c r="F6" s="1"/>
      <c r="G6" s="2"/>
      <c r="H6" s="3"/>
      <c r="I6" s="2"/>
    </row>
    <row r="7" spans="1:9" ht="15">
      <c r="A7" s="97" t="s">
        <v>25</v>
      </c>
      <c r="B7" s="236">
        <f>GradeSheet!B18</f>
        <v>51</v>
      </c>
      <c r="C7" s="236"/>
      <c r="D7" s="236"/>
      <c r="E7" s="236"/>
      <c r="F7" s="1"/>
      <c r="G7" s="2"/>
      <c r="H7" s="3"/>
      <c r="I7" s="2"/>
    </row>
    <row r="8" spans="1:9" ht="15">
      <c r="A8" s="97" t="s">
        <v>29</v>
      </c>
      <c r="B8" s="236">
        <f>GradeSheet!B19</f>
        <v>5</v>
      </c>
      <c r="C8" s="236"/>
      <c r="D8" s="236"/>
      <c r="E8" s="236"/>
      <c r="F8" s="1"/>
      <c r="G8" s="2"/>
      <c r="H8" s="3"/>
      <c r="I8" s="2"/>
    </row>
    <row r="9" spans="1:9" ht="15">
      <c r="A9" s="97" t="s">
        <v>33</v>
      </c>
      <c r="B9" s="236">
        <f>GradeSheet!B20</f>
        <v>0</v>
      </c>
      <c r="C9" s="236"/>
      <c r="D9" s="236"/>
      <c r="E9" s="236"/>
      <c r="F9" s="1"/>
      <c r="G9" s="2"/>
      <c r="H9" s="3"/>
      <c r="I9" s="2"/>
    </row>
    <row r="10" spans="1:9">
      <c r="A10" s="1"/>
      <c r="B10" s="4"/>
      <c r="C10" s="4"/>
      <c r="D10" s="4"/>
      <c r="E10" s="4"/>
      <c r="F10" s="1"/>
      <c r="G10" s="2"/>
      <c r="H10" s="3"/>
      <c r="I10" s="2"/>
    </row>
    <row r="11" spans="1:9">
      <c r="A11" s="1"/>
      <c r="B11" s="4"/>
      <c r="C11" s="4"/>
      <c r="D11" s="4"/>
      <c r="E11" s="4"/>
      <c r="F11" s="1"/>
      <c r="G11" s="2"/>
      <c r="H11" s="3"/>
      <c r="I11" s="2"/>
    </row>
    <row r="12" spans="1:9">
      <c r="A12" s="1"/>
      <c r="B12" s="4"/>
      <c r="C12" s="4"/>
      <c r="D12" s="4"/>
      <c r="E12" s="4"/>
      <c r="F12" s="1"/>
      <c r="G12" s="2"/>
      <c r="H12" s="3"/>
      <c r="I12" s="2"/>
    </row>
    <row r="13" spans="1:9">
      <c r="A13" s="234" t="s">
        <v>109</v>
      </c>
      <c r="B13" s="234"/>
      <c r="C13" s="17" t="s">
        <v>50</v>
      </c>
      <c r="D13" s="17" t="s">
        <v>51</v>
      </c>
      <c r="E13" s="17" t="s">
        <v>52</v>
      </c>
      <c r="F13" s="17" t="s">
        <v>53</v>
      </c>
      <c r="G13" s="17" t="s">
        <v>127</v>
      </c>
      <c r="H13" s="17" t="s">
        <v>128</v>
      </c>
      <c r="I13" s="2"/>
    </row>
    <row r="14" spans="1:9">
      <c r="A14" s="234"/>
      <c r="B14" s="234"/>
      <c r="C14" s="18">
        <f>GradeSheet!AN103</f>
        <v>100</v>
      </c>
      <c r="D14" s="18">
        <f>GradeSheet!AO103</f>
        <v>90.243902439024396</v>
      </c>
      <c r="E14" s="18">
        <f>GradeSheet!AP103</f>
        <v>82.926829268292678</v>
      </c>
      <c r="F14" s="18" t="str">
        <f>GradeSheet!AQ103</f>
        <v>-</v>
      </c>
      <c r="G14" s="18" t="str">
        <f>GradeSheet!AR103</f>
        <v>-</v>
      </c>
      <c r="H14" s="18" t="str">
        <f>GradeSheet!AS103</f>
        <v>-</v>
      </c>
      <c r="I14" s="2"/>
    </row>
    <row r="15" spans="1:9">
      <c r="A15" s="3"/>
      <c r="B15" s="2"/>
      <c r="C15" s="2"/>
      <c r="D15" s="2"/>
      <c r="E15" s="2"/>
      <c r="F15" s="2"/>
      <c r="G15" s="2"/>
      <c r="H15" s="2"/>
      <c r="I15" s="2"/>
    </row>
    <row r="16" spans="1:9">
      <c r="A16" s="234" t="s">
        <v>93</v>
      </c>
      <c r="B16" s="234"/>
      <c r="C16" s="17" t="s">
        <v>56</v>
      </c>
      <c r="D16" s="17" t="s">
        <v>74</v>
      </c>
      <c r="E16" s="17" t="s">
        <v>57</v>
      </c>
      <c r="F16" s="17" t="s">
        <v>73</v>
      </c>
      <c r="G16" s="17" t="s">
        <v>84</v>
      </c>
      <c r="H16" s="17" t="s">
        <v>85</v>
      </c>
    </row>
    <row r="17" spans="1:8">
      <c r="A17" s="234"/>
      <c r="B17" s="234"/>
      <c r="C17" s="18">
        <f>GradeSheet!AT103</f>
        <v>100</v>
      </c>
      <c r="D17" s="18">
        <f>GradeSheet!AU103</f>
        <v>90.243902439024396</v>
      </c>
      <c r="E17" s="18">
        <f>GradeSheet!AV103</f>
        <v>82.926829268292678</v>
      </c>
      <c r="F17" s="18" t="str">
        <f>GradeSheet!AW103</f>
        <v>-</v>
      </c>
      <c r="G17" s="18" t="str">
        <f>GradeSheet!AX103</f>
        <v>-</v>
      </c>
      <c r="H17" s="18" t="str">
        <f>GradeSheet!AY103</f>
        <v>-</v>
      </c>
    </row>
    <row r="18" spans="1:8">
      <c r="A18" s="234"/>
      <c r="B18" s="234"/>
      <c r="C18" s="17" t="s">
        <v>86</v>
      </c>
      <c r="D18" s="17" t="s">
        <v>87</v>
      </c>
      <c r="E18" s="17" t="s">
        <v>88</v>
      </c>
      <c r="F18" s="17" t="s">
        <v>89</v>
      </c>
      <c r="G18" s="17" t="s">
        <v>90</v>
      </c>
      <c r="H18" s="17" t="s">
        <v>91</v>
      </c>
    </row>
    <row r="19" spans="1:8">
      <c r="A19" s="234"/>
      <c r="B19" s="234"/>
      <c r="C19" s="18" t="str">
        <f>GradeSheet!AZ103</f>
        <v>-</v>
      </c>
      <c r="D19" s="18" t="str">
        <f>GradeSheet!BA103</f>
        <v>-</v>
      </c>
      <c r="E19" s="18" t="str">
        <f>GradeSheet!BB103</f>
        <v>-</v>
      </c>
      <c r="F19" s="18" t="str">
        <f>GradeSheet!BC103</f>
        <v>-</v>
      </c>
      <c r="G19" s="18" t="str">
        <f>GradeSheet!BD103</f>
        <v>-</v>
      </c>
      <c r="H19" s="18" t="str">
        <f>GradeSheet!BE103</f>
        <v>-</v>
      </c>
    </row>
    <row r="29" spans="1:8" ht="12.75" customHeight="1"/>
    <row r="48" spans="8:9">
      <c r="H48" s="4"/>
      <c r="I48" s="4"/>
    </row>
    <row r="49" spans="1:9">
      <c r="H49" s="2"/>
      <c r="I49" s="2"/>
    </row>
    <row r="50" spans="1:9">
      <c r="H50" s="2"/>
      <c r="I50" s="2"/>
    </row>
    <row r="51" spans="1:9">
      <c r="H51" s="2"/>
      <c r="I51" s="2"/>
    </row>
    <row r="52" spans="1:9">
      <c r="H52" s="2"/>
      <c r="I52" s="2"/>
    </row>
    <row r="53" spans="1:9">
      <c r="H53" s="2"/>
      <c r="I53" s="2"/>
    </row>
    <row r="54" spans="1:9">
      <c r="H54" s="4"/>
      <c r="I54" s="4"/>
    </row>
    <row r="55" spans="1:9" ht="14.25" customHeight="1">
      <c r="A55" s="242" t="s">
        <v>99</v>
      </c>
      <c r="B55" s="243" t="s">
        <v>94</v>
      </c>
      <c r="C55" s="243"/>
      <c r="D55" s="243"/>
      <c r="E55" s="243"/>
      <c r="F55" s="243"/>
      <c r="G55" s="243"/>
      <c r="H55" s="2"/>
      <c r="I55" s="2"/>
    </row>
    <row r="56" spans="1:9" ht="12.75" customHeight="1">
      <c r="A56" s="242"/>
      <c r="B56" s="239" t="s">
        <v>146</v>
      </c>
      <c r="C56" s="240"/>
      <c r="D56" s="240"/>
      <c r="E56" s="240"/>
      <c r="F56" s="240"/>
      <c r="G56" s="240"/>
      <c r="H56" s="2"/>
      <c r="I56" s="2"/>
    </row>
    <row r="57" spans="1:9">
      <c r="A57" s="242"/>
      <c r="B57" s="240"/>
      <c r="C57" s="240"/>
      <c r="D57" s="240"/>
      <c r="E57" s="240"/>
      <c r="F57" s="240"/>
      <c r="G57" s="240"/>
      <c r="H57" s="2"/>
      <c r="I57" s="2"/>
    </row>
    <row r="58" spans="1:9">
      <c r="A58" s="242"/>
      <c r="B58" s="240"/>
      <c r="C58" s="240"/>
      <c r="D58" s="240"/>
      <c r="E58" s="240"/>
      <c r="F58" s="240"/>
      <c r="G58" s="240"/>
      <c r="H58" s="2"/>
      <c r="I58" s="2"/>
    </row>
    <row r="59" spans="1:9">
      <c r="A59" s="242"/>
      <c r="B59" s="240"/>
      <c r="C59" s="240"/>
      <c r="D59" s="240"/>
      <c r="E59" s="240"/>
      <c r="F59" s="240"/>
      <c r="G59" s="240"/>
      <c r="H59" s="2"/>
      <c r="I59" s="2"/>
    </row>
    <row r="60" spans="1:9">
      <c r="A60" s="9"/>
      <c r="B60" s="9"/>
      <c r="C60" s="9"/>
      <c r="D60" s="9"/>
      <c r="E60" s="9"/>
      <c r="F60" s="9"/>
      <c r="G60" s="9"/>
      <c r="H60" s="2"/>
      <c r="I60" s="2"/>
    </row>
    <row r="61" spans="1:9" ht="14.25" customHeight="1">
      <c r="A61" s="242" t="s">
        <v>100</v>
      </c>
      <c r="B61" s="243" t="s">
        <v>95</v>
      </c>
      <c r="C61" s="243"/>
      <c r="D61" s="243"/>
      <c r="E61" s="243"/>
      <c r="F61" s="243"/>
      <c r="G61" s="243"/>
      <c r="H61" s="2"/>
      <c r="I61" s="2"/>
    </row>
    <row r="62" spans="1:9" ht="12.75" customHeight="1">
      <c r="A62" s="242"/>
      <c r="B62" s="239" t="s">
        <v>145</v>
      </c>
      <c r="C62" s="240"/>
      <c r="D62" s="240"/>
      <c r="E62" s="240"/>
      <c r="F62" s="240"/>
      <c r="G62" s="240"/>
      <c r="H62" s="2"/>
      <c r="I62" s="2"/>
    </row>
    <row r="63" spans="1:9">
      <c r="A63" s="242"/>
      <c r="B63" s="240"/>
      <c r="C63" s="240"/>
      <c r="D63" s="240"/>
      <c r="E63" s="240"/>
      <c r="F63" s="240"/>
      <c r="G63" s="240"/>
      <c r="H63" s="2"/>
      <c r="I63" s="2"/>
    </row>
    <row r="64" spans="1:9">
      <c r="A64" s="242"/>
      <c r="B64" s="240"/>
      <c r="C64" s="240"/>
      <c r="D64" s="240"/>
      <c r="E64" s="240"/>
      <c r="F64" s="240"/>
      <c r="G64" s="240"/>
      <c r="H64" s="2"/>
      <c r="I64" s="2"/>
    </row>
    <row r="65" spans="1:9">
      <c r="A65" s="242"/>
      <c r="B65" s="240"/>
      <c r="C65" s="240"/>
      <c r="D65" s="240"/>
      <c r="E65" s="240"/>
      <c r="F65" s="240"/>
      <c r="G65" s="240"/>
      <c r="H65" s="2"/>
      <c r="I65" s="2"/>
    </row>
    <row r="66" spans="1:9">
      <c r="A66" s="9"/>
      <c r="B66" s="15"/>
      <c r="C66" s="15"/>
      <c r="D66" s="15"/>
      <c r="E66" s="15"/>
      <c r="F66" s="15"/>
      <c r="G66" s="15"/>
      <c r="H66" s="2"/>
      <c r="I66" s="2"/>
    </row>
    <row r="67" spans="1:9" ht="25.5" customHeight="1">
      <c r="A67" s="241" t="s">
        <v>105</v>
      </c>
      <c r="B67" s="239" t="s">
        <v>144</v>
      </c>
      <c r="C67" s="240"/>
      <c r="D67" s="240"/>
      <c r="E67" s="240"/>
      <c r="F67" s="240"/>
      <c r="G67" s="240"/>
    </row>
    <row r="68" spans="1:9">
      <c r="A68" s="241"/>
      <c r="B68" s="240"/>
      <c r="C68" s="240"/>
      <c r="D68" s="240"/>
      <c r="E68" s="240"/>
      <c r="F68" s="240"/>
      <c r="G68" s="240"/>
    </row>
    <row r="69" spans="1:9">
      <c r="A69" s="241"/>
      <c r="B69" s="240"/>
      <c r="C69" s="240"/>
      <c r="D69" s="240"/>
      <c r="E69" s="240"/>
      <c r="F69" s="240"/>
      <c r="G69" s="240"/>
    </row>
    <row r="70" spans="1:9">
      <c r="A70" s="241"/>
      <c r="B70" s="240"/>
      <c r="C70" s="240"/>
      <c r="D70" s="240"/>
      <c r="E70" s="240"/>
      <c r="F70" s="240"/>
      <c r="G70" s="240"/>
    </row>
    <row r="71" spans="1:9">
      <c r="A71" s="9"/>
      <c r="B71" s="16"/>
      <c r="C71" s="16"/>
      <c r="D71" s="16"/>
      <c r="E71" s="16"/>
      <c r="F71" s="16"/>
      <c r="G71" s="16"/>
    </row>
    <row r="72" spans="1:9">
      <c r="A72" s="9"/>
      <c r="B72" s="15"/>
      <c r="C72" s="15"/>
      <c r="D72" s="15"/>
      <c r="E72" s="15"/>
      <c r="F72" s="9"/>
      <c r="G72" s="2"/>
    </row>
    <row r="73" spans="1:9">
      <c r="A73" s="9"/>
      <c r="E73" s="15"/>
      <c r="F73" s="9"/>
      <c r="G73" s="2"/>
    </row>
    <row r="74" spans="1:9" ht="13.5" thickBot="1">
      <c r="C74" s="114" t="s">
        <v>188</v>
      </c>
    </row>
    <row r="75" spans="1:9">
      <c r="B75" s="238" t="s">
        <v>96</v>
      </c>
      <c r="C75" s="238"/>
      <c r="D75" s="238"/>
    </row>
  </sheetData>
  <mergeCells count="20">
    <mergeCell ref="B75:D75"/>
    <mergeCell ref="B67:G70"/>
    <mergeCell ref="A67:A70"/>
    <mergeCell ref="A55:A59"/>
    <mergeCell ref="B55:G55"/>
    <mergeCell ref="B61:G61"/>
    <mergeCell ref="A61:A65"/>
    <mergeCell ref="B56:G59"/>
    <mergeCell ref="B62:G65"/>
    <mergeCell ref="A16:B19"/>
    <mergeCell ref="A1:E1"/>
    <mergeCell ref="B5:E5"/>
    <mergeCell ref="B6:E6"/>
    <mergeCell ref="B7:E7"/>
    <mergeCell ref="B4:E4"/>
    <mergeCell ref="A13:B14"/>
    <mergeCell ref="B8:E8"/>
    <mergeCell ref="B9:E9"/>
    <mergeCell ref="B2:E2"/>
    <mergeCell ref="B3:E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7"/>
  <sheetViews>
    <sheetView workbookViewId="0">
      <selection activeCell="AC6" sqref="AC6"/>
    </sheetView>
  </sheetViews>
  <sheetFormatPr defaultColWidth="9.140625" defaultRowHeight="12.75"/>
  <cols>
    <col min="1" max="1" width="5.7109375" style="6" customWidth="1"/>
    <col min="2" max="2" width="36.140625" style="8" customWidth="1"/>
    <col min="3" max="3" width="6.85546875" style="25" customWidth="1"/>
    <col min="4" max="4" width="6" style="8" customWidth="1"/>
    <col min="5" max="5" width="6" style="25" customWidth="1"/>
    <col min="6" max="6" width="6.42578125" style="8" customWidth="1"/>
    <col min="7" max="7" width="6.140625" style="25" customWidth="1"/>
    <col min="8" max="8" width="6.140625" style="8" customWidth="1"/>
    <col min="9" max="9" width="6.7109375" style="25" customWidth="1"/>
    <col min="10" max="10" width="7" style="8" customWidth="1"/>
    <col min="11" max="11" width="6.7109375" style="25" customWidth="1"/>
    <col min="12" max="12" width="7.28515625" style="8" customWidth="1"/>
    <col min="13" max="13" width="7.42578125" style="25" customWidth="1"/>
    <col min="14" max="14" width="7.28515625" style="8" customWidth="1"/>
    <col min="15" max="15" width="7.28515625" style="8" hidden="1" customWidth="1"/>
    <col min="16" max="26" width="6.7109375" style="8" hidden="1" customWidth="1"/>
    <col min="27" max="16384" width="9.140625" style="8"/>
  </cols>
  <sheetData>
    <row r="1" spans="1:26" s="6" customFormat="1" ht="28.5" customHeight="1">
      <c r="A1" s="19" t="s">
        <v>106</v>
      </c>
      <c r="B1" s="20" t="s">
        <v>98</v>
      </c>
      <c r="C1" s="22" t="s">
        <v>56</v>
      </c>
      <c r="D1" s="20" t="s">
        <v>74</v>
      </c>
      <c r="E1" s="22" t="s">
        <v>57</v>
      </c>
      <c r="F1" s="20" t="s">
        <v>73</v>
      </c>
      <c r="G1" s="22" t="s">
        <v>84</v>
      </c>
      <c r="H1" s="20" t="s">
        <v>85</v>
      </c>
      <c r="I1" s="22" t="s">
        <v>86</v>
      </c>
      <c r="J1" s="20" t="s">
        <v>87</v>
      </c>
      <c r="K1" s="22" t="s">
        <v>88</v>
      </c>
      <c r="L1" s="20" t="s">
        <v>89</v>
      </c>
      <c r="M1" s="22" t="s">
        <v>90</v>
      </c>
      <c r="N1" s="20" t="s">
        <v>91</v>
      </c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48" customHeight="1">
      <c r="A2" s="20" t="s">
        <v>50</v>
      </c>
      <c r="B2" s="7"/>
      <c r="C2" s="23"/>
      <c r="D2" s="7"/>
      <c r="E2" s="24"/>
      <c r="F2" s="7"/>
      <c r="G2" s="24"/>
      <c r="H2" s="7"/>
      <c r="I2" s="24"/>
      <c r="J2" s="7"/>
      <c r="K2" s="24"/>
      <c r="L2" s="7"/>
      <c r="M2" s="24"/>
      <c r="N2" s="7"/>
      <c r="O2" t="b">
        <v>1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</row>
    <row r="3" spans="1:26" ht="49.5" customHeight="1">
      <c r="A3" s="20" t="s">
        <v>51</v>
      </c>
      <c r="B3" s="7"/>
      <c r="C3" s="24"/>
      <c r="D3" s="7"/>
      <c r="E3" s="24"/>
      <c r="F3" s="7"/>
      <c r="G3" s="24"/>
      <c r="H3" s="7"/>
      <c r="I3" s="24"/>
      <c r="J3" s="7"/>
      <c r="K3" s="24"/>
      <c r="L3" s="7"/>
      <c r="M3" s="24"/>
      <c r="N3" s="7"/>
      <c r="O3" t="b">
        <v>0</v>
      </c>
      <c r="P3" t="b">
        <v>1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</row>
    <row r="4" spans="1:26" ht="52.5" customHeight="1">
      <c r="A4" s="20" t="s">
        <v>52</v>
      </c>
      <c r="B4" s="7"/>
      <c r="C4" s="24"/>
      <c r="D4" s="7"/>
      <c r="E4" s="24"/>
      <c r="F4" s="7"/>
      <c r="G4" s="24"/>
      <c r="H4" s="7"/>
      <c r="I4" s="24"/>
      <c r="J4" s="7"/>
      <c r="K4" s="24"/>
      <c r="L4" s="7"/>
      <c r="M4" s="24"/>
      <c r="N4" s="7"/>
      <c r="O4" t="b">
        <v>0</v>
      </c>
      <c r="P4" t="b">
        <v>0</v>
      </c>
      <c r="Q4" t="b">
        <v>1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</row>
    <row r="5" spans="1:26" ht="51" customHeight="1">
      <c r="A5" s="20" t="s">
        <v>53</v>
      </c>
      <c r="B5" s="7"/>
      <c r="C5" s="24"/>
      <c r="D5" s="7"/>
      <c r="E5" s="24"/>
      <c r="F5" s="7"/>
      <c r="G5" s="24"/>
      <c r="H5" s="7"/>
      <c r="I5" s="24"/>
      <c r="J5" s="7"/>
      <c r="K5" s="24"/>
      <c r="L5" s="7"/>
      <c r="M5" s="24"/>
      <c r="N5" s="7"/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</row>
    <row r="6" spans="1:26" ht="49.5" customHeight="1">
      <c r="A6" s="20" t="s">
        <v>127</v>
      </c>
      <c r="C6" s="24"/>
      <c r="D6" s="7"/>
      <c r="E6" s="24"/>
      <c r="F6" s="7"/>
      <c r="G6" s="24"/>
      <c r="H6" s="7"/>
      <c r="I6" s="24"/>
      <c r="J6" s="7"/>
      <c r="K6" s="24"/>
      <c r="L6" s="7"/>
      <c r="M6" s="24"/>
      <c r="N6" s="7"/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</row>
    <row r="7" spans="1:26" ht="50.25" customHeight="1">
      <c r="A7" s="20" t="s">
        <v>128</v>
      </c>
      <c r="C7" s="24"/>
      <c r="D7" s="7"/>
      <c r="E7" s="24"/>
      <c r="F7" s="7"/>
      <c r="G7" s="24"/>
      <c r="H7" s="7"/>
      <c r="I7" s="24"/>
      <c r="J7" s="7"/>
      <c r="K7" s="24"/>
      <c r="L7" s="7"/>
      <c r="M7" s="24"/>
      <c r="N7" s="21"/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</row>
  </sheetData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217" r:id="rId4" name="cmd_pubSheet">
          <controlPr defaultSize="0" autoLine="0" autoPict="0" r:id="rId5">
            <anchor moveWithCells="1">
              <from>
                <xdr:col>26</xdr:col>
                <xdr:colOff>9525</xdr:colOff>
                <xdr:row>13</xdr:row>
                <xdr:rowOff>19050</xdr:rowOff>
              </from>
              <to>
                <xdr:col>27</xdr:col>
                <xdr:colOff>609600</xdr:colOff>
                <xdr:row>15</xdr:row>
                <xdr:rowOff>9525</xdr:rowOff>
              </to>
            </anchor>
          </controlPr>
        </control>
      </mc:Choice>
      <mc:Fallback>
        <control shapeId="3217" r:id="rId4" name="cmd_pubSheet"/>
      </mc:Fallback>
    </mc:AlternateContent>
    <mc:AlternateContent xmlns:mc="http://schemas.openxmlformats.org/markup-compatibility/2006">
      <mc:Choice Requires="x14">
        <control shapeId="3073" r:id="rId6" name="Check Box 1">
          <controlPr defaultSize="0" autoFill="0" autoLine="0" autoPict="0" macro="[0]!CheckBox1_Click" altText="PO1">
            <anchor moveWithCells="1">
              <from>
                <xdr:col>2</xdr:col>
                <xdr:colOff>123825</xdr:colOff>
                <xdr:row>1</xdr:row>
                <xdr:rowOff>152400</xdr:rowOff>
              </from>
              <to>
                <xdr:col>3</xdr:col>
                <xdr:colOff>19050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Check Box 2">
          <controlPr defaultSize="0" autoFill="0" autoLine="0" autoPict="0" macro="[0]!CheckBox2_Click" altText="PO2">
            <anchor moveWithCells="1">
              <from>
                <xdr:col>3</xdr:col>
                <xdr:colOff>123825</xdr:colOff>
                <xdr:row>1</xdr:row>
                <xdr:rowOff>152400</xdr:rowOff>
              </from>
              <to>
                <xdr:col>4</xdr:col>
                <xdr:colOff>76200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8" name="Check Box 3">
          <controlPr defaultSize="0" autoFill="0" autoLine="0" autoPict="0" altText="PO3">
            <anchor moveWithCells="1">
              <from>
                <xdr:col>4</xdr:col>
                <xdr:colOff>123825</xdr:colOff>
                <xdr:row>1</xdr:row>
                <xdr:rowOff>152400</xdr:rowOff>
              </from>
              <to>
                <xdr:col>5</xdr:col>
                <xdr:colOff>76200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Check Box 4">
          <controlPr defaultSize="0" autoFill="0" autoLine="0" autoPict="0" altText="PO1">
            <anchor moveWithCells="1">
              <from>
                <xdr:col>5</xdr:col>
                <xdr:colOff>123825</xdr:colOff>
                <xdr:row>1</xdr:row>
                <xdr:rowOff>152400</xdr:rowOff>
              </from>
              <to>
                <xdr:col>6</xdr:col>
                <xdr:colOff>47625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10" name="Check Box 5">
          <controlPr defaultSize="0" autoFill="0" autoLine="0" autoPict="0" altText="PO1">
            <anchor moveWithCells="1">
              <from>
                <xdr:col>6</xdr:col>
                <xdr:colOff>123825</xdr:colOff>
                <xdr:row>1</xdr:row>
                <xdr:rowOff>152400</xdr:rowOff>
              </from>
              <to>
                <xdr:col>7</xdr:col>
                <xdr:colOff>66675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11" name="Check Box 6">
          <controlPr defaultSize="0" autoFill="0" autoLine="0" autoPict="0" altText="PO1">
            <anchor moveWithCells="1">
              <from>
                <xdr:col>7</xdr:col>
                <xdr:colOff>123825</xdr:colOff>
                <xdr:row>1</xdr:row>
                <xdr:rowOff>152400</xdr:rowOff>
              </from>
              <to>
                <xdr:col>8</xdr:col>
                <xdr:colOff>66675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2" name="Check Box 7">
          <controlPr defaultSize="0" autoFill="0" autoLine="0" autoPict="0" altText="PO1">
            <anchor moveWithCells="1">
              <from>
                <xdr:col>8</xdr:col>
                <xdr:colOff>123825</xdr:colOff>
                <xdr:row>1</xdr:row>
                <xdr:rowOff>152400</xdr:rowOff>
              </from>
              <to>
                <xdr:col>9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3" name="Check Box 8">
          <controlPr defaultSize="0" autoFill="0" autoLine="0" autoPict="0" altText="PO1">
            <anchor moveWithCells="1">
              <from>
                <xdr:col>9</xdr:col>
                <xdr:colOff>142875</xdr:colOff>
                <xdr:row>1</xdr:row>
                <xdr:rowOff>152400</xdr:rowOff>
              </from>
              <to>
                <xdr:col>10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4" name="Check Box 9">
          <controlPr defaultSize="0" autoFill="0" autoLine="0" autoPict="0" altText="PO1">
            <anchor moveWithCells="1">
              <from>
                <xdr:col>10</xdr:col>
                <xdr:colOff>123825</xdr:colOff>
                <xdr:row>1</xdr:row>
                <xdr:rowOff>152400</xdr:rowOff>
              </from>
              <to>
                <xdr:col>11</xdr:col>
                <xdr:colOff>28575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5" name="Check Box 10">
          <controlPr defaultSize="0" autoFill="0" autoLine="0" autoPict="0" altText="PO1">
            <anchor moveWithCells="1">
              <from>
                <xdr:col>11</xdr:col>
                <xdr:colOff>133350</xdr:colOff>
                <xdr:row>1</xdr:row>
                <xdr:rowOff>152400</xdr:rowOff>
              </from>
              <to>
                <xdr:col>11</xdr:col>
                <xdr:colOff>495300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6" name="Check Box 11">
          <controlPr defaultSize="0" autoFill="0" autoLine="0" autoPict="0" altText="PO1">
            <anchor moveWithCells="1">
              <from>
                <xdr:col>12</xdr:col>
                <xdr:colOff>152400</xdr:colOff>
                <xdr:row>1</xdr:row>
                <xdr:rowOff>152400</xdr:rowOff>
              </from>
              <to>
                <xdr:col>13</xdr:col>
                <xdr:colOff>9525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7" name="Check Box 12">
          <controlPr defaultSize="0" autoFill="0" autoLine="0" autoPict="0" altText="PO1">
            <anchor moveWithCells="1">
              <from>
                <xdr:col>13</xdr:col>
                <xdr:colOff>114300</xdr:colOff>
                <xdr:row>1</xdr:row>
                <xdr:rowOff>152400</xdr:rowOff>
              </from>
              <to>
                <xdr:col>13</xdr:col>
                <xdr:colOff>476250</xdr:colOff>
                <xdr:row>1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8" name="Check Box 13">
          <controlPr defaultSize="0" autoFill="0" autoLine="0" autoPict="0" altText="PO1">
            <anchor moveWithCells="1">
              <from>
                <xdr:col>2</xdr:col>
                <xdr:colOff>123825</xdr:colOff>
                <xdr:row>2</xdr:row>
                <xdr:rowOff>190500</xdr:rowOff>
              </from>
              <to>
                <xdr:col>3</xdr:col>
                <xdr:colOff>19050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9" name="Check Box 14">
          <controlPr defaultSize="0" autoFill="0" autoLine="0" autoPict="0" altText="PO2">
            <anchor moveWithCells="1">
              <from>
                <xdr:col>3</xdr:col>
                <xdr:colOff>123825</xdr:colOff>
                <xdr:row>2</xdr:row>
                <xdr:rowOff>190500</xdr:rowOff>
              </from>
              <to>
                <xdr:col>4</xdr:col>
                <xdr:colOff>76200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20" name="Check Box 15">
          <controlPr defaultSize="0" autoFill="0" autoLine="0" autoPict="0" altText="PO3">
            <anchor moveWithCells="1">
              <from>
                <xdr:col>4</xdr:col>
                <xdr:colOff>123825</xdr:colOff>
                <xdr:row>2</xdr:row>
                <xdr:rowOff>190500</xdr:rowOff>
              </from>
              <to>
                <xdr:col>5</xdr:col>
                <xdr:colOff>76200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21" name="Check Box 16">
          <controlPr defaultSize="0" autoFill="0" autoLine="0" autoPict="0" altText="PO1">
            <anchor moveWithCells="1">
              <from>
                <xdr:col>5</xdr:col>
                <xdr:colOff>123825</xdr:colOff>
                <xdr:row>2</xdr:row>
                <xdr:rowOff>190500</xdr:rowOff>
              </from>
              <to>
                <xdr:col>6</xdr:col>
                <xdr:colOff>47625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22" name="Check Box 17">
          <controlPr defaultSize="0" autoFill="0" autoLine="0" autoPict="0" altText="PO1">
            <anchor moveWithCells="1">
              <from>
                <xdr:col>6</xdr:col>
                <xdr:colOff>123825</xdr:colOff>
                <xdr:row>2</xdr:row>
                <xdr:rowOff>190500</xdr:rowOff>
              </from>
              <to>
                <xdr:col>7</xdr:col>
                <xdr:colOff>66675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23" name="Check Box 18">
          <controlPr defaultSize="0" autoFill="0" autoLine="0" autoPict="0" altText="PO1">
            <anchor moveWithCells="1">
              <from>
                <xdr:col>7</xdr:col>
                <xdr:colOff>123825</xdr:colOff>
                <xdr:row>2</xdr:row>
                <xdr:rowOff>190500</xdr:rowOff>
              </from>
              <to>
                <xdr:col>8</xdr:col>
                <xdr:colOff>66675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24" name="Check Box 19">
          <controlPr defaultSize="0" autoFill="0" autoLine="0" autoPict="0" altText="PO1">
            <anchor moveWithCells="1">
              <from>
                <xdr:col>8</xdr:col>
                <xdr:colOff>123825</xdr:colOff>
                <xdr:row>2</xdr:row>
                <xdr:rowOff>190500</xdr:rowOff>
              </from>
              <to>
                <xdr:col>9</xdr:col>
                <xdr:colOff>28575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25" name="Check Box 20">
          <controlPr defaultSize="0" autoFill="0" autoLine="0" autoPict="0" altText="PO1">
            <anchor moveWithCells="1">
              <from>
                <xdr:col>9</xdr:col>
                <xdr:colOff>123825</xdr:colOff>
                <xdr:row>2</xdr:row>
                <xdr:rowOff>190500</xdr:rowOff>
              </from>
              <to>
                <xdr:col>10</xdr:col>
                <xdr:colOff>9525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26" name="Check Box 21">
          <controlPr defaultSize="0" autoFill="0" autoLine="0" autoPict="0" altText="PO1">
            <anchor moveWithCells="1">
              <from>
                <xdr:col>10</xdr:col>
                <xdr:colOff>123825</xdr:colOff>
                <xdr:row>2</xdr:row>
                <xdr:rowOff>190500</xdr:rowOff>
              </from>
              <to>
                <xdr:col>11</xdr:col>
                <xdr:colOff>28575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7" name="Check Box 22">
          <controlPr defaultSize="0" autoFill="0" autoLine="0" autoPict="0" altText="PO1">
            <anchor moveWithCells="1">
              <from>
                <xdr:col>11</xdr:col>
                <xdr:colOff>123825</xdr:colOff>
                <xdr:row>2</xdr:row>
                <xdr:rowOff>190500</xdr:rowOff>
              </from>
              <to>
                <xdr:col>11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8" name="Check Box 23">
          <controlPr defaultSize="0" autoFill="0" autoLine="0" autoPict="0" altText="PO1">
            <anchor moveWithCells="1">
              <from>
                <xdr:col>12</xdr:col>
                <xdr:colOff>123825</xdr:colOff>
                <xdr:row>2</xdr:row>
                <xdr:rowOff>190500</xdr:rowOff>
              </from>
              <to>
                <xdr:col>12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29" name="Check Box 24">
          <controlPr defaultSize="0" autoFill="0" autoLine="0" autoPict="0" altText="PO1">
            <anchor moveWithCells="1">
              <from>
                <xdr:col>13</xdr:col>
                <xdr:colOff>123825</xdr:colOff>
                <xdr:row>2</xdr:row>
                <xdr:rowOff>190500</xdr:rowOff>
              </from>
              <to>
                <xdr:col>13</xdr:col>
                <xdr:colOff>485775</xdr:colOff>
                <xdr:row>2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30" name="Check Box 25">
          <controlPr defaultSize="0" autoFill="0" autoLine="0" autoPict="0" altText="PO1">
            <anchor moveWithCells="1">
              <from>
                <xdr:col>2</xdr:col>
                <xdr:colOff>123825</xdr:colOff>
                <xdr:row>3</xdr:row>
                <xdr:rowOff>200025</xdr:rowOff>
              </from>
              <to>
                <xdr:col>3</xdr:col>
                <xdr:colOff>19050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31" name="Check Box 26">
          <controlPr defaultSize="0" autoFill="0" autoLine="0" autoPict="0" altText="PO2">
            <anchor moveWithCells="1">
              <from>
                <xdr:col>3</xdr:col>
                <xdr:colOff>123825</xdr:colOff>
                <xdr:row>3</xdr:row>
                <xdr:rowOff>200025</xdr:rowOff>
              </from>
              <to>
                <xdr:col>4</xdr:col>
                <xdr:colOff>76200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32" name="Check Box 27">
          <controlPr defaultSize="0" autoFill="0" autoLine="0" autoPict="0" macro="[0]!CheckBox27_Click" altText="PO3">
            <anchor moveWithCells="1">
              <from>
                <xdr:col>4</xdr:col>
                <xdr:colOff>123825</xdr:colOff>
                <xdr:row>3</xdr:row>
                <xdr:rowOff>200025</xdr:rowOff>
              </from>
              <to>
                <xdr:col>5</xdr:col>
                <xdr:colOff>76200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33" name="Check Box 28">
          <controlPr defaultSize="0" autoFill="0" autoLine="0" autoPict="0" altText="PO1">
            <anchor moveWithCells="1">
              <from>
                <xdr:col>5</xdr:col>
                <xdr:colOff>123825</xdr:colOff>
                <xdr:row>3</xdr:row>
                <xdr:rowOff>200025</xdr:rowOff>
              </from>
              <to>
                <xdr:col>6</xdr:col>
                <xdr:colOff>47625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1" r:id="rId34" name="Check Box 29">
          <controlPr defaultSize="0" autoFill="0" autoLine="0" autoPict="0" altText="PO1">
            <anchor moveWithCells="1">
              <from>
                <xdr:col>6</xdr:col>
                <xdr:colOff>123825</xdr:colOff>
                <xdr:row>3</xdr:row>
                <xdr:rowOff>200025</xdr:rowOff>
              </from>
              <to>
                <xdr:col>7</xdr:col>
                <xdr:colOff>66675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35" name="Check Box 30">
          <controlPr defaultSize="0" autoFill="0" autoLine="0" autoPict="0" altText="PO1">
            <anchor moveWithCells="1">
              <from>
                <xdr:col>7</xdr:col>
                <xdr:colOff>123825</xdr:colOff>
                <xdr:row>3</xdr:row>
                <xdr:rowOff>200025</xdr:rowOff>
              </from>
              <to>
                <xdr:col>8</xdr:col>
                <xdr:colOff>66675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36" name="Check Box 31">
          <controlPr defaultSize="0" autoFill="0" autoLine="0" autoPict="0" altText="PO1">
            <anchor moveWithCells="1">
              <from>
                <xdr:col>8</xdr:col>
                <xdr:colOff>123825</xdr:colOff>
                <xdr:row>3</xdr:row>
                <xdr:rowOff>200025</xdr:rowOff>
              </from>
              <to>
                <xdr:col>9</xdr:col>
                <xdr:colOff>28575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37" name="Check Box 32">
          <controlPr defaultSize="0" autoFill="0" autoLine="0" autoPict="0" altText="PO1">
            <anchor moveWithCells="1">
              <from>
                <xdr:col>9</xdr:col>
                <xdr:colOff>123825</xdr:colOff>
                <xdr:row>3</xdr:row>
                <xdr:rowOff>200025</xdr:rowOff>
              </from>
              <to>
                <xdr:col>10</xdr:col>
                <xdr:colOff>9525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38" name="Check Box 33">
          <controlPr defaultSize="0" autoFill="0" autoLine="0" autoPict="0" altText="PO1">
            <anchor moveWithCells="1">
              <from>
                <xdr:col>10</xdr:col>
                <xdr:colOff>123825</xdr:colOff>
                <xdr:row>3</xdr:row>
                <xdr:rowOff>200025</xdr:rowOff>
              </from>
              <to>
                <xdr:col>11</xdr:col>
                <xdr:colOff>28575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6" r:id="rId39" name="Check Box 34">
          <controlPr defaultSize="0" autoFill="0" autoLine="0" autoPict="0" altText="PO1">
            <anchor moveWithCells="1">
              <from>
                <xdr:col>11</xdr:col>
                <xdr:colOff>123825</xdr:colOff>
                <xdr:row>3</xdr:row>
                <xdr:rowOff>200025</xdr:rowOff>
              </from>
              <to>
                <xdr:col>11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7" r:id="rId40" name="Check Box 35">
          <controlPr defaultSize="0" autoFill="0" autoLine="0" autoPict="0" altText="PO1">
            <anchor moveWithCells="1">
              <from>
                <xdr:col>12</xdr:col>
                <xdr:colOff>123825</xdr:colOff>
                <xdr:row>3</xdr:row>
                <xdr:rowOff>200025</xdr:rowOff>
              </from>
              <to>
                <xdr:col>12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41" name="Check Box 36">
          <controlPr defaultSize="0" autoFill="0" autoLine="0" autoPict="0" altText="PO1">
            <anchor moveWithCells="1">
              <from>
                <xdr:col>13</xdr:col>
                <xdr:colOff>123825</xdr:colOff>
                <xdr:row>3</xdr:row>
                <xdr:rowOff>200025</xdr:rowOff>
              </from>
              <to>
                <xdr:col>13</xdr:col>
                <xdr:colOff>485775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9" r:id="rId42" name="Check Box 97">
          <controlPr defaultSize="0" autoFill="0" autoLine="0" autoPict="0" altText="PO1">
            <anchor moveWithCells="1">
              <from>
                <xdr:col>2</xdr:col>
                <xdr:colOff>123825</xdr:colOff>
                <xdr:row>6</xdr:row>
                <xdr:rowOff>190500</xdr:rowOff>
              </from>
              <to>
                <xdr:col>3</xdr:col>
                <xdr:colOff>19050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0" r:id="rId43" name="Check Box 98">
          <controlPr defaultSize="0" autoFill="0" autoLine="0" autoPict="0" altText="PO2">
            <anchor moveWithCells="1">
              <from>
                <xdr:col>3</xdr:col>
                <xdr:colOff>123825</xdr:colOff>
                <xdr:row>6</xdr:row>
                <xdr:rowOff>190500</xdr:rowOff>
              </from>
              <to>
                <xdr:col>4</xdr:col>
                <xdr:colOff>76200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1" r:id="rId44" name="Check Box 99">
          <controlPr defaultSize="0" autoFill="0" autoLine="0" autoPict="0" altText="PO3">
            <anchor moveWithCells="1">
              <from>
                <xdr:col>4</xdr:col>
                <xdr:colOff>123825</xdr:colOff>
                <xdr:row>6</xdr:row>
                <xdr:rowOff>190500</xdr:rowOff>
              </from>
              <to>
                <xdr:col>5</xdr:col>
                <xdr:colOff>76200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2" r:id="rId45" name="Check Box 100">
          <controlPr defaultSize="0" autoFill="0" autoLine="0" autoPict="0" altText="PO1">
            <anchor moveWithCells="1">
              <from>
                <xdr:col>5</xdr:col>
                <xdr:colOff>123825</xdr:colOff>
                <xdr:row>6</xdr:row>
                <xdr:rowOff>190500</xdr:rowOff>
              </from>
              <to>
                <xdr:col>6</xdr:col>
                <xdr:colOff>47625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3" r:id="rId46" name="Check Box 101">
          <controlPr defaultSize="0" autoFill="0" autoLine="0" autoPict="0" altText="PO1">
            <anchor moveWithCells="1">
              <from>
                <xdr:col>6</xdr:col>
                <xdr:colOff>123825</xdr:colOff>
                <xdr:row>6</xdr:row>
                <xdr:rowOff>190500</xdr:rowOff>
              </from>
              <to>
                <xdr:col>7</xdr:col>
                <xdr:colOff>66675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" r:id="rId47" name="Check Box 102">
          <controlPr defaultSize="0" autoFill="0" autoLine="0" autoPict="0" altText="PO1">
            <anchor moveWithCells="1">
              <from>
                <xdr:col>7</xdr:col>
                <xdr:colOff>123825</xdr:colOff>
                <xdr:row>6</xdr:row>
                <xdr:rowOff>190500</xdr:rowOff>
              </from>
              <to>
                <xdr:col>8</xdr:col>
                <xdr:colOff>66675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5" r:id="rId48" name="Check Box 103">
          <controlPr defaultSize="0" autoFill="0" autoLine="0" autoPict="0" altText="PO1">
            <anchor moveWithCells="1">
              <from>
                <xdr:col>8</xdr:col>
                <xdr:colOff>123825</xdr:colOff>
                <xdr:row>6</xdr:row>
                <xdr:rowOff>190500</xdr:rowOff>
              </from>
              <to>
                <xdr:col>9</xdr:col>
                <xdr:colOff>28575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r:id="rId49" name="Check Box 104">
          <controlPr defaultSize="0" autoFill="0" autoLine="0" autoPict="0" altText="PO1">
            <anchor moveWithCells="1">
              <from>
                <xdr:col>9</xdr:col>
                <xdr:colOff>123825</xdr:colOff>
                <xdr:row>6</xdr:row>
                <xdr:rowOff>190500</xdr:rowOff>
              </from>
              <to>
                <xdr:col>10</xdr:col>
                <xdr:colOff>9525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7" r:id="rId50" name="Check Box 105">
          <controlPr defaultSize="0" autoFill="0" autoLine="0" autoPict="0" altText="PO1">
            <anchor moveWithCells="1">
              <from>
                <xdr:col>10</xdr:col>
                <xdr:colOff>123825</xdr:colOff>
                <xdr:row>6</xdr:row>
                <xdr:rowOff>190500</xdr:rowOff>
              </from>
              <to>
                <xdr:col>11</xdr:col>
                <xdr:colOff>28575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8" r:id="rId51" name="Check Box 106">
          <controlPr defaultSize="0" autoFill="0" autoLine="0" autoPict="0" altText="PO1">
            <anchor moveWithCells="1">
              <from>
                <xdr:col>11</xdr:col>
                <xdr:colOff>123825</xdr:colOff>
                <xdr:row>6</xdr:row>
                <xdr:rowOff>190500</xdr:rowOff>
              </from>
              <to>
                <xdr:col>11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9" r:id="rId52" name="Check Box 107">
          <controlPr defaultSize="0" autoFill="0" autoLine="0" autoPict="0" altText="PO1">
            <anchor moveWithCells="1">
              <from>
                <xdr:col>12</xdr:col>
                <xdr:colOff>123825</xdr:colOff>
                <xdr:row>6</xdr:row>
                <xdr:rowOff>190500</xdr:rowOff>
              </from>
              <to>
                <xdr:col>12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0" r:id="rId53" name="Check Box 108">
          <controlPr defaultSize="0" autoFill="0" autoLine="0" autoPict="0" altText="PO1">
            <anchor moveWithCells="1">
              <from>
                <xdr:col>13</xdr:col>
                <xdr:colOff>123825</xdr:colOff>
                <xdr:row>6</xdr:row>
                <xdr:rowOff>190500</xdr:rowOff>
              </from>
              <to>
                <xdr:col>13</xdr:col>
                <xdr:colOff>485775</xdr:colOff>
                <xdr:row>6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3" r:id="rId54" name="Check Box 121">
          <controlPr defaultSize="0" autoFill="0" autoLine="0" autoPict="0" altText="PO1">
            <anchor moveWithCells="1">
              <from>
                <xdr:col>2</xdr:col>
                <xdr:colOff>123825</xdr:colOff>
                <xdr:row>4</xdr:row>
                <xdr:rowOff>200025</xdr:rowOff>
              </from>
              <to>
                <xdr:col>3</xdr:col>
                <xdr:colOff>19050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4" r:id="rId55" name="Check Box 122">
          <controlPr defaultSize="0" autoFill="0" autoLine="0" autoPict="0" altText="PO2">
            <anchor moveWithCells="1">
              <from>
                <xdr:col>3</xdr:col>
                <xdr:colOff>123825</xdr:colOff>
                <xdr:row>4</xdr:row>
                <xdr:rowOff>200025</xdr:rowOff>
              </from>
              <to>
                <xdr:col>4</xdr:col>
                <xdr:colOff>76200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5" r:id="rId56" name="Check Box 123">
          <controlPr defaultSize="0" autoFill="0" autoLine="0" autoPict="0" altText="PO3">
            <anchor moveWithCells="1">
              <from>
                <xdr:col>4</xdr:col>
                <xdr:colOff>123825</xdr:colOff>
                <xdr:row>4</xdr:row>
                <xdr:rowOff>200025</xdr:rowOff>
              </from>
              <to>
                <xdr:col>5</xdr:col>
                <xdr:colOff>76200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6" r:id="rId57" name="Check Box 124">
          <controlPr defaultSize="0" autoFill="0" autoLine="0" autoPict="0" altText="PO1">
            <anchor moveWithCells="1">
              <from>
                <xdr:col>5</xdr:col>
                <xdr:colOff>123825</xdr:colOff>
                <xdr:row>4</xdr:row>
                <xdr:rowOff>200025</xdr:rowOff>
              </from>
              <to>
                <xdr:col>6</xdr:col>
                <xdr:colOff>47625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7" r:id="rId58" name="Check Box 125">
          <controlPr defaultSize="0" autoFill="0" autoLine="0" autoPict="0" altText="PO1">
            <anchor moveWithCells="1">
              <from>
                <xdr:col>6</xdr:col>
                <xdr:colOff>123825</xdr:colOff>
                <xdr:row>4</xdr:row>
                <xdr:rowOff>200025</xdr:rowOff>
              </from>
              <to>
                <xdr:col>7</xdr:col>
                <xdr:colOff>66675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8" r:id="rId59" name="Check Box 126">
          <controlPr defaultSize="0" autoFill="0" autoLine="0" autoPict="0" altText="PO1">
            <anchor moveWithCells="1">
              <from>
                <xdr:col>7</xdr:col>
                <xdr:colOff>123825</xdr:colOff>
                <xdr:row>4</xdr:row>
                <xdr:rowOff>200025</xdr:rowOff>
              </from>
              <to>
                <xdr:col>8</xdr:col>
                <xdr:colOff>66675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99" r:id="rId60" name="Check Box 127">
          <controlPr defaultSize="0" autoFill="0" autoLine="0" autoPict="0" altText="PO1">
            <anchor moveWithCells="1">
              <from>
                <xdr:col>8</xdr:col>
                <xdr:colOff>123825</xdr:colOff>
                <xdr:row>4</xdr:row>
                <xdr:rowOff>200025</xdr:rowOff>
              </from>
              <to>
                <xdr:col>9</xdr:col>
                <xdr:colOff>28575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0" r:id="rId61" name="Check Box 128">
          <controlPr defaultSize="0" autoFill="0" autoLine="0" autoPict="0" altText="PO1">
            <anchor moveWithCells="1">
              <from>
                <xdr:col>9</xdr:col>
                <xdr:colOff>123825</xdr:colOff>
                <xdr:row>4</xdr:row>
                <xdr:rowOff>200025</xdr:rowOff>
              </from>
              <to>
                <xdr:col>10</xdr:col>
                <xdr:colOff>9525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1" r:id="rId62" name="Check Box 129">
          <controlPr defaultSize="0" autoFill="0" autoLine="0" autoPict="0" altText="PO1">
            <anchor moveWithCells="1">
              <from>
                <xdr:col>10</xdr:col>
                <xdr:colOff>123825</xdr:colOff>
                <xdr:row>4</xdr:row>
                <xdr:rowOff>200025</xdr:rowOff>
              </from>
              <to>
                <xdr:col>11</xdr:col>
                <xdr:colOff>28575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2" r:id="rId63" name="Check Box 130">
          <controlPr defaultSize="0" autoFill="0" autoLine="0" autoPict="0" altText="PO1">
            <anchor moveWithCells="1">
              <from>
                <xdr:col>11</xdr:col>
                <xdr:colOff>123825</xdr:colOff>
                <xdr:row>4</xdr:row>
                <xdr:rowOff>200025</xdr:rowOff>
              </from>
              <to>
                <xdr:col>11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3" r:id="rId64" name="Check Box 131">
          <controlPr defaultSize="0" autoFill="0" autoLine="0" autoPict="0" altText="PO1">
            <anchor moveWithCells="1">
              <from>
                <xdr:col>12</xdr:col>
                <xdr:colOff>123825</xdr:colOff>
                <xdr:row>4</xdr:row>
                <xdr:rowOff>200025</xdr:rowOff>
              </from>
              <to>
                <xdr:col>12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4" r:id="rId65" name="Check Box 132">
          <controlPr defaultSize="0" autoFill="0" autoLine="0" autoPict="0" altText="PO1">
            <anchor moveWithCells="1">
              <from>
                <xdr:col>13</xdr:col>
                <xdr:colOff>123825</xdr:colOff>
                <xdr:row>4</xdr:row>
                <xdr:rowOff>200025</xdr:rowOff>
              </from>
              <to>
                <xdr:col>13</xdr:col>
                <xdr:colOff>485775</xdr:colOff>
                <xdr:row>4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5" r:id="rId66" name="Check Box 133">
          <controlPr defaultSize="0" autoFill="0" autoLine="0" autoPict="0" altText="PO1">
            <anchor moveWithCells="1">
              <from>
                <xdr:col>2</xdr:col>
                <xdr:colOff>123825</xdr:colOff>
                <xdr:row>5</xdr:row>
                <xdr:rowOff>200025</xdr:rowOff>
              </from>
              <to>
                <xdr:col>3</xdr:col>
                <xdr:colOff>19050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6" r:id="rId67" name="Check Box 134">
          <controlPr defaultSize="0" autoFill="0" autoLine="0" autoPict="0" altText="PO2">
            <anchor moveWithCells="1">
              <from>
                <xdr:col>3</xdr:col>
                <xdr:colOff>123825</xdr:colOff>
                <xdr:row>5</xdr:row>
                <xdr:rowOff>200025</xdr:rowOff>
              </from>
              <to>
                <xdr:col>4</xdr:col>
                <xdr:colOff>76200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7" r:id="rId68" name="Check Box 135">
          <controlPr defaultSize="0" autoFill="0" autoLine="0" autoPict="0" altText="PO3">
            <anchor moveWithCells="1">
              <from>
                <xdr:col>4</xdr:col>
                <xdr:colOff>123825</xdr:colOff>
                <xdr:row>5</xdr:row>
                <xdr:rowOff>200025</xdr:rowOff>
              </from>
              <to>
                <xdr:col>5</xdr:col>
                <xdr:colOff>76200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8" r:id="rId69" name="Check Box 136">
          <controlPr defaultSize="0" autoFill="0" autoLine="0" autoPict="0" altText="PO1">
            <anchor moveWithCells="1">
              <from>
                <xdr:col>5</xdr:col>
                <xdr:colOff>123825</xdr:colOff>
                <xdr:row>5</xdr:row>
                <xdr:rowOff>200025</xdr:rowOff>
              </from>
              <to>
                <xdr:col>6</xdr:col>
                <xdr:colOff>47625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09" r:id="rId70" name="Check Box 137">
          <controlPr defaultSize="0" autoFill="0" autoLine="0" autoPict="0" altText="PO1">
            <anchor moveWithCells="1">
              <from>
                <xdr:col>6</xdr:col>
                <xdr:colOff>123825</xdr:colOff>
                <xdr:row>5</xdr:row>
                <xdr:rowOff>200025</xdr:rowOff>
              </from>
              <to>
                <xdr:col>7</xdr:col>
                <xdr:colOff>66675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0" r:id="rId71" name="Check Box 138">
          <controlPr defaultSize="0" autoFill="0" autoLine="0" autoPict="0" altText="PO1">
            <anchor moveWithCells="1">
              <from>
                <xdr:col>7</xdr:col>
                <xdr:colOff>123825</xdr:colOff>
                <xdr:row>5</xdr:row>
                <xdr:rowOff>200025</xdr:rowOff>
              </from>
              <to>
                <xdr:col>8</xdr:col>
                <xdr:colOff>66675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1" r:id="rId72" name="Check Box 139">
          <controlPr defaultSize="0" autoFill="0" autoLine="0" autoPict="0" altText="PO1">
            <anchor moveWithCells="1">
              <from>
                <xdr:col>8</xdr:col>
                <xdr:colOff>123825</xdr:colOff>
                <xdr:row>5</xdr:row>
                <xdr:rowOff>200025</xdr:rowOff>
              </from>
              <to>
                <xdr:col>9</xdr:col>
                <xdr:colOff>28575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2" r:id="rId73" name="Check Box 140">
          <controlPr defaultSize="0" autoFill="0" autoLine="0" autoPict="0" altText="PO1">
            <anchor moveWithCells="1">
              <from>
                <xdr:col>9</xdr:col>
                <xdr:colOff>123825</xdr:colOff>
                <xdr:row>5</xdr:row>
                <xdr:rowOff>200025</xdr:rowOff>
              </from>
              <to>
                <xdr:col>10</xdr:col>
                <xdr:colOff>9525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3" r:id="rId74" name="Check Box 141">
          <controlPr defaultSize="0" autoFill="0" autoLine="0" autoPict="0" altText="PO1">
            <anchor moveWithCells="1">
              <from>
                <xdr:col>10</xdr:col>
                <xdr:colOff>123825</xdr:colOff>
                <xdr:row>5</xdr:row>
                <xdr:rowOff>200025</xdr:rowOff>
              </from>
              <to>
                <xdr:col>11</xdr:col>
                <xdr:colOff>28575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4" r:id="rId75" name="Check Box 142">
          <controlPr defaultSize="0" autoFill="0" autoLine="0" autoPict="0" altText="PO1">
            <anchor moveWithCells="1">
              <from>
                <xdr:col>11</xdr:col>
                <xdr:colOff>123825</xdr:colOff>
                <xdr:row>5</xdr:row>
                <xdr:rowOff>200025</xdr:rowOff>
              </from>
              <to>
                <xdr:col>11</xdr:col>
                <xdr:colOff>485775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5" r:id="rId76" name="Check Box 143">
          <controlPr defaultSize="0" autoFill="0" autoLine="0" autoPict="0" altText="PO1">
            <anchor moveWithCells="1">
              <from>
                <xdr:col>12</xdr:col>
                <xdr:colOff>123825</xdr:colOff>
                <xdr:row>5</xdr:row>
                <xdr:rowOff>200025</xdr:rowOff>
              </from>
              <to>
                <xdr:col>12</xdr:col>
                <xdr:colOff>485775</xdr:colOff>
                <xdr:row>5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16" r:id="rId77" name="Check Box 144">
          <controlPr defaultSize="0" autoFill="0" autoLine="0" autoPict="0" altText="PO1">
            <anchor moveWithCells="1">
              <from>
                <xdr:col>13</xdr:col>
                <xdr:colOff>123825</xdr:colOff>
                <xdr:row>5</xdr:row>
                <xdr:rowOff>200025</xdr:rowOff>
              </from>
              <to>
                <xdr:col>13</xdr:col>
                <xdr:colOff>485775</xdr:colOff>
                <xdr:row>5</xdr:row>
                <xdr:rowOff>561975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J65"/>
  <sheetViews>
    <sheetView topLeftCell="A16" workbookViewId="0">
      <selection activeCell="K62" sqref="K62"/>
    </sheetView>
  </sheetViews>
  <sheetFormatPr defaultRowHeight="12.75"/>
  <cols>
    <col min="3" max="3" width="18.5703125" customWidth="1"/>
    <col min="4" max="4" width="22.7109375" customWidth="1"/>
    <col min="5" max="5" width="15.140625" customWidth="1"/>
  </cols>
  <sheetData>
    <row r="4" spans="3:10">
      <c r="C4" s="246" t="s">
        <v>82</v>
      </c>
      <c r="D4" s="246" t="s">
        <v>48</v>
      </c>
      <c r="E4" s="249" t="s">
        <v>199</v>
      </c>
      <c r="F4" s="250"/>
      <c r="G4" s="250"/>
      <c r="H4" s="250"/>
      <c r="I4" s="250"/>
      <c r="J4" s="244" t="s">
        <v>191</v>
      </c>
    </row>
    <row r="5" spans="3:10">
      <c r="C5" s="247"/>
      <c r="D5" s="248"/>
      <c r="E5" s="107" t="s">
        <v>194</v>
      </c>
      <c r="F5" s="61" t="s">
        <v>195</v>
      </c>
      <c r="G5" s="61" t="s">
        <v>196</v>
      </c>
      <c r="H5" s="61" t="s">
        <v>197</v>
      </c>
      <c r="I5" s="61" t="s">
        <v>198</v>
      </c>
      <c r="J5" s="245"/>
    </row>
    <row r="6" spans="3:10">
      <c r="C6" s="247"/>
      <c r="D6" s="248"/>
      <c r="E6" s="66" t="s">
        <v>50</v>
      </c>
      <c r="F6" s="66" t="s">
        <v>50</v>
      </c>
      <c r="G6" s="66" t="s">
        <v>50</v>
      </c>
      <c r="H6" s="66" t="s">
        <v>50</v>
      </c>
      <c r="I6" s="61" t="s">
        <v>50</v>
      </c>
      <c r="J6" s="121">
        <v>25</v>
      </c>
    </row>
    <row r="7" spans="3:10">
      <c r="C7" s="247"/>
      <c r="D7" s="248"/>
      <c r="E7" s="62">
        <v>5</v>
      </c>
      <c r="F7" s="62">
        <v>5</v>
      </c>
      <c r="G7" s="62">
        <v>5</v>
      </c>
      <c r="H7" s="62">
        <v>5</v>
      </c>
      <c r="I7" s="62">
        <v>5</v>
      </c>
      <c r="J7" s="122">
        <f>E7+F7+G7+H7+I7</f>
        <v>25</v>
      </c>
    </row>
    <row r="8" spans="3:10" ht="15.75">
      <c r="C8" s="123">
        <v>22234103031</v>
      </c>
      <c r="D8" s="124" t="s">
        <v>147</v>
      </c>
      <c r="E8" s="128">
        <v>4</v>
      </c>
      <c r="F8" s="128">
        <v>4</v>
      </c>
      <c r="G8" s="129">
        <v>4</v>
      </c>
      <c r="H8" s="128">
        <v>4</v>
      </c>
      <c r="I8" s="128">
        <v>4</v>
      </c>
      <c r="J8" s="122">
        <f t="shared" ref="J8:J48" si="0">E8+F8+G8+H8+I8</f>
        <v>20</v>
      </c>
    </row>
    <row r="9" spans="3:10" ht="15.75">
      <c r="C9" s="123">
        <v>22234103342</v>
      </c>
      <c r="D9" s="124" t="s">
        <v>148</v>
      </c>
      <c r="E9" s="128">
        <v>4</v>
      </c>
      <c r="F9" s="128">
        <v>4</v>
      </c>
      <c r="G9" s="129">
        <v>4</v>
      </c>
      <c r="H9" s="128">
        <v>4</v>
      </c>
      <c r="I9" s="128">
        <v>4</v>
      </c>
      <c r="J9" s="122">
        <f t="shared" si="0"/>
        <v>20</v>
      </c>
    </row>
    <row r="10" spans="3:10" ht="15.75">
      <c r="C10" s="123">
        <v>22235103060</v>
      </c>
      <c r="D10" s="124" t="s">
        <v>149</v>
      </c>
      <c r="E10" s="128">
        <v>4</v>
      </c>
      <c r="F10" s="128">
        <v>4</v>
      </c>
      <c r="G10" s="129">
        <v>4</v>
      </c>
      <c r="H10" s="128">
        <v>4</v>
      </c>
      <c r="I10" s="128">
        <v>4</v>
      </c>
      <c r="J10" s="122">
        <f t="shared" si="0"/>
        <v>20</v>
      </c>
    </row>
    <row r="11" spans="3:10" ht="15.75">
      <c r="C11" s="123">
        <v>22235103061</v>
      </c>
      <c r="D11" s="124" t="s">
        <v>150</v>
      </c>
      <c r="E11" s="128">
        <v>4</v>
      </c>
      <c r="F11" s="128">
        <v>4</v>
      </c>
      <c r="G11" s="129">
        <v>4</v>
      </c>
      <c r="H11" s="128">
        <v>4</v>
      </c>
      <c r="I11" s="128">
        <v>4</v>
      </c>
      <c r="J11" s="122">
        <f t="shared" si="0"/>
        <v>20</v>
      </c>
    </row>
    <row r="12" spans="3:10" ht="31.5">
      <c r="C12" s="123">
        <v>22235103067</v>
      </c>
      <c r="D12" s="124" t="s">
        <v>151</v>
      </c>
      <c r="E12" s="128">
        <v>4</v>
      </c>
      <c r="F12" s="128">
        <v>4</v>
      </c>
      <c r="G12" s="129">
        <v>4</v>
      </c>
      <c r="H12" s="128">
        <v>4</v>
      </c>
      <c r="I12" s="128">
        <v>4</v>
      </c>
      <c r="J12" s="122">
        <f t="shared" si="0"/>
        <v>20</v>
      </c>
    </row>
    <row r="13" spans="3:10" ht="15.75">
      <c r="C13" s="123">
        <v>22235103075</v>
      </c>
      <c r="D13" s="124" t="s">
        <v>152</v>
      </c>
      <c r="E13" s="128">
        <v>4</v>
      </c>
      <c r="F13" s="128">
        <v>4</v>
      </c>
      <c r="G13" s="129">
        <v>4</v>
      </c>
      <c r="H13" s="128">
        <v>4</v>
      </c>
      <c r="I13" s="128">
        <v>4</v>
      </c>
      <c r="J13" s="122">
        <f t="shared" si="0"/>
        <v>20</v>
      </c>
    </row>
    <row r="14" spans="3:10" ht="15.75">
      <c r="C14" s="123">
        <v>22235103077</v>
      </c>
      <c r="D14" s="124" t="s">
        <v>153</v>
      </c>
      <c r="E14" s="128">
        <v>4</v>
      </c>
      <c r="F14" s="128">
        <v>4</v>
      </c>
      <c r="G14" s="129">
        <v>4</v>
      </c>
      <c r="H14" s="128">
        <v>4</v>
      </c>
      <c r="I14" s="128">
        <v>4</v>
      </c>
      <c r="J14" s="122">
        <f t="shared" si="0"/>
        <v>20</v>
      </c>
    </row>
    <row r="15" spans="3:10" ht="31.5">
      <c r="C15" s="123">
        <v>22235103084</v>
      </c>
      <c r="D15" s="124" t="s">
        <v>154</v>
      </c>
      <c r="E15" s="128">
        <v>4</v>
      </c>
      <c r="F15" s="128">
        <v>4</v>
      </c>
      <c r="G15" s="129">
        <v>4</v>
      </c>
      <c r="H15" s="128">
        <v>4</v>
      </c>
      <c r="I15" s="128">
        <v>4</v>
      </c>
      <c r="J15" s="122">
        <f t="shared" si="0"/>
        <v>20</v>
      </c>
    </row>
    <row r="16" spans="3:10" ht="15.75">
      <c r="C16" s="123">
        <v>22235103085</v>
      </c>
      <c r="D16" s="124" t="s">
        <v>155</v>
      </c>
      <c r="E16" s="128">
        <v>4</v>
      </c>
      <c r="F16" s="128">
        <v>4</v>
      </c>
      <c r="G16" s="129">
        <v>4</v>
      </c>
      <c r="H16" s="128">
        <v>4</v>
      </c>
      <c r="I16" s="128">
        <v>4</v>
      </c>
      <c r="J16" s="122">
        <f t="shared" si="0"/>
        <v>20</v>
      </c>
    </row>
    <row r="17" spans="3:10" ht="15.75">
      <c r="C17" s="123">
        <v>22235103086</v>
      </c>
      <c r="D17" s="124" t="s">
        <v>156</v>
      </c>
      <c r="E17" s="128">
        <v>4</v>
      </c>
      <c r="F17" s="128">
        <v>4</v>
      </c>
      <c r="G17" s="129">
        <v>4</v>
      </c>
      <c r="H17" s="128">
        <v>4</v>
      </c>
      <c r="I17" s="128">
        <v>4</v>
      </c>
      <c r="J17" s="122">
        <f t="shared" si="0"/>
        <v>20</v>
      </c>
    </row>
    <row r="18" spans="3:10" ht="15.75">
      <c r="C18" s="123">
        <v>22235103087</v>
      </c>
      <c r="D18" s="124" t="s">
        <v>157</v>
      </c>
      <c r="E18" s="128">
        <v>4</v>
      </c>
      <c r="F18" s="128">
        <v>4</v>
      </c>
      <c r="G18" s="129">
        <v>4</v>
      </c>
      <c r="H18" s="128">
        <v>4</v>
      </c>
      <c r="I18" s="128">
        <v>4</v>
      </c>
      <c r="J18" s="122">
        <f t="shared" si="0"/>
        <v>20</v>
      </c>
    </row>
    <row r="19" spans="3:10" ht="15.75">
      <c r="C19" s="123">
        <v>22235103088</v>
      </c>
      <c r="D19" s="124" t="s">
        <v>158</v>
      </c>
      <c r="E19" s="128">
        <v>4</v>
      </c>
      <c r="F19" s="128">
        <v>4</v>
      </c>
      <c r="G19" s="129">
        <v>4</v>
      </c>
      <c r="H19" s="128">
        <v>4</v>
      </c>
      <c r="I19" s="128">
        <v>4</v>
      </c>
      <c r="J19" s="122">
        <f t="shared" si="0"/>
        <v>20</v>
      </c>
    </row>
    <row r="20" spans="3:10" ht="15.75">
      <c r="C20" s="123">
        <v>22235103089</v>
      </c>
      <c r="D20" s="124" t="s">
        <v>159</v>
      </c>
      <c r="E20" s="128">
        <v>4</v>
      </c>
      <c r="F20" s="128">
        <v>4</v>
      </c>
      <c r="G20" s="129">
        <v>4</v>
      </c>
      <c r="H20" s="128">
        <v>4</v>
      </c>
      <c r="I20" s="128">
        <v>4</v>
      </c>
      <c r="J20" s="122">
        <f t="shared" si="0"/>
        <v>20</v>
      </c>
    </row>
    <row r="21" spans="3:10" ht="15.75">
      <c r="C21" s="123">
        <v>22235103093</v>
      </c>
      <c r="D21" s="124" t="s">
        <v>160</v>
      </c>
      <c r="E21" s="128">
        <v>4</v>
      </c>
      <c r="F21" s="128">
        <v>4</v>
      </c>
      <c r="G21" s="129">
        <v>4</v>
      </c>
      <c r="H21" s="128">
        <v>4</v>
      </c>
      <c r="I21" s="128">
        <v>4</v>
      </c>
      <c r="J21" s="122">
        <f t="shared" si="0"/>
        <v>20</v>
      </c>
    </row>
    <row r="22" spans="3:10" ht="15.75">
      <c r="C22" s="123">
        <v>22235103099</v>
      </c>
      <c r="D22" s="124" t="s">
        <v>161</v>
      </c>
      <c r="E22" s="128">
        <v>4</v>
      </c>
      <c r="F22" s="128">
        <v>4</v>
      </c>
      <c r="G22" s="129">
        <v>4</v>
      </c>
      <c r="H22" s="128">
        <v>4</v>
      </c>
      <c r="I22" s="128">
        <v>4</v>
      </c>
      <c r="J22" s="122">
        <f t="shared" si="0"/>
        <v>20</v>
      </c>
    </row>
    <row r="23" spans="3:10" ht="15.75">
      <c r="C23" s="123">
        <v>22235103105</v>
      </c>
      <c r="D23" s="124" t="s">
        <v>162</v>
      </c>
      <c r="E23" s="128">
        <v>4</v>
      </c>
      <c r="F23" s="128">
        <v>4</v>
      </c>
      <c r="G23" s="129">
        <v>4</v>
      </c>
      <c r="H23" s="128">
        <v>4</v>
      </c>
      <c r="I23" s="128">
        <v>4</v>
      </c>
      <c r="J23" s="122">
        <f t="shared" si="0"/>
        <v>20</v>
      </c>
    </row>
    <row r="24" spans="3:10" ht="15.75">
      <c r="C24" s="123">
        <v>22235103129</v>
      </c>
      <c r="D24" s="124" t="s">
        <v>163</v>
      </c>
      <c r="E24" s="128">
        <v>4</v>
      </c>
      <c r="F24" s="128">
        <v>4</v>
      </c>
      <c r="G24" s="129">
        <v>4</v>
      </c>
      <c r="H24" s="128">
        <v>4</v>
      </c>
      <c r="I24" s="128">
        <v>4</v>
      </c>
      <c r="J24" s="122">
        <f t="shared" si="0"/>
        <v>20</v>
      </c>
    </row>
    <row r="25" spans="3:10" ht="15.75">
      <c r="C25" s="123">
        <v>22235103132</v>
      </c>
      <c r="D25" s="124" t="s">
        <v>164</v>
      </c>
      <c r="E25" s="128">
        <v>4</v>
      </c>
      <c r="F25" s="128">
        <v>4</v>
      </c>
      <c r="G25" s="129">
        <v>4</v>
      </c>
      <c r="H25" s="128">
        <v>4</v>
      </c>
      <c r="I25" s="128">
        <v>4</v>
      </c>
      <c r="J25" s="122">
        <f t="shared" si="0"/>
        <v>20</v>
      </c>
    </row>
    <row r="26" spans="3:10" ht="31.5">
      <c r="C26" s="123">
        <v>22235103139</v>
      </c>
      <c r="D26" s="124" t="s">
        <v>165</v>
      </c>
      <c r="E26" s="128">
        <v>4</v>
      </c>
      <c r="F26" s="128">
        <v>4</v>
      </c>
      <c r="G26" s="129">
        <v>4</v>
      </c>
      <c r="H26" s="128">
        <v>4</v>
      </c>
      <c r="I26" s="128">
        <v>4</v>
      </c>
      <c r="J26" s="122">
        <f t="shared" si="0"/>
        <v>20</v>
      </c>
    </row>
    <row r="27" spans="3:10" ht="15.75">
      <c r="C27" s="123">
        <v>22235103160</v>
      </c>
      <c r="D27" s="124" t="s">
        <v>166</v>
      </c>
      <c r="E27" s="128">
        <v>4</v>
      </c>
      <c r="F27" s="128">
        <v>4</v>
      </c>
      <c r="G27" s="129">
        <v>4</v>
      </c>
      <c r="H27" s="128">
        <v>4</v>
      </c>
      <c r="I27" s="128">
        <v>4</v>
      </c>
      <c r="J27" s="122">
        <f t="shared" si="0"/>
        <v>20</v>
      </c>
    </row>
    <row r="28" spans="3:10" ht="15.75">
      <c r="C28" s="123">
        <v>22235103161</v>
      </c>
      <c r="D28" s="124" t="s">
        <v>167</v>
      </c>
      <c r="E28" s="128">
        <v>4</v>
      </c>
      <c r="F28" s="128">
        <v>4</v>
      </c>
      <c r="G28" s="129">
        <v>4</v>
      </c>
      <c r="H28" s="128">
        <v>4</v>
      </c>
      <c r="I28" s="128">
        <v>4</v>
      </c>
      <c r="J28" s="122">
        <f t="shared" si="0"/>
        <v>20</v>
      </c>
    </row>
    <row r="29" spans="3:10" ht="15.75">
      <c r="C29" s="123">
        <v>22235103173</v>
      </c>
      <c r="D29" s="124" t="s">
        <v>168</v>
      </c>
      <c r="E29" s="128">
        <v>4</v>
      </c>
      <c r="F29" s="128">
        <v>4</v>
      </c>
      <c r="G29" s="129">
        <v>4</v>
      </c>
      <c r="H29" s="128">
        <v>4</v>
      </c>
      <c r="I29" s="128">
        <v>4</v>
      </c>
      <c r="J29" s="122">
        <f t="shared" si="0"/>
        <v>20</v>
      </c>
    </row>
    <row r="30" spans="3:10" ht="15.75">
      <c r="C30" s="123">
        <v>22235103184</v>
      </c>
      <c r="D30" s="124" t="s">
        <v>169</v>
      </c>
      <c r="E30" s="128">
        <v>4</v>
      </c>
      <c r="F30" s="128">
        <v>4</v>
      </c>
      <c r="G30" s="129">
        <v>4</v>
      </c>
      <c r="H30" s="128">
        <v>4</v>
      </c>
      <c r="I30" s="128">
        <v>4</v>
      </c>
      <c r="J30" s="122">
        <f t="shared" si="0"/>
        <v>20</v>
      </c>
    </row>
    <row r="31" spans="3:10" ht="15.75">
      <c r="C31" s="126">
        <v>22235103227</v>
      </c>
      <c r="D31" s="127" t="s">
        <v>170</v>
      </c>
      <c r="E31" s="128">
        <v>4</v>
      </c>
      <c r="F31" s="128">
        <v>4</v>
      </c>
      <c r="G31" s="129">
        <v>4</v>
      </c>
      <c r="H31" s="128">
        <v>4</v>
      </c>
      <c r="I31" s="128">
        <v>4</v>
      </c>
      <c r="J31" s="122">
        <f t="shared" si="0"/>
        <v>20</v>
      </c>
    </row>
    <row r="32" spans="3:10" ht="15.75">
      <c r="C32" s="126">
        <v>22235103229</v>
      </c>
      <c r="D32" s="127" t="s">
        <v>171</v>
      </c>
      <c r="E32" s="128">
        <v>4</v>
      </c>
      <c r="F32" s="128">
        <v>4</v>
      </c>
      <c r="G32" s="129">
        <v>4</v>
      </c>
      <c r="H32" s="128">
        <v>4</v>
      </c>
      <c r="I32" s="128">
        <v>4</v>
      </c>
      <c r="J32" s="122">
        <f t="shared" si="0"/>
        <v>20</v>
      </c>
    </row>
    <row r="33" spans="3:10" ht="15.75">
      <c r="C33" s="126">
        <v>22235103235</v>
      </c>
      <c r="D33" s="127" t="s">
        <v>172</v>
      </c>
      <c r="E33" s="128">
        <v>4</v>
      </c>
      <c r="F33" s="128">
        <v>4</v>
      </c>
      <c r="G33" s="129">
        <v>4</v>
      </c>
      <c r="H33" s="128">
        <v>4</v>
      </c>
      <c r="I33" s="128">
        <v>4</v>
      </c>
      <c r="J33" s="122">
        <f t="shared" si="0"/>
        <v>20</v>
      </c>
    </row>
    <row r="34" spans="3:10" ht="15.75">
      <c r="C34" s="126">
        <v>22235103237</v>
      </c>
      <c r="D34" s="127" t="s">
        <v>173</v>
      </c>
      <c r="E34" s="128">
        <v>4</v>
      </c>
      <c r="F34" s="128">
        <v>4</v>
      </c>
      <c r="G34" s="129">
        <v>4</v>
      </c>
      <c r="H34" s="128">
        <v>4</v>
      </c>
      <c r="I34" s="128">
        <v>4</v>
      </c>
      <c r="J34" s="122">
        <f t="shared" si="0"/>
        <v>20</v>
      </c>
    </row>
    <row r="35" spans="3:10" ht="15.75">
      <c r="C35" s="126">
        <v>22235103238</v>
      </c>
      <c r="D35" s="127" t="s">
        <v>174</v>
      </c>
      <c r="E35" s="128">
        <v>4</v>
      </c>
      <c r="F35" s="128">
        <v>4</v>
      </c>
      <c r="G35" s="129">
        <v>4</v>
      </c>
      <c r="H35" s="128">
        <v>4</v>
      </c>
      <c r="I35" s="128">
        <v>4</v>
      </c>
      <c r="J35" s="122">
        <f t="shared" si="0"/>
        <v>20</v>
      </c>
    </row>
    <row r="36" spans="3:10" ht="15.75">
      <c r="C36" s="126">
        <v>22235103242</v>
      </c>
      <c r="D36" s="127" t="s">
        <v>175</v>
      </c>
      <c r="E36" s="128">
        <v>4</v>
      </c>
      <c r="F36" s="128">
        <v>4</v>
      </c>
      <c r="G36" s="129">
        <v>4</v>
      </c>
      <c r="H36" s="128">
        <v>4</v>
      </c>
      <c r="I36" s="128">
        <v>4</v>
      </c>
      <c r="J36" s="122">
        <f t="shared" si="0"/>
        <v>20</v>
      </c>
    </row>
    <row r="37" spans="3:10" ht="15.75">
      <c r="C37" s="126">
        <v>22235103247</v>
      </c>
      <c r="D37" s="127" t="s">
        <v>176</v>
      </c>
      <c r="E37" s="128">
        <v>4</v>
      </c>
      <c r="F37" s="128">
        <v>4</v>
      </c>
      <c r="G37" s="129">
        <v>4</v>
      </c>
      <c r="H37" s="128">
        <v>4</v>
      </c>
      <c r="I37" s="128">
        <v>4</v>
      </c>
      <c r="J37" s="122">
        <f t="shared" si="0"/>
        <v>20</v>
      </c>
    </row>
    <row r="38" spans="3:10" ht="15.75">
      <c r="C38" s="126">
        <v>22235103256</v>
      </c>
      <c r="D38" s="127" t="s">
        <v>177</v>
      </c>
      <c r="E38" s="128">
        <v>4</v>
      </c>
      <c r="F38" s="128">
        <v>4</v>
      </c>
      <c r="G38" s="129">
        <v>4</v>
      </c>
      <c r="H38" s="128">
        <v>4</v>
      </c>
      <c r="I38" s="128">
        <v>4</v>
      </c>
      <c r="J38" s="122">
        <f t="shared" si="0"/>
        <v>20</v>
      </c>
    </row>
    <row r="39" spans="3:10" ht="15.75">
      <c r="C39" s="126">
        <v>22235103269</v>
      </c>
      <c r="D39" s="127" t="s">
        <v>178</v>
      </c>
      <c r="E39" s="128">
        <v>4</v>
      </c>
      <c r="F39" s="128">
        <v>4</v>
      </c>
      <c r="G39" s="129">
        <v>4</v>
      </c>
      <c r="H39" s="128">
        <v>4</v>
      </c>
      <c r="I39" s="128">
        <v>4</v>
      </c>
      <c r="J39" s="122">
        <f t="shared" si="0"/>
        <v>20</v>
      </c>
    </row>
    <row r="40" spans="3:10" ht="15.75">
      <c r="C40" s="126">
        <v>22235103279</v>
      </c>
      <c r="D40" s="127" t="s">
        <v>179</v>
      </c>
      <c r="E40" s="128">
        <v>4</v>
      </c>
      <c r="F40" s="128">
        <v>4</v>
      </c>
      <c r="G40" s="129">
        <v>4</v>
      </c>
      <c r="H40" s="128">
        <v>4</v>
      </c>
      <c r="I40" s="128">
        <v>4</v>
      </c>
      <c r="J40" s="122">
        <f t="shared" si="0"/>
        <v>20</v>
      </c>
    </row>
    <row r="41" spans="3:10" ht="15.75">
      <c r="C41" s="126">
        <v>22235103351</v>
      </c>
      <c r="D41" s="127" t="s">
        <v>180</v>
      </c>
      <c r="E41" s="128">
        <v>4</v>
      </c>
      <c r="F41" s="128">
        <v>4</v>
      </c>
      <c r="G41" s="129">
        <v>4</v>
      </c>
      <c r="H41" s="128">
        <v>4</v>
      </c>
      <c r="I41" s="128">
        <v>4</v>
      </c>
      <c r="J41" s="122">
        <f t="shared" si="0"/>
        <v>20</v>
      </c>
    </row>
    <row r="42" spans="3:10" ht="31.5">
      <c r="C42" s="126">
        <v>22235103353</v>
      </c>
      <c r="D42" s="127" t="s">
        <v>181</v>
      </c>
      <c r="E42" s="128">
        <v>4</v>
      </c>
      <c r="F42" s="128">
        <v>4</v>
      </c>
      <c r="G42" s="129">
        <v>4</v>
      </c>
      <c r="H42" s="128">
        <v>4</v>
      </c>
      <c r="I42" s="128">
        <v>4</v>
      </c>
      <c r="J42" s="122">
        <f t="shared" si="0"/>
        <v>20</v>
      </c>
    </row>
    <row r="43" spans="3:10" ht="15.75">
      <c r="C43" s="126">
        <v>22235103587</v>
      </c>
      <c r="D43" s="127" t="s">
        <v>182</v>
      </c>
      <c r="E43" s="128">
        <v>4</v>
      </c>
      <c r="F43" s="128">
        <v>4</v>
      </c>
      <c r="G43" s="129">
        <v>4</v>
      </c>
      <c r="H43" s="128">
        <v>4</v>
      </c>
      <c r="I43" s="128">
        <v>4</v>
      </c>
      <c r="J43" s="122">
        <f t="shared" si="0"/>
        <v>20</v>
      </c>
    </row>
    <row r="44" spans="3:10" ht="15.75">
      <c r="C44" s="126">
        <v>22235103593</v>
      </c>
      <c r="D44" s="127" t="s">
        <v>183</v>
      </c>
      <c r="E44" s="128">
        <v>4</v>
      </c>
      <c r="F44" s="128">
        <v>4</v>
      </c>
      <c r="G44" s="129">
        <v>4</v>
      </c>
      <c r="H44" s="128">
        <v>4</v>
      </c>
      <c r="I44" s="128">
        <v>4</v>
      </c>
      <c r="J44" s="122">
        <f t="shared" si="0"/>
        <v>20</v>
      </c>
    </row>
    <row r="45" spans="3:10" ht="15.75">
      <c r="C45" s="126">
        <v>22235103617</v>
      </c>
      <c r="D45" s="127" t="s">
        <v>184</v>
      </c>
      <c r="E45" s="128">
        <v>4</v>
      </c>
      <c r="F45" s="128">
        <v>4</v>
      </c>
      <c r="G45" s="129">
        <v>4</v>
      </c>
      <c r="H45" s="128">
        <v>4</v>
      </c>
      <c r="I45" s="128">
        <v>4</v>
      </c>
      <c r="J45" s="122">
        <f t="shared" si="0"/>
        <v>20</v>
      </c>
    </row>
    <row r="46" spans="3:10" ht="15.75">
      <c r="C46" s="126">
        <v>22235103619</v>
      </c>
      <c r="D46" s="127" t="s">
        <v>185</v>
      </c>
      <c r="E46" s="128">
        <v>4</v>
      </c>
      <c r="F46" s="128">
        <v>4</v>
      </c>
      <c r="G46" s="129">
        <v>4</v>
      </c>
      <c r="H46" s="128">
        <v>4</v>
      </c>
      <c r="I46" s="128">
        <v>4</v>
      </c>
      <c r="J46" s="122">
        <f t="shared" si="0"/>
        <v>20</v>
      </c>
    </row>
    <row r="47" spans="3:10" ht="15.75">
      <c r="C47" s="126">
        <v>22235103630</v>
      </c>
      <c r="D47" s="127" t="s">
        <v>186</v>
      </c>
      <c r="E47" s="128">
        <v>4</v>
      </c>
      <c r="F47" s="128">
        <v>4</v>
      </c>
      <c r="G47" s="129">
        <v>4</v>
      </c>
      <c r="H47" s="128">
        <v>4</v>
      </c>
      <c r="I47" s="128">
        <v>4</v>
      </c>
      <c r="J47" s="122">
        <f t="shared" si="0"/>
        <v>20</v>
      </c>
    </row>
    <row r="48" spans="3:10" ht="15.75">
      <c r="C48" s="112">
        <v>22235103634</v>
      </c>
      <c r="D48" s="113" t="s">
        <v>187</v>
      </c>
      <c r="E48" s="128">
        <v>4</v>
      </c>
      <c r="F48" s="128">
        <v>4</v>
      </c>
      <c r="G48" s="129">
        <v>4</v>
      </c>
      <c r="H48" s="128">
        <v>4</v>
      </c>
      <c r="I48" s="128">
        <v>4</v>
      </c>
      <c r="J48" s="122">
        <f t="shared" si="0"/>
        <v>20</v>
      </c>
    </row>
    <row r="49" spans="3:10" ht="15">
      <c r="C49" s="87"/>
      <c r="D49" s="84"/>
      <c r="E49" s="74"/>
      <c r="F49" s="74"/>
      <c r="G49" s="75"/>
      <c r="H49" s="75"/>
      <c r="I49" s="75"/>
      <c r="J49" s="125" t="s">
        <v>193</v>
      </c>
    </row>
    <row r="50" spans="3:10" ht="15">
      <c r="C50" s="87"/>
      <c r="D50" s="84"/>
      <c r="E50" s="74"/>
      <c r="F50" s="74"/>
      <c r="G50" s="75"/>
      <c r="H50" s="75"/>
      <c r="I50" s="75"/>
      <c r="J50" s="125" t="s">
        <v>193</v>
      </c>
    </row>
    <row r="51" spans="3:10" ht="15">
      <c r="C51" s="119"/>
      <c r="D51" s="120"/>
      <c r="E51" s="74"/>
      <c r="F51" s="74"/>
      <c r="G51" s="75"/>
      <c r="H51" s="75"/>
      <c r="I51" s="75"/>
      <c r="J51" s="125" t="s">
        <v>193</v>
      </c>
    </row>
    <row r="52" spans="3:10" ht="15">
      <c r="C52" s="119"/>
      <c r="D52" s="120"/>
      <c r="E52" s="74"/>
      <c r="F52" s="74"/>
      <c r="G52" s="75"/>
      <c r="H52" s="75"/>
      <c r="I52" s="75"/>
      <c r="J52" s="125" t="s">
        <v>193</v>
      </c>
    </row>
    <row r="53" spans="3:10" ht="15">
      <c r="C53" s="87"/>
      <c r="D53" s="84"/>
      <c r="E53" s="74"/>
      <c r="F53" s="74"/>
      <c r="G53" s="75"/>
      <c r="H53" s="75"/>
      <c r="I53" s="75"/>
      <c r="J53" s="125" t="s">
        <v>193</v>
      </c>
    </row>
    <row r="54" spans="3:10" ht="15">
      <c r="C54" s="87"/>
      <c r="D54" s="84"/>
      <c r="E54" s="74"/>
      <c r="F54" s="74"/>
      <c r="G54" s="75"/>
      <c r="H54" s="75"/>
      <c r="I54" s="75"/>
      <c r="J54" s="125" t="s">
        <v>193</v>
      </c>
    </row>
    <row r="55" spans="3:10" ht="15">
      <c r="C55" s="87"/>
      <c r="D55" s="84"/>
      <c r="E55" s="74"/>
      <c r="F55" s="74"/>
      <c r="G55" s="75"/>
      <c r="H55" s="75"/>
      <c r="I55" s="75"/>
      <c r="J55" s="125" t="s">
        <v>193</v>
      </c>
    </row>
    <row r="56" spans="3:10" ht="15">
      <c r="C56" s="87"/>
      <c r="D56" s="84"/>
      <c r="E56" s="74"/>
      <c r="F56" s="74"/>
      <c r="G56" s="75"/>
      <c r="H56" s="75"/>
      <c r="I56" s="75"/>
      <c r="J56" s="125" t="s">
        <v>193</v>
      </c>
    </row>
    <row r="57" spans="3:10" ht="15">
      <c r="C57" s="87"/>
      <c r="D57" s="84"/>
      <c r="E57" s="74"/>
      <c r="F57" s="74"/>
      <c r="G57" s="75"/>
      <c r="H57" s="75"/>
      <c r="I57" s="75"/>
      <c r="J57" s="125" t="s">
        <v>193</v>
      </c>
    </row>
    <row r="58" spans="3:10" ht="15">
      <c r="C58" s="87"/>
      <c r="D58" s="84"/>
      <c r="E58" s="74"/>
      <c r="F58" s="74"/>
      <c r="G58" s="75"/>
      <c r="H58" s="75"/>
      <c r="I58" s="75"/>
      <c r="J58" s="125" t="s">
        <v>193</v>
      </c>
    </row>
    <row r="59" spans="3:10" ht="15">
      <c r="C59" s="87"/>
      <c r="D59" s="84"/>
      <c r="E59" s="74"/>
      <c r="F59" s="74"/>
      <c r="G59" s="75"/>
      <c r="H59" s="75"/>
      <c r="I59" s="75"/>
      <c r="J59" s="125" t="s">
        <v>193</v>
      </c>
    </row>
    <row r="60" spans="3:10" ht="15">
      <c r="C60" s="87"/>
      <c r="D60" s="84"/>
      <c r="E60" s="74"/>
      <c r="F60" s="74"/>
      <c r="G60" s="75"/>
      <c r="H60" s="75"/>
      <c r="I60" s="75"/>
      <c r="J60" s="125" t="s">
        <v>193</v>
      </c>
    </row>
    <row r="61" spans="3:10" ht="15">
      <c r="C61" s="87"/>
      <c r="D61" s="84"/>
      <c r="E61" s="74"/>
      <c r="F61" s="74"/>
      <c r="G61" s="75"/>
      <c r="H61" s="75"/>
      <c r="I61" s="75"/>
      <c r="J61" s="125" t="s">
        <v>193</v>
      </c>
    </row>
    <row r="62" spans="3:10" ht="15">
      <c r="C62" s="88"/>
      <c r="D62" s="86"/>
      <c r="E62" s="74"/>
      <c r="F62" s="74"/>
      <c r="G62" s="75"/>
      <c r="H62" s="75"/>
      <c r="I62" s="75"/>
      <c r="J62" s="125" t="s">
        <v>193</v>
      </c>
    </row>
    <row r="63" spans="3:10" ht="15">
      <c r="C63" s="88"/>
      <c r="D63" s="86"/>
      <c r="E63" s="74"/>
      <c r="F63" s="74"/>
      <c r="G63" s="75"/>
      <c r="H63" s="75"/>
      <c r="I63" s="75"/>
      <c r="J63" s="125" t="s">
        <v>193</v>
      </c>
    </row>
    <row r="64" spans="3:10" ht="15">
      <c r="C64" s="88"/>
      <c r="D64" s="86"/>
      <c r="E64" s="74"/>
      <c r="F64" s="74"/>
      <c r="G64" s="75"/>
      <c r="H64" s="75"/>
      <c r="I64" s="75"/>
      <c r="J64" s="125" t="s">
        <v>193</v>
      </c>
    </row>
    <row r="65" spans="3:10" ht="15">
      <c r="C65" s="88"/>
      <c r="D65" s="86"/>
      <c r="E65" s="74"/>
      <c r="F65" s="74"/>
      <c r="G65" s="75"/>
      <c r="H65" s="75"/>
      <c r="I65" s="75"/>
      <c r="J65" s="125" t="s">
        <v>193</v>
      </c>
    </row>
  </sheetData>
  <mergeCells count="4">
    <mergeCell ref="J4:J5"/>
    <mergeCell ref="C4:C7"/>
    <mergeCell ref="D4:D7"/>
    <mergeCell ref="E4:I4"/>
  </mergeCells>
  <conditionalFormatting sqref="E49:I65 E39:E48 G39:G48">
    <cfRule type="cellIs" dxfId="17" priority="19" operator="lessThanOrEqual">
      <formula>0</formula>
    </cfRule>
  </conditionalFormatting>
  <conditionalFormatting sqref="E34:E38 G8:G21 G23:G38">
    <cfRule type="cellIs" dxfId="16" priority="18" operator="lessThanOrEqual">
      <formula>0</formula>
    </cfRule>
  </conditionalFormatting>
  <conditionalFormatting sqref="E8:E21 E23:E36">
    <cfRule type="cellIs" dxfId="15" priority="17" operator="lessThanOrEqual">
      <formula>0</formula>
    </cfRule>
  </conditionalFormatting>
  <conditionalFormatting sqref="J7:J65">
    <cfRule type="cellIs" dxfId="14" priority="16" operator="equal">
      <formula>"Error"</formula>
    </cfRule>
  </conditionalFormatting>
  <conditionalFormatting sqref="G22">
    <cfRule type="cellIs" dxfId="13" priority="14" operator="lessThanOrEqual">
      <formula>0</formula>
    </cfRule>
  </conditionalFormatting>
  <conditionalFormatting sqref="E22">
    <cfRule type="cellIs" dxfId="12" priority="13" operator="lessThanOrEqual">
      <formula>0</formula>
    </cfRule>
  </conditionalFormatting>
  <conditionalFormatting sqref="F39:F48">
    <cfRule type="cellIs" dxfId="11" priority="12" operator="lessThanOrEqual">
      <formula>0</formula>
    </cfRule>
  </conditionalFormatting>
  <conditionalFormatting sqref="F34:F38">
    <cfRule type="cellIs" dxfId="10" priority="11" operator="lessThanOrEqual">
      <formula>0</formula>
    </cfRule>
  </conditionalFormatting>
  <conditionalFormatting sqref="F8:F21 F23:F36">
    <cfRule type="cellIs" dxfId="9" priority="10" operator="lessThanOrEqual">
      <formula>0</formula>
    </cfRule>
  </conditionalFormatting>
  <conditionalFormatting sqref="F22">
    <cfRule type="cellIs" dxfId="8" priority="9" operator="lessThanOrEqual">
      <formula>0</formula>
    </cfRule>
  </conditionalFormatting>
  <conditionalFormatting sqref="H39:H48">
    <cfRule type="cellIs" dxfId="7" priority="8" operator="lessThanOrEqual">
      <formula>0</formula>
    </cfRule>
  </conditionalFormatting>
  <conditionalFormatting sqref="H34:H38">
    <cfRule type="cellIs" dxfId="6" priority="7" operator="lessThanOrEqual">
      <formula>0</formula>
    </cfRule>
  </conditionalFormatting>
  <conditionalFormatting sqref="H8:H21 H23:H36">
    <cfRule type="cellIs" dxfId="5" priority="6" operator="lessThanOrEqual">
      <formula>0</formula>
    </cfRule>
  </conditionalFormatting>
  <conditionalFormatting sqref="H22">
    <cfRule type="cellIs" dxfId="4" priority="5" operator="lessThanOrEqual">
      <formula>0</formula>
    </cfRule>
  </conditionalFormatting>
  <conditionalFormatting sqref="I39:I48">
    <cfRule type="cellIs" dxfId="3" priority="4" operator="lessThanOrEqual">
      <formula>0</formula>
    </cfRule>
  </conditionalFormatting>
  <conditionalFormatting sqref="I34:I38">
    <cfRule type="cellIs" dxfId="2" priority="3" operator="lessThanOrEqual">
      <formula>0</formula>
    </cfRule>
  </conditionalFormatting>
  <conditionalFormatting sqref="I8:I21 I23:I36">
    <cfRule type="cellIs" dxfId="1" priority="2" operator="lessThanOrEqual">
      <formula>0</formula>
    </cfRule>
  </conditionalFormatting>
  <conditionalFormatting sqref="I22">
    <cfRule type="cellIs" dxfId="0" priority="1" operator="lessThanOr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B2" sqref="B2:C2"/>
    </sheetView>
  </sheetViews>
  <sheetFormatPr defaultRowHeight="12.75"/>
  <cols>
    <col min="1" max="1" width="16.28515625" customWidth="1"/>
    <col min="3" max="3" width="17.42578125" customWidth="1"/>
  </cols>
  <sheetData>
    <row r="1" spans="1:3">
      <c r="A1" s="89" t="s">
        <v>129</v>
      </c>
      <c r="B1" s="251" t="str">
        <f ca="1">RIGHT(YEAR(TODAY()),1) &amp; TEXT(TODAY()-DATE(YEAR(TODAY()),1,0),"000")</f>
        <v>6267</v>
      </c>
      <c r="C1" s="251"/>
    </row>
    <row r="2" spans="1:3">
      <c r="A2" s="89" t="s">
        <v>131</v>
      </c>
      <c r="B2" s="252"/>
      <c r="C2" s="252"/>
    </row>
  </sheetData>
  <mergeCells count="2">
    <mergeCell ref="B1:C1"/>
    <mergeCell ref="B2:C2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md_publish">
          <controlPr defaultSize="0" autoLine="0" r:id="rId5">
            <anchor moveWithCells="1" sizeWithCells="1">
              <from>
                <xdr:col>2</xdr:col>
                <xdr:colOff>28575</xdr:colOff>
                <xdr:row>3</xdr:row>
                <xdr:rowOff>0</xdr:rowOff>
              </from>
              <to>
                <xdr:col>2</xdr:col>
                <xdr:colOff>1076325</xdr:colOff>
                <xdr:row>4</xdr:row>
                <xdr:rowOff>152400</xdr:rowOff>
              </to>
            </anchor>
          </controlPr>
        </control>
      </mc:Choice>
      <mc:Fallback>
        <control shapeId="4097" r:id="rId4" name="cmd_publis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GradeSheet</vt:lpstr>
      <vt:lpstr>Course Report</vt:lpstr>
      <vt:lpstr>CO-PO Mapping</vt:lpstr>
      <vt:lpstr>CLP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Mijanur Rahaman</dc:creator>
  <cp:lastModifiedBy>BUBT</cp:lastModifiedBy>
  <cp:lastPrinted>2026-06-11T10:01:39Z</cp:lastPrinted>
  <dcterms:created xsi:type="dcterms:W3CDTF">2019-09-22T13:01:39Z</dcterms:created>
  <dcterms:modified xsi:type="dcterms:W3CDTF">2026-09-24T11:19:19Z</dcterms:modified>
</cp:coreProperties>
</file>